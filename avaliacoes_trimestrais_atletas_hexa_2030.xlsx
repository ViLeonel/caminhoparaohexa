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752c593ae46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724de38060446d9"/>
    <x:sheet xmlns:r="http://schemas.openxmlformats.org/officeDocument/2006/relationships" name="Atletas" sheetId="2" r:id="R10195189710b45da"/>
    <x:sheet xmlns:r="http://schemas.openxmlformats.org/officeDocument/2006/relationships" name="Avaliações Trimestrais" sheetId="3" r:id="R30f2663871f044dc"/>
    <x:sheet xmlns:r="http://schemas.openxmlformats.org/officeDocument/2006/relationships" name="Resumo Trimestral" sheetId="4" r:id="R80bc0e26afc040d3"/>
    <x:sheet xmlns:r="http://schemas.openxmlformats.org/officeDocument/2006/relationships" name="Listas" sheetId="5" r:id="R4a7d0683d91e4e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0.00&quot; m&quot;"/>
    <x:numFmt numFmtId="202" formatCode="0.0"/>
    <x:numFmt numFmtId="203" formatCode="0.00"/>
    <x:numFmt numFmtId="204" formatCode="0.0%"/>
  </x:numFmts>
  <x:fonts count="3">
    <x:font>
      <x:sz val="11"/>
      <x:name val="Carlito"/>
    </x:font>
    <x:font>
      <x:b/>
      <x:sz val="18"/>
      <x:color rgb="FFF8FAFC"/>
      <x:name val="Carlito"/>
    </x:font>
    <x:font>
      <x:b/>
      <x:sz val="11"/>
      <x:color rgb="FFF8FAFC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71A3A"/>
      </x:patternFill>
    </x:fill>
    <x:fill>
      <x:patternFill patternType="solid">
        <x:fgColor rgb="FF0F2A52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4" fontId="0" fillId="0" borderId="0" xfId="0" applyNumberFormat="1" applyFont="1" applyFill="1" applyBorder="1" applyAlignment="1">
      <x:alignment vertical="top" wrapText="1"/>
    </x:xf>
    <x:xf numFmtId="204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</x:cellXfs>
  <x:cellStyles count="1">
    <x:cellStyle name="Normal" xfId="0"/>
  </x:cellStyles>
  <x:dxfs count="1">
    <x:dxf>
      <x:fill>
        <x:patternFill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9537d0ccc74367" /><Relationship Type="http://schemas.openxmlformats.org/officeDocument/2006/relationships/theme" Target="/xl/theme/theme1.xml" Id="R6b0f3832610a4f20" /><Relationship Type="http://schemas.openxmlformats.org/officeDocument/2006/relationships/sharedStrings" Target="/xl/sharedStrings.xml" Id="R3cd47cfa071f4dc6" /><Relationship Type="http://schemas.openxmlformats.org/officeDocument/2006/relationships/worksheet" Target="/xl/worksheets/sheet1.xml" Id="R6724de38060446d9" /><Relationship Type="http://schemas.openxmlformats.org/officeDocument/2006/relationships/worksheet" Target="/xl/worksheets/sheet2.xml" Id="R10195189710b45da" /><Relationship Type="http://schemas.openxmlformats.org/officeDocument/2006/relationships/worksheet" Target="/xl/worksheets/sheet3.xml" Id="R30f2663871f044dc" /><Relationship Type="http://schemas.openxmlformats.org/officeDocument/2006/relationships/worksheet" Target="/xl/worksheets/sheet4.xml" Id="R80bc0e26afc040d3" /><Relationship Type="http://schemas.openxmlformats.org/officeDocument/2006/relationships/worksheet" Target="/xl/worksheets/sheet5.xml" Id="R4a7d0683d91e4e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18bef012f6495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Cobertura de avaliações completas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Cobertura</c:v>
          </c:tx>
          <c:cat>
            <c:strRef>
              <c:f>'Resumo Trimestral'!$J$2:$J$21</c:f>
              <c:strCache>
                <c:ptCount val="0"/>
              </c:strCache>
            </c:strRef>
          </c:cat>
          <c:val>
            <c:numRef>
              <c:f>'Resumo Trimestral'!$K$2:$K$21</c:f>
              <c:numCache>
                <c:formatCode>0.0%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18bef012f6495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tletasHexaTable" displayName="AtletasHexaTable" ref="A1:AJ89" headerRowCount="1">
  <x:tableColumns count="36">
    <x:tableColumn id="1" name="ID / Nome"/>
    <x:tableColumn id="2" name="Nome completo"/>
    <x:tableColumn id="3" name="Posição principal"/>
    <x:tableColumn id="4" name="Posições secundárias"/>
    <x:tableColumn id="5" name="Clube atual"/>
    <x:tableColumn id="6" name="Grupo editorial"/>
    <x:tableColumn id="7" name="Tipo legado (não usar)"/>
    <x:tableColumn id="8" name="Idade em 2026"/>
    <x:tableColumn id="9" name="Idade projetada em 2030"/>
    <x:tableColumn id="10" name="Nota Vini atual"/>
    <x:tableColumn id="11" name="Nota Beto atual"/>
    <x:tableColumn id="12" name="Média editorial"/>
    <x:tableColumn id="13" name="Pontos fortes"/>
    <x:tableColumn id="14" name="Pontos fracos"/>
    <x:tableColumn id="15" name="Histórico das conversas"/>
    <x:tableColumn id="16" name="Nascimento"/>
    <x:tableColumn id="17" name="Naturalidade"/>
    <x:tableColumn id="18" name="Altura (m)"/>
    <x:tableColumn id="19" name="Pé preferencial"/>
    <x:tableColumn id="20" name="Nacionalidades"/>
    <x:tableColumn id="21" name="Empresário"/>
    <x:tableColumn id="22" name="No clube desde"/>
    <x:tableColumn id="23" name="Contrato até"/>
    <x:tableColumn id="24" name="Opção de contrato"/>
    <x:tableColumn id="25" name="Última renovação"/>
    <x:tableColumn id="26" name="Equipador"/>
    <x:tableColumn id="27" name="Posição informada por fonte externa"/>
    <x:tableColumn id="28" name="Posições secundárias externas"/>
    <x:tableColumn id="29" name="Valor atual (M€)"/>
    <x:tableColumn id="30" name="Maior valor da carreira (M€)"/>
    <x:tableColumn id="31" name="% do pico histórico"/>
    <x:tableColumn id="32" name="Diferença para o pico (M€)"/>
    <x:tableColumn id="33" name="Data do maior valor"/>
    <x:tableColumn id="34" name="Última atualização externa"/>
    <x:tableColumn id="35" name="Fonte externa"/>
    <x:tableColumn id="36" name="Extraído em"/>
  </x:tableColumns>
  <x:tableStyleInfo name="TableStyleMedium2" showRowStripes="1"/>
</x:table>
</file>

<file path=xl/tables/table2.xml><?xml version="1.0" encoding="utf-8"?>
<x:table xmlns:x="http://schemas.openxmlformats.org/spreadsheetml/2006/main" id="2" name="AvaliacoesTrimestraisHexaTable" displayName="AvaliacoesTrimestraisHexaTable" ref="A1:T1761" headerRowCount="1">
  <x:tableColumns count="20">
    <x:tableColumn id="1" name="Atleta"/>
    <x:tableColumn id="2" name="Ano"/>
    <x:tableColumn id="3" name="Trimestre"/>
    <x:tableColumn id="4" name="Data de referência"/>
    <x:tableColumn id="5" name="Posição"/>
    <x:tableColumn id="6" name="Clube"/>
    <x:tableColumn id="7" name="Capacidade atual — Vini"/>
    <x:tableColumn id="8" name="Potencial — Vini"/>
    <x:tableColumn id="9" name="Capacidade atual — Beto"/>
    <x:tableColumn id="10" name="Potencial — Beto"/>
    <x:tableColumn id="11" name="Média da capacidade atual"/>
    <x:tableColumn id="12" name="Média do potencial"/>
    <x:tableColumn id="13" name="Margem de evolução"/>
    <x:tableColumn id="14" name="Variação da capacidade atual vs. trimestre anterior"/>
    <x:tableColumn id="15" name="Status de condição"/>
    <x:tableColumn id="16" name="Jogos observados"/>
    <x:tableColumn id="17" name="Observações do Vini"/>
    <x:tableColumn id="18" name="Observações do Beto"/>
    <x:tableColumn id="19" name="Síntese da conversa Vini &amp; Beto"/>
    <x:tableColumn id="20" name="Próxima ação / ponto de atenção"/>
  </x:tableColumns>
  <x:tableStyleInfo name="TableStyleMedium2" showRowStripes="1"/>
</x:table>
</file>

<file path=xl/tables/table3.xml><?xml version="1.0" encoding="utf-8"?>
<x:table xmlns:x="http://schemas.openxmlformats.org/spreadsheetml/2006/main" id="3" name="ResumoTrimestralHexaTable" displayName="ResumoTrimestralHexaTable" ref="A1:H21" headerRowCount="1">
  <x:tableColumns count="8">
    <x:tableColumn id="1" name="Ano"/>
    <x:tableColumn id="2" name="Trimestre"/>
    <x:tableColumn id="3" name="Média da capacidade atual"/>
    <x:tableColumn id="4" name="Média do potencial"/>
    <x:tableColumn id="5" name="Margem média de evolução"/>
    <x:tableColumn id="6" name="Atletas com capacidade atual"/>
    <x:tableColumn id="7" name="Avaliações completas"/>
    <x:tableColumn id="8" name="% de cobertura comple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f1d48a6e36e46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c9984a204242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c38d4ea42f48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3992ea2fcf43d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5" t="str">
        <x:v>O Caminho para o Hexa 2030 — Painel de Avaliações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Indicador</x:v>
      </x:c>
      <x:c r="B4" s="13" t="str">
        <x:v>Valor</x:v>
      </x:c>
      <x:c r="D4" s="13" t="str">
        <x:v>Como usar</x:v>
      </x:c>
      <x:c r="E4" s="13"/>
      <x:c r="F4" s="13"/>
      <x:c r="G4" s="13"/>
      <x:c r="H4" s="13"/>
    </x:row>
    <x:row r="5" ht="34" customHeight="1">
      <x:c r="A5" t="str">
        <x:v>Atletas na base</x:v>
      </x:c>
      <x:c r="B5" t="n">
        <x:v>88</x:v>
      </x:c>
      <x:c r="D5" s="42" t="str">
        <x:v>1. Use a aba “Atletas” como ficha-mestre da base.</x:v>
      </x:c>
      <x:c r="E5" s="42"/>
      <x:c r="F5" s="42"/>
      <x:c r="G5" s="42"/>
      <x:c r="H5" s="42"/>
    </x:row>
    <x:row r="6" ht="34" customHeight="1">
      <x:c r="A6" t="str">
        <x:v>Período preparado</x:v>
      </x:c>
      <x:c r="B6" t="str">
        <x:v>2026–2030</x:v>
      </x:c>
      <x:c r="D6" s="42" t="str">
        <x:v>2. Em “Avaliações Trimestrais”, Vini e Beto atribuem capacidade atual e potencial.</x:v>
      </x:c>
      <x:c r="E6" s="42"/>
      <x:c r="F6" s="42"/>
      <x:c r="G6" s="42"/>
      <x:c r="H6" s="42"/>
    </x:row>
    <x:row r="7" ht="34" customHeight="1">
      <x:c r="A7" t="str">
        <x:v>Trimestres por atleta</x:v>
      </x:c>
      <x:c r="B7" t="n">
        <x:v>20</x:v>
      </x:c>
      <x:c r="D7" s="42" t="str">
        <x:v>3. Registre observações individuais e a síntese da conversa do trimestre.</x:v>
      </x:c>
      <x:c r="E7" s="42"/>
      <x:c r="F7" s="42"/>
      <x:c r="G7" s="42"/>
      <x:c r="H7" s="42"/>
    </x:row>
    <x:row r="8" ht="34" customHeight="1">
      <x:c r="A8" t="str">
        <x:v>Linhas de avaliação</x:v>
      </x:c>
      <x:c r="B8" t="n">
        <x:v>1760</x:v>
      </x:c>
      <x:c r="D8" s="42" t="str">
        <x:v>4. Médias, margem de evolução e variação são calculadas por fórmulas.</x:v>
      </x:c>
      <x:c r="E8" s="42"/>
      <x:c r="F8" s="42"/>
      <x:c r="G8" s="42"/>
      <x:c r="H8" s="42"/>
    </x:row>
    <x:row r="9" ht="34" customHeight="1">
      <x:c r="A9" t="str">
        <x:v>Escala de notas</x:v>
      </x:c>
      <x:c r="B9" t="str">
        <x:v>0 a 10, em passos de 0,5</x:v>
      </x:c>
      <x:c r="D9" s="42" t="str">
        <x:v>5. A fonte canônica do aplicativo continua sendo os dois JSONs do projeto.</x:v>
      </x:c>
      <x:c r="E9" s="42"/>
      <x:c r="F9" s="42"/>
      <x:c r="G9" s="42"/>
      <x:c r="H9" s="42"/>
    </x:row>
    <x:row r="11">
      <x:c r="A11" s="21" t="str">
        <x:v>Cobertura das avaliações completas por período</x:v>
      </x:c>
      <x:c r="B11" s="21"/>
      <x:c r="C11" s="21"/>
      <x:c r="D11" s="21"/>
      <x:c r="E11" s="21"/>
      <x:c r="F11" s="21"/>
      <x:c r="G11" s="21"/>
      <x:c r="H11" s="21"/>
    </x:row>
  </x:sheetData>
  <x:mergeCells>
    <x:mergeCell ref="A1:H2"/>
    <x:mergeCell ref="D4:H4"/>
    <x:mergeCell ref="D5:H5"/>
    <x:mergeCell ref="D6:H6"/>
    <x:mergeCell ref="D7:H7"/>
    <x:mergeCell ref="D8:H8"/>
    <x:mergeCell ref="D9:H9"/>
    <x:mergeCell ref="A11:H11"/>
  </x:mergeCells>
  <x:pageMargins left="0.7" right="0.7" top="0.75" bottom="0.75" header="0.3" footer="0.3"/>
  <x:drawing xmlns:r="http://schemas.openxmlformats.org/officeDocument/2006/relationships" r:id="Rdf1d48a6e36e4666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24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  <x:col min="15" max="15" width="34" hidden="0" customWidth="1"/>
    <x:col min="16" max="16" width="13" hidden="0" customWidth="1"/>
    <x:col min="17" max="17" width="24" hidden="0" customWidth="1"/>
    <x:col min="18" max="18" width="13" hidden="0" customWidth="1"/>
    <x:col min="19" max="19" width="13" hidden="0" customWidth="1"/>
    <x:col min="20" max="20" width="18" hidden="0" customWidth="1"/>
    <x:col min="21" max="21" width="2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24" hidden="0" customWidth="1"/>
    <x:col min="28" max="28" width="24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</x:cols>
  <x:sheetData>
    <x:row r="1" ht="34" customHeight="1">
      <x:c r="A1" s="26" t="str">
        <x:v>ID / Nome</x:v>
      </x:c>
      <x:c r="B1" s="26" t="str">
        <x:v>Nome completo</x:v>
      </x:c>
      <x:c r="C1" s="26" t="str">
        <x:v>Posição principal</x:v>
      </x:c>
      <x:c r="D1" s="26" t="str">
        <x:v>Posições secundárias</x:v>
      </x:c>
      <x:c r="E1" s="26" t="str">
        <x:v>Clube atual</x:v>
      </x:c>
      <x:c r="F1" s="26" t="str">
        <x:v>Grupo editorial</x:v>
      </x:c>
      <x:c r="G1" s="26" t="str">
        <x:v>Tipo legado (não usar)</x:v>
      </x:c>
      <x:c r="H1" s="26" t="str">
        <x:v>Idade em 2026</x:v>
      </x:c>
      <x:c r="I1" s="26" t="str">
        <x:v>Idade projetada em 2030</x:v>
      </x:c>
      <x:c r="J1" s="26" t="str">
        <x:v>Nota Vini atual</x:v>
      </x:c>
      <x:c r="K1" s="26" t="str">
        <x:v>Nota Beto atual</x:v>
      </x:c>
      <x:c r="L1" s="26" t="str">
        <x:v>Média editorial</x:v>
      </x:c>
      <x:c r="M1" s="26" t="str">
        <x:v>Pontos fortes</x:v>
      </x:c>
      <x:c r="N1" s="26" t="str">
        <x:v>Pontos fracos</x:v>
      </x:c>
      <x:c r="O1" s="26" t="str">
        <x:v>Histórico das conversas</x:v>
      </x:c>
      <x:c r="P1" s="26" t="str">
        <x:v>Nascimento</x:v>
      </x:c>
      <x:c r="Q1" s="26" t="str">
        <x:v>Naturalidade</x:v>
      </x:c>
      <x:c r="R1" s="26" t="str">
        <x:v>Altura (m)</x:v>
      </x:c>
      <x:c r="S1" s="26" t="str">
        <x:v>Pé preferencial</x:v>
      </x:c>
      <x:c r="T1" s="26" t="str">
        <x:v>Nacionalidades</x:v>
      </x:c>
      <x:c r="U1" s="26" t="str">
        <x:v>Empresário</x:v>
      </x:c>
      <x:c r="V1" s="26" t="str">
        <x:v>No clube desde</x:v>
      </x:c>
      <x:c r="W1" s="26" t="str">
        <x:v>Contrato até</x:v>
      </x:c>
      <x:c r="X1" s="26" t="str">
        <x:v>Opção de contrato</x:v>
      </x:c>
      <x:c r="Y1" s="26" t="str">
        <x:v>Última renovação</x:v>
      </x:c>
      <x:c r="Z1" s="26" t="str">
        <x:v>Equipador</x:v>
      </x:c>
      <x:c r="AA1" s="26" t="str">
        <x:v>Posição informada por fonte externa</x:v>
      </x:c>
      <x:c r="AB1" s="26" t="str">
        <x:v>Posições secundárias externas</x:v>
      </x:c>
      <x:c r="AC1" s="26" t="str">
        <x:v>Valor atual (M€)</x:v>
      </x:c>
      <x:c r="AD1" s="26" t="str">
        <x:v>Maior valor da carreira (M€)</x:v>
      </x:c>
      <x:c r="AE1" s="26" t="str">
        <x:v>% do pico histórico</x:v>
      </x:c>
      <x:c r="AF1" s="26" t="str">
        <x:v>Diferença para o pico (M€)</x:v>
      </x:c>
      <x:c r="AG1" s="26" t="str">
        <x:v>Data do maior valor</x:v>
      </x:c>
      <x:c r="AH1" s="26" t="str">
        <x:v>Última atualização externa</x:v>
      </x:c>
      <x:c r="AI1" s="26" t="str">
        <x:v>Fonte externa</x:v>
      </x:c>
      <x:c r="AJ1" s="26" t="str">
        <x:v>Extraído em</x:v>
      </x:c>
    </x:row>
    <x:row r="2">
      <x:c r="A2" s="30" t="str">
        <x:v>Alisson</x:v>
      </x:c>
      <x:c r="B2" s="30" t="str">
        <x:v>Alisson Ramses Becker</x:v>
      </x:c>
      <x:c r="C2" s="30" t="str">
        <x:v>Goleiro</x:v>
      </x:c>
      <x:c r="D2" s="30" t="str"/>
      <x:c r="E2" s="30" t="str">
        <x:v>Liverpool FC</x:v>
      </x:c>
      <x:c r="F2" s="30" t="str">
        <x:v>Titulares</x:v>
      </x:c>
      <x:c r="G2" s="30" t="str">
        <x:v>Certeza Atual</x:v>
      </x:c>
      <x:c r="H2" s="30" t="n">
        <x:v>33</x:v>
      </x:c>
      <x:c r="I2" s="30" t="n">
        <x:f>IF(H2="","",H2+4)</x:f>
        <x:v>37</x:v>
      </x:c>
      <x:c r="J2" s="36" t="n">
        <x:v>7</x:v>
      </x:c>
      <x:c r="K2" s="36" t="n">
        <x:v>7.5</x:v>
      </x:c>
      <x:c r="L2" s="36" t="n">
        <x:f>IF(COUNT(J2:K2)=0,"",AVERAGE(J2:K2))</x:f>
        <x:v>7.25</x:v>
      </x:c>
      <x:c r="M2" s="30" t="str">
        <x:v>Excelente posicionamento e carreira internacional sólida.</x:v>
      </x:c>
      <x:c r="N2" s="30" t="str">
        <x:v>Idade avançada para o planejamento de longo prazo de 2030.</x:v>
      </x:c>
      <x:c r="O2" s="30" t="str">
        <x:v>Vini prefere sua liderança experiente, enquanto Roberto defende transição rápida.</x:v>
      </x:c>
      <x:c r="P2" s="32" t="n">
        <x:v>33879</x:v>
      </x:c>
      <x:c r="Q2" s="30" t="str">
        <x:v>Novo Hamburgo, Brasil</x:v>
      </x:c>
      <x:c r="R2" s="34" t="n">
        <x:v>1.93</x:v>
      </x:c>
      <x:c r="S2" s="30" t="str">
        <x:v>Direito</x:v>
      </x:c>
      <x:c r="T2" s="30" t="str">
        <x:v>Brasil</x:v>
      </x:c>
      <x:c r="U2" s="30" t="str">
        <x:v>NWS - Neis World Sports</x:v>
      </x:c>
      <x:c r="V2" s="32" t="n">
        <x:v>43300</x:v>
      </x:c>
      <x:c r="W2" s="32" t="n">
        <x:v>46568</x:v>
      </x:c>
      <x:c r="X2" s="30"/>
      <x:c r="Y2" s="32" t="n">
        <x:v>44412</x:v>
      </x:c>
      <x:c r="Z2" s="30" t="str">
        <x:v>Nike</x:v>
      </x:c>
      <x:c r="AA2" s="30" t="str">
        <x:v>Guarda-redes</x:v>
      </x:c>
      <x:c r="AB2" s="30" t="str"/>
      <x:c r="AC2" s="38" t="n">
        <x:v>15</x:v>
      </x:c>
      <x:c r="AD2" s="38" t="n">
        <x:v>90</x:v>
      </x:c>
      <x:c r="AE2" s="40" t="n">
        <x:f>IF(OR(AC2="",AD2="",AD2=0),"",AC2/AD2)</x:f>
        <x:v>0.16666666666666666</x:v>
      </x:c>
      <x:c r="AF2" s="38" t="n">
        <x:f>IF(OR(AC2="",AD2=""),"",AC2-AD2)</x:f>
        <x:v>-75</x:v>
      </x:c>
      <x:c r="AG2" s="32" t="n">
        <x:v>43808</x:v>
      </x:c>
      <x:c r="AH2" s="32" t="n">
        <x:v>46175</x:v>
      </x:c>
      <x:c r="AI2" s="30"/>
      <x:c r="AJ2" s="32"/>
    </x:row>
    <x:row r="3">
      <x:c r="A3" s="30" t="str">
        <x:v>Allan</x:v>
      </x:c>
      <x:c r="B3" s="30" t="str">
        <x:v>Allan Andrade Elias</x:v>
      </x:c>
      <x:c r="C3" s="30" t="str">
        <x:v>Ponta-direita</x:v>
      </x:c>
      <x:c r="D3" s="30" t="str">
        <x:v>Meia-armador | Mezzala direito</x:v>
      </x:c>
      <x:c r="E3" s="30" t="str">
        <x:v>SE Palmeiras</x:v>
      </x:c>
      <x:c r="F3" s="30" t="str">
        <x:v>Observação</x:v>
      </x:c>
      <x:c r="G3" s="30" t="str">
        <x:v>Promessa 2030</x:v>
      </x:c>
      <x:c r="H3" s="30" t="n">
        <x:v>22</x:v>
      </x:c>
      <x:c r="I3" s="30" t="n">
        <x:f>IF(H3="","",H3+4)</x:f>
        <x:v>26</x:v>
      </x:c>
      <x:c r="J3" s="36" t="n">
        <x:v>7</x:v>
      </x:c>
      <x:c r="K3" s="36" t="n">
        <x:v>7.5</x:v>
      </x:c>
      <x:c r="L3" s="36" t="n">
        <x:f>IF(COUNT(J3:K3)=0,"",AVERAGE(J3:K3))</x:f>
        <x:v>7.25</x:v>
      </x:c>
      <x:c r="M3" s="30" t="str">
        <x:v>Dinâmica veloz na ponta e controle colado.</x:v>
      </x:c>
      <x:c r="N3" s="30" t="str"/>
      <x:c r="O3" s="30" t="str"/>
      <x:c r="P3" s="32" t="n">
        <x:v>38096</x:v>
      </x:c>
      <x:c r="Q3" s="30" t="str">
        <x:v>Florianópolis, Brasil</x:v>
      </x:c>
      <x:c r="R3" s="34" t="n">
        <x:v>1.74</x:v>
      </x:c>
      <x:c r="S3" s="30" t="str">
        <x:v>Esquerdo</x:v>
      </x:c>
      <x:c r="T3" s="30" t="str">
        <x:v>Brasil</x:v>
      </x:c>
      <x:c r="U3" s="30" t="str">
        <x:v>Talents Sports</x:v>
      </x:c>
      <x:c r="V3" s="32" t="n">
        <x:v>45667</x:v>
      </x:c>
      <x:c r="W3" s="32" t="n">
        <x:v>47483</x:v>
      </x:c>
      <x:c r="X3" s="30"/>
      <x:c r="Y3" s="32" t="n">
        <x:v>45815</x:v>
      </x:c>
      <x:c r="Z3" s="30"/>
      <x:c r="AA3" s="30" t="str">
        <x:v>Extremo Direito</x:v>
      </x:c>
      <x:c r="AB3" s="30" t="str">
        <x:v>Médio Ofensivo | Médio Direito</x:v>
      </x:c>
      <x:c r="AC3" s="38" t="n">
        <x:v>20</x:v>
      </x:c>
      <x:c r="AD3" s="38" t="n">
        <x:v>20</x:v>
      </x:c>
      <x:c r="AE3" s="40" t="n">
        <x:f>IF(OR(AC3="",AD3="",AD3=0),"",AC3/AD3)</x:f>
        <x:v>1</x:v>
      </x:c>
      <x:c r="AF3" s="38" t="n">
        <x:f>IF(OR(AC3="",AD3=""),"",AC3-AD3)</x:f>
        <x:v>0</x:v>
      </x:c>
      <x:c r="AG3" s="32" t="n">
        <x:v>46167</x:v>
      </x:c>
      <x:c r="AH3" s="32" t="n">
        <x:v>46167</x:v>
      </x:c>
      <x:c r="AI3" s="30"/>
      <x:c r="AJ3" s="32"/>
    </x:row>
    <x:row r="4">
      <x:c r="A4" s="30" t="str">
        <x:v>Andrey Santos</x:v>
      </x:c>
      <x:c r="B4" s="30" t="str">
        <x:v>Andrey Nascimento dos Santos</x:v>
      </x:c>
      <x:c r="C4" s="30" t="str">
        <x:v>Volante</x:v>
      </x:c>
      <x:c r="D4" s="30" t="str">
        <x:v>Mezzala esquerdo | Mezzala direito | Lateral-esquerdo</x:v>
      </x:c>
      <x:c r="E4" s="30" t="str">
        <x:v>Manchester United FC</x:v>
      </x:c>
      <x:c r="F4" s="30" t="str">
        <x:v>Titulares</x:v>
      </x:c>
      <x:c r="G4" s="30" t="str">
        <x:v>Certeza Atual</x:v>
      </x:c>
      <x:c r="H4" s="30" t="n">
        <x:v>22</x:v>
      </x:c>
      <x:c r="I4" s="30" t="n">
        <x:f>IF(H4="","",H4+4)</x:f>
        <x:v>26</x:v>
      </x:c>
      <x:c r="J4" s="36" t="n">
        <x:v>7.5</x:v>
      </x:c>
      <x:c r="K4" s="36" t="n">
        <x:v>8</x:v>
      </x:c>
      <x:c r="L4" s="36" t="n">
        <x:f>IF(COUNT(J4:K4)=0,"",AVERAGE(J4:K4))</x:f>
        <x:v>7.75</x:v>
      </x:c>
      <x:c r="M4" s="30" t="str">
        <x:v>Volante moderno de grande infiltração na área e pegada defensiva.</x:v>
      </x:c>
      <x:c r="N4" s="30" t="str">
        <x:v>Precisa de estabilidade técnica como titular absoluto na Europa.</x:v>
      </x:c>
      <x:c r="O4" s="30" t="str">
        <x:v>Escolhido para ser a grande engrenagem de sustentação do meio-campo brasileiro.</x:v>
      </x:c>
      <x:c r="P4" s="32" t="n">
        <x:v>38110</x:v>
      </x:c>
      <x:c r="Q4" s="30" t="str">
        <x:v>Rio de Janeiro, Brasil</x:v>
      </x:c>
      <x:c r="R4" s="34" t="n">
        <x:v>1.8</x:v>
      </x:c>
      <x:c r="S4" s="30" t="str">
        <x:v>Direito</x:v>
      </x:c>
      <x:c r="T4" s="30" t="str">
        <x:v>Brasil</x:v>
      </x:c>
      <x:c r="U4" s="30" t="str">
        <x:v>Bertolucci Sports</x:v>
      </x:c>
      <x:c r="V4" s="32" t="n">
        <x:v>46216</x:v>
      </x:c>
      <x:c r="W4" s="32" t="n">
        <x:v>48029</x:v>
      </x:c>
      <x:c r="X4" s="30" t="str">
        <x:v>Opção do clube por mais 1 ano</x:v>
      </x:c>
      <x:c r="Y4" s="32"/>
      <x:c r="Z4" s="30" t="str">
        <x:v>adidas</x:v>
      </x:c>
      <x:c r="AA4" s="30" t="str">
        <x:v>Médio Centro</x:v>
      </x:c>
      <x:c r="AB4" s="30" t="str">
        <x:v>Médio Defensivo</x:v>
      </x:c>
      <x:c r="AC4" s="38" t="n">
        <x:v>40</x:v>
      </x:c>
      <x:c r="AD4" s="38" t="n">
        <x:v>45</x:v>
      </x:c>
      <x:c r="AE4" s="40" t="n">
        <x:f>IF(OR(AC4="",AD4="",AD4=0),"",AC4/AD4)</x:f>
        <x:v>0.8888888888888888</x:v>
      </x:c>
      <x:c r="AF4" s="38" t="n">
        <x:f>IF(OR(AC4="",AD4=""),"",AC4-AD4)</x:f>
        <x:v>-5</x:v>
      </x:c>
      <x:c r="AG4" s="32" t="n">
        <x:v>46089</x:v>
      </x:c>
      <x:c r="AH4" s="32" t="n">
        <x:v>46175</x:v>
      </x:c>
      <x:c r="AI4" s="30"/>
      <x:c r="AJ4" s="32"/>
    </x:row>
    <x:row r="5">
      <x:c r="A5" s="30" t="str">
        <x:v>André</x:v>
      </x:c>
      <x:c r="B5" s="30" t="str">
        <x:v>André Trindade da Costa Neto</x:v>
      </x:c>
      <x:c r="C5" s="30" t="str">
        <x:v>Mezzala esquerdo</x:v>
      </x:c>
      <x:c r="D5" s="30" t="str">
        <x:v>Mezzala direito | Volante | Meia-esquerda</x:v>
      </x:c>
      <x:c r="E5" s="30" t="str">
        <x:v>Wolverhampton Wanderers</x:v>
      </x:c>
      <x:c r="F5" s="30" t="str">
        <x:v>Reservas</x:v>
      </x:c>
      <x:c r="G5" s="30" t="str">
        <x:v>Observação</x:v>
      </x:c>
      <x:c r="H5" s="30" t="n">
        <x:v>25</x:v>
      </x:c>
      <x:c r="I5" s="30" t="n">
        <x:f>IF(H5="","",H5+4)</x:f>
        <x:v>29</x:v>
      </x:c>
      <x:c r="J5" s="36" t="n">
        <x:v>7.5</x:v>
      </x:c>
      <x:c r="K5" s="36" t="n">
        <x:v>7.5</x:v>
      </x:c>
      <x:c r="L5" s="36" t="n">
        <x:f>IF(COUNT(J5:K5)=0,"",AVERAGE(J5:K5))</x:f>
        <x:v>7.5</x:v>
      </x:c>
      <x:c r="M5" s="30" t="str"/>
      <x:c r="N5" s="30" t="str"/>
      <x:c r="O5" s="30" t="str"/>
      <x:c r="P5" s="32" t="n">
        <x:v>37088</x:v>
      </x:c>
      <x:c r="Q5" s="30" t="str">
        <x:v>Ibirataia, Brasil</x:v>
      </x:c>
      <x:c r="R5" s="34" t="n">
        <x:v>1.76</x:v>
      </x:c>
      <x:c r="S5" s="30" t="str">
        <x:v>Direito</x:v>
      </x:c>
      <x:c r="T5" s="30" t="str">
        <x:v>Brasil</x:v>
      </x:c>
      <x:c r="U5" s="30" t="str">
        <x:v>Carlos Leite</x:v>
      </x:c>
      <x:c r="V5" s="32" t="n">
        <x:v>45534</x:v>
      </x:c>
      <x:c r="W5" s="32" t="n">
        <x:v>47664</x:v>
      </x:c>
      <x:c r="X5" s="30"/>
      <x:c r="Y5" s="32" t="n">
        <x:v>46164</x:v>
      </x:c>
      <x:c r="Z5" s="30" t="str">
        <x:v>Nike</x:v>
      </x:c>
      <x:c r="AA5" s="30" t="str">
        <x:v>Médio Defensivo</x:v>
      </x:c>
      <x:c r="AB5" s="30" t="str">
        <x:v>Médio Centro</x:v>
      </x:c>
      <x:c r="AC5" s="38" t="n">
        <x:v>25</x:v>
      </x:c>
      <x:c r="AD5" s="38" t="n">
        <x:v>28</x:v>
      </x:c>
      <x:c r="AE5" s="40" t="n">
        <x:f>IF(OR(AC5="",AD5="",AD5=0),"",AC5/AD5)</x:f>
        <x:v>0.8928571428571429</x:v>
      </x:c>
      <x:c r="AF5" s="38" t="n">
        <x:f>IF(OR(AC5="",AD5=""),"",AC5-AD5)</x:f>
        <x:v>-3</x:v>
      </x:c>
      <x:c r="AG5" s="32" t="n">
        <x:v>45806</x:v>
      </x:c>
      <x:c r="AH5" s="32" t="n">
        <x:v>46175</x:v>
      </x:c>
      <x:c r="AI5" s="30"/>
      <x:c r="AJ5" s="32"/>
    </x:row>
    <x:row r="6">
      <x:c r="A6" s="30" t="str">
        <x:v>Antony</x:v>
      </x:c>
      <x:c r="B6" s="30" t="str">
        <x:v>Antony Matheus dos Santos</x:v>
      </x:c>
      <x:c r="C6" s="30" t="str">
        <x:v>Ponta-direita</x:v>
      </x:c>
      <x:c r="D6" s="30" t="str">
        <x:v>Ponta-esquerda</x:v>
      </x:c>
      <x:c r="E6" s="30" t="str">
        <x:v>Real Betis</x:v>
      </x:c>
      <x:c r="F6" s="30" t="str">
        <x:v>Observação</x:v>
      </x:c>
      <x:c r="G6" s="30" t="str">
        <x:v>Observação</x:v>
      </x:c>
      <x:c r="H6" s="30" t="n">
        <x:v>26</x:v>
      </x:c>
      <x:c r="I6" s="30" t="n">
        <x:f>IF(H6="","",H6+4)</x:f>
        <x:v>30</x:v>
      </x:c>
      <x:c r="J6" s="36" t="n">
        <x:v>0</x:v>
      </x:c>
      <x:c r="K6" s="36" t="n">
        <x:v>0</x:v>
      </x:c>
      <x:c r="L6" s="36" t="n">
        <x:f>IF(COUNT(J6:K6)=0,"",AVERAGE(J6:K6))</x:f>
        <x:v>0</x:v>
      </x:c>
      <x:c r="M6" s="30" t="str"/>
      <x:c r="N6" s="30" t="str"/>
      <x:c r="O6" s="30" t="str"/>
      <x:c r="P6" s="32" t="n">
        <x:v>36580</x:v>
      </x:c>
      <x:c r="Q6" s="30" t="str">
        <x:v>São Paulo, Brasil</x:v>
      </x:c>
      <x:c r="R6" s="34" t="n">
        <x:v>1.72</x:v>
      </x:c>
      <x:c r="S6" s="30" t="str">
        <x:v>Esquerdo</x:v>
      </x:c>
      <x:c r="T6" s="30" t="str">
        <x:v>Brasil</x:v>
      </x:c>
      <x:c r="U6" s="30" t="str">
        <x:v>4ComM</x:v>
      </x:c>
      <x:c r="V6" s="32" t="n">
        <x:v>45901</x:v>
      </x:c>
      <x:c r="W6" s="32" t="n">
        <x:v>47664</x:v>
      </x:c>
      <x:c r="X6" s="30"/>
      <x:c r="Y6" s="32"/>
      <x:c r="Z6" s="30" t="str">
        <x:v>Puma</x:v>
      </x:c>
      <x:c r="AA6" s="30" t="str">
        <x:v>Extremo Direito</x:v>
      </x:c>
      <x:c r="AB6" s="30" t="str">
        <x:v>Extremo Esquerdo</x:v>
      </x:c>
      <x:c r="AC6" s="38" t="n">
        <x:v>40</x:v>
      </x:c>
      <x:c r="AD6" s="38" t="n">
        <x:v>75</x:v>
      </x:c>
      <x:c r="AE6" s="40" t="n">
        <x:f>IF(OR(AC6="",AD6="",AD6=0),"",AC6/AD6)</x:f>
        <x:v>0.5333333333333333</x:v>
      </x:c>
      <x:c r="AF6" s="38" t="n">
        <x:f>IF(OR(AC6="",AD6=""),"",AC6-AD6)</x:f>
        <x:v>-35</x:v>
      </x:c>
      <x:c r="AG6" s="32" t="n">
        <x:v>44818</x:v>
      </x:c>
      <x:c r="AH6" s="32" t="n">
        <x:v>46177</x:v>
      </x:c>
      <x:c r="AI6" s="30"/>
      <x:c r="AJ6" s="32"/>
    </x:row>
    <x:row r="7">
      <x:c r="A7" s="30" t="str">
        <x:v>Brazão</x:v>
      </x:c>
      <x:c r="B7" s="30" t="str">
        <x:v>Gabriel Nascimento Resende Brazão</x:v>
      </x:c>
      <x:c r="C7" s="30" t="str">
        <x:v>Goleiro</x:v>
      </x:c>
      <x:c r="D7" s="30" t="str"/>
      <x:c r="E7" s="30" t="str">
        <x:v>Santos FC</x:v>
      </x:c>
      <x:c r="F7" s="30" t="str">
        <x:v>Reservas</x:v>
      </x:c>
      <x:c r="G7" s="30" t="str">
        <x:v>Promessa 2030</x:v>
      </x:c>
      <x:c r="H7" s="30" t="n">
        <x:v>25</x:v>
      </x:c>
      <x:c r="I7" s="30" t="n">
        <x:f>IF(H7="","",H7+4)</x:f>
        <x:v>29</x:v>
      </x:c>
      <x:c r="J7" s="36" t="n">
        <x:v>7.5</x:v>
      </x:c>
      <x:c r="K7" s="36" t="n">
        <x:v>7.5</x:v>
      </x:c>
      <x:c r="L7" s="36" t="n">
        <x:f>IF(COUNT(J7:K7)=0,"",AVERAGE(J7:K7))</x:f>
        <x:v>7.5</x:v>
      </x:c>
      <x:c r="M7" s="30" t="str">
        <x:v>Físico privilegiado e excelente potencial sob as traves.</x:v>
      </x:c>
      <x:c r="N7" s="30" t="str">
        <x:v>Necessita de mais testes sob extrema pressão tática.</x:v>
      </x:c>
      <x:c r="O7" s="30" t="str">
        <x:v>Ambos concordam que ele reúne totais condições de disputar a titularidade.</x:v>
      </x:c>
      <x:c r="P7" s="32" t="n">
        <x:v>36804</x:v>
      </x:c>
      <x:c r="Q7" s="30" t="str">
        <x:v>Uberlândia, Brasil</x:v>
      </x:c>
      <x:c r="R7" s="34" t="n">
        <x:v>1.92</x:v>
      </x:c>
      <x:c r="S7" s="30" t="str">
        <x:v>Direito</x:v>
      </x:c>
      <x:c r="T7" s="30" t="str">
        <x:v>Brasil</x:v>
      </x:c>
      <x:c r="U7" s="30" t="str">
        <x:v>Bertolucci Sports</x:v>
      </x:c>
      <x:c r="V7" s="32" t="n">
        <x:v>45348</x:v>
      </x:c>
      <x:c r="W7" s="32" t="n">
        <x:v>47118</x:v>
      </x:c>
      <x:c r="X7" s="30"/>
      <x:c r="Y7" s="32" t="n">
        <x:v>45619</x:v>
      </x:c>
      <x:c r="Z7" s="30" t="str">
        <x:v>Puma</x:v>
      </x:c>
      <x:c r="AA7" s="30" t="str">
        <x:v>Guarda-redes</x:v>
      </x:c>
      <x:c r="AB7" s="30" t="str"/>
      <x:c r="AC7" s="38" t="n">
        <x:v>12</x:v>
      </x:c>
      <x:c r="AD7" s="38" t="n">
        <x:v>12</x:v>
      </x:c>
      <x:c r="AE7" s="40" t="n">
        <x:f>IF(OR(AC7="",AD7="",AD7=0),"",AC7/AD7)</x:f>
        <x:v>1</x:v>
      </x:c>
      <x:c r="AF7" s="38" t="n">
        <x:f>IF(OR(AC7="",AD7=""),"",AC7-AD7)</x:f>
        <x:v>0</x:v>
      </x:c>
      <x:c r="AG7" s="32" t="n">
        <x:v>46092</x:v>
      </x:c>
      <x:c r="AH7" s="32" t="n">
        <x:v>46167</x:v>
      </x:c>
      <x:c r="AI7" s="30"/>
      <x:c r="AJ7" s="32"/>
    </x:row>
    <x:row r="8">
      <x:c r="A8" s="30" t="str">
        <x:v>Breno Bidon</x:v>
      </x:c>
      <x:c r="B8" s="30" t="str">
        <x:v>Breno de Souza Bidon</x:v>
      </x:c>
      <x:c r="C8" s="30" t="str">
        <x:v>Mezzala esquerdo</x:v>
      </x:c>
      <x:c r="D8" s="30" t="str">
        <x:v>Mezzala direito | Volante | Meia-armador</x:v>
      </x:c>
      <x:c r="E8" s="30" t="str">
        <x:v>SC Corinthians</x:v>
      </x:c>
      <x:c r="F8" s="30" t="str">
        <x:v>Reservas</x:v>
      </x:c>
      <x:c r="G8" s="30" t="str">
        <x:v>Promessa 2030</x:v>
      </x:c>
      <x:c r="H8" s="30" t="n">
        <x:v>21</x:v>
      </x:c>
      <x:c r="I8" s="30" t="n">
        <x:f>IF(H8="","",H8+4)</x:f>
        <x:v>25</x:v>
      </x:c>
      <x:c r="J8" s="36" t="n">
        <x:v>7</x:v>
      </x:c>
      <x:c r="K8" s="36" t="n">
        <x:v>8</x:v>
      </x:c>
      <x:c r="L8" s="36" t="n">
        <x:f>IF(COUNT(J8:K8)=0,"",AVERAGE(J8:K8))</x:f>
        <x:v>7.5</x:v>
      </x:c>
      <x:c r="M8" s="30" t="str">
        <x:v>Controle refinado da bola e estilo tático clássico brasileiro.</x:v>
      </x:c>
      <x:c r="N8" s="30" t="str">
        <x:v>Necessita adquirir maior massa física e experiência tática europeia.</x:v>
      </x:c>
      <x:c r="O8" s="30" t="str">
        <x:v>Identificado como potencial herdeiro técnico para as próximas competições.</x:v>
      </x:c>
      <x:c r="P8" s="32" t="n">
        <x:v>38403</x:v>
      </x:c>
      <x:c r="Q8" s="30" t="str">
        <x:v>São Paulo, Brasil</x:v>
      </x:c>
      <x:c r="R8" s="34" t="n">
        <x:v>1.78</x:v>
      </x:c>
      <x:c r="S8" s="30" t="str">
        <x:v>Esquerdo</x:v>
      </x:c>
      <x:c r="T8" s="30" t="str">
        <x:v>Brasil | Itália</x:v>
      </x:c>
      <x:c r="U8" s="30" t="str">
        <x:v>Dodici Sports BR</x:v>
      </x:c>
      <x:c r="V8" s="32" t="n">
        <x:v>45352</x:v>
      </x:c>
      <x:c r="W8" s="32" t="n">
        <x:v>47483</x:v>
      </x:c>
      <x:c r="X8" s="30"/>
      <x:c r="Y8" s="32" t="n">
        <x:v>45663</x:v>
      </x:c>
      <x:c r="Z8" s="30"/>
      <x:c r="AA8" s="30" t="str">
        <x:v>Médio Centro</x:v>
      </x:c>
      <x:c r="AB8" s="30" t="str">
        <x:v>Médio Ofensivo | Médio Defensivo</x:v>
      </x:c>
      <x:c r="AC8" s="38" t="n">
        <x:v>22</x:v>
      </x:c>
      <x:c r="AD8" s="38" t="n">
        <x:v>22</x:v>
      </x:c>
      <x:c r="AE8" s="40" t="n">
        <x:f>IF(OR(AC8="",AD8="",AD8=0),"",AC8/AD8)</x:f>
        <x:v>1</x:v>
      </x:c>
      <x:c r="AF8" s="38" t="n">
        <x:f>IF(OR(AC8="",AD8=""),"",AC8-AD8)</x:f>
        <x:v>0</x:v>
      </x:c>
      <x:c r="AG8" s="32" t="n">
        <x:v>46184</x:v>
      </x:c>
      <x:c r="AH8" s="32" t="n">
        <x:v>46167</x:v>
      </x:c>
      <x:c r="AI8" s="30"/>
      <x:c r="AJ8" s="32"/>
    </x:row>
    <x:row r="9">
      <x:c r="A9" s="30" t="str">
        <x:v>Bruno Guimarães</x:v>
      </x:c>
      <x:c r="B9" s="30" t="str">
        <x:v>Bruno Guimarães Rodrigues Moura</x:v>
      </x:c>
      <x:c r="C9" s="30" t="str">
        <x:v>Mezzala esquerdo</x:v>
      </x:c>
      <x:c r="D9" s="30" t="str">
        <x:v>Mezzala direito | Volante</x:v>
      </x:c>
      <x:c r="E9" s="30" t="str">
        <x:v>Newcastle United</x:v>
      </x:c>
      <x:c r="F9" s="30" t="str">
        <x:v>Titulares</x:v>
      </x:c>
      <x:c r="G9" s="30" t="str">
        <x:v>Certeza Atual</x:v>
      </x:c>
      <x:c r="H9" s="30" t="n">
        <x:v>28</x:v>
      </x:c>
      <x:c r="I9" s="30" t="n">
        <x:f>IF(H9="","",H9+4)</x:f>
        <x:v>32</x:v>
      </x:c>
      <x:c r="J9" s="36" t="n">
        <x:v>8</x:v>
      </x:c>
      <x:c r="K9" s="36" t="n">
        <x:v>8.5</x:v>
      </x:c>
      <x:c r="L9" s="36" t="n">
        <x:f>IF(COUNT(J9:K9)=0,"",AVERAGE(J9:K9))</x:f>
        <x:v>8.25</x:v>
      </x:c>
      <x:c r="M9" s="30" t="str">
        <x:v>Visão de jogo privilegiada e passes precisos que quebram linhas defensivas.</x:v>
      </x:c>
      <x:c r="N9" s="30" t="str">
        <x:v>Desgaste em partidas que exijam excessiva cobertura de campo.</x:v>
      </x:c>
      <x:c r="O9" s="30" t="str">
        <x:v>Considerado indispensável para ditar o ritmo de posse de bola do time.</x:v>
      </x:c>
      <x:c r="P9" s="32" t="n">
        <x:v>35750</x:v>
      </x:c>
      <x:c r="Q9" s="30" t="str">
        <x:v>Rio de Janeiro, Brasil</x:v>
      </x:c>
      <x:c r="R9" s="34" t="n">
        <x:v>1.82</x:v>
      </x:c>
      <x:c r="S9" s="30" t="str">
        <x:v>Direito</x:v>
      </x:c>
      <x:c r="T9" s="30" t="str">
        <x:v>Brasil | Espanha</x:v>
      </x:c>
      <x:c r="U9" s="30" t="str">
        <x:v>Bertolucci Sports</x:v>
      </x:c>
      <x:c r="V9" s="32" t="n">
        <x:v>44591</x:v>
      </x:c>
      <x:c r="W9" s="32" t="n">
        <x:v>46934</x:v>
      </x:c>
      <x:c r="X9" s="30"/>
      <x:c r="Y9" s="32" t="n">
        <x:v>45206</x:v>
      </x:c>
      <x:c r="Z9" s="30" t="str">
        <x:v>adidas</x:v>
      </x:c>
      <x:c r="AA9" s="30" t="str">
        <x:v>Médio Centro</x:v>
      </x:c>
      <x:c r="AB9" s="30" t="str">
        <x:v>Médio Defensivo</x:v>
      </x:c>
      <x:c r="AC9" s="38" t="n">
        <x:v>70</x:v>
      </x:c>
      <x:c r="AD9" s="38" t="n">
        <x:v>85</x:v>
      </x:c>
      <x:c r="AE9" s="40" t="n">
        <x:f>IF(OR(AC9="",AD9="",AD9=0),"",AC9/AD9)</x:f>
        <x:v>0.8235294117647058</x:v>
      </x:c>
      <x:c r="AF9" s="38" t="n">
        <x:f>IF(OR(AC9="",AD9=""),"",AC9-AD9)</x:f>
        <x:v>-15</x:v>
      </x:c>
      <x:c r="AG9" s="32" t="n">
        <x:v>45207</x:v>
      </x:c>
      <x:c r="AH9" s="32" t="n">
        <x:v>46175</x:v>
      </x:c>
      <x:c r="AI9" s="30"/>
      <x:c r="AJ9" s="32"/>
    </x:row>
    <x:row r="10">
      <x:c r="A10" s="30" t="str">
        <x:v>Carlos Miguel</x:v>
      </x:c>
      <x:c r="B10" s="30" t="str">
        <x:v>Carlos Miguel dos Santos Pereira</x:v>
      </x:c>
      <x:c r="C10" s="30" t="str">
        <x:v>Goleiro</x:v>
      </x:c>
      <x:c r="D10" s="30" t="str"/>
      <x:c r="E10" s="30" t="str">
        <x:v>SE Palmeiras</x:v>
      </x:c>
      <x:c r="F10" s="30" t="str">
        <x:v>Observação</x:v>
      </x:c>
      <x:c r="G10" s="30" t="str">
        <x:v>Certeza Atual</x:v>
      </x:c>
      <x:c r="H10" s="30" t="n">
        <x:v>27</x:v>
      </x:c>
      <x:c r="I10" s="30" t="n">
        <x:f>IF(H10="","",H10+4)</x:f>
        <x:v>31</x:v>
      </x:c>
      <x:c r="J10" s="36" t="n">
        <x:v>7</x:v>
      </x:c>
      <x:c r="K10" s="36" t="n">
        <x:v>7</x:v>
      </x:c>
      <x:c r="L10" s="36" t="n">
        <x:f>IF(COUNT(J10:K10)=0,"",AVERAGE(J10:K10))</x:f>
        <x:v>7</x:v>
      </x:c>
      <x:c r="M10" s="30" t="str"/>
      <x:c r="N10" s="30" t="str"/>
      <x:c r="O10" s="30" t="str"/>
      <x:c r="P10" s="32" t="n">
        <x:v>36077</x:v>
      </x:c>
      <x:c r="Q10" s="30" t="str">
        <x:v>Rio das Ostras, Brasil</x:v>
      </x:c>
      <x:c r="R10" s="34" t="n">
        <x:v>2.04</x:v>
      </x:c>
      <x:c r="S10" s="30" t="str">
        <x:v>Esquerdo</x:v>
      </x:c>
      <x:c r="T10" s="30" t="str">
        <x:v>Brasil</x:v>
      </x:c>
      <x:c r="U10" s="30" t="str">
        <x:v>Bertolucci Sports</x:v>
      </x:c>
      <x:c r="V10" s="32" t="n">
        <x:v>45888</x:v>
      </x:c>
      <x:c r="W10" s="32" t="n">
        <x:v>47695</x:v>
      </x:c>
      <x:c r="X10" s="30"/>
      <x:c r="Y10" s="32"/>
      <x:c r="Z10" s="30" t="str">
        <x:v>Nike</x:v>
      </x:c>
      <x:c r="AA10" s="30" t="str">
        <x:v>Guarda-redes</x:v>
      </x:c>
      <x:c r="AB10" s="30" t="str"/>
      <x:c r="AC10" s="38" t="n">
        <x:v>7</x:v>
      </x:c>
      <x:c r="AD10" s="38" t="n">
        <x:v>7</x:v>
      </x:c>
      <x:c r="AE10" s="40" t="n">
        <x:f>IF(OR(AC10="",AD10="",AD10=0),"",AC10/AD10)</x:f>
        <x:v>1</x:v>
      </x:c>
      <x:c r="AF10" s="38" t="n">
        <x:f>IF(OR(AC10="",AD10=""),"",AC10-AD10)</x:f>
        <x:v>0</x:v>
      </x:c>
      <x:c r="AG10" s="32" t="n">
        <x:v>46167</x:v>
      </x:c>
      <x:c r="AH10" s="32" t="n">
        <x:v>46167</x:v>
      </x:c>
      <x:c r="AI10" s="30"/>
      <x:c r="AJ10" s="32"/>
    </x:row>
    <x:row r="11">
      <x:c r="A11" s="30" t="str">
        <x:v>Danilo</x:v>
      </x:c>
      <x:c r="B11" s="30" t="str">
        <x:v>Danilo dos Santos de Oliveira</x:v>
      </x:c>
      <x:c r="C11" s="30" t="str">
        <x:v>Volante</x:v>
      </x:c>
      <x:c r="D11" s="30" t="str">
        <x:v>Mezzala direito | Mezzala esquerdo</x:v>
      </x:c>
      <x:c r="E11" s="30" t="str">
        <x:v>Botafogo FR</x:v>
      </x:c>
      <x:c r="F11" s="30" t="str">
        <x:v>Observação</x:v>
      </x:c>
      <x:c r="G11" s="30" t="str">
        <x:v>Observação</x:v>
      </x:c>
      <x:c r="H11" s="30" t="n">
        <x:v>25</x:v>
      </x:c>
      <x:c r="I11" s="30" t="n">
        <x:f>IF(H11="","",H11+4)</x:f>
        <x:v>29</x:v>
      </x:c>
      <x:c r="J11" s="36" t="n">
        <x:v>6.5</x:v>
      </x:c>
      <x:c r="K11" s="36" t="n">
        <x:v>7</x:v>
      </x:c>
      <x:c r="L11" s="36" t="n">
        <x:f>IF(COUNT(J11:K11)=0,"",AVERAGE(J11:K11))</x:f>
        <x:v>6.75</x:v>
      </x:c>
      <x:c r="M11" s="30" t="str"/>
      <x:c r="N11" s="30" t="str"/>
      <x:c r="O11" s="30" t="str"/>
      <x:c r="P11" s="32" t="n">
        <x:v>37010</x:v>
      </x:c>
      <x:c r="Q11" s="30" t="str">
        <x:v>Salvador, Brasil</x:v>
      </x:c>
      <x:c r="R11" s="34" t="n">
        <x:v>1.77</x:v>
      </x:c>
      <x:c r="S11" s="30" t="str">
        <x:v>Esquerdo</x:v>
      </x:c>
      <x:c r="T11" s="30" t="str">
        <x:v>Brasil</x:v>
      </x:c>
      <x:c r="U11" s="30" t="str">
        <x:v>Bertolucci Sports</x:v>
      </x:c>
      <x:c r="V11" s="32" t="n">
        <x:v>45856</x:v>
      </x:c>
      <x:c r="W11" s="32" t="n">
        <x:v>47299</x:v>
      </x:c>
      <x:c r="X11" s="30"/>
      <x:c r="Y11" s="32"/>
      <x:c r="Z11" s="30" t="str">
        <x:v>Nike</x:v>
      </x:c>
      <x:c r="AA11" s="30" t="str">
        <x:v>Médio Centro</x:v>
      </x:c>
      <x:c r="AB11" s="30" t="str">
        <x:v>Médio Defensivo | Médio Ofensivo</x:v>
      </x:c>
      <x:c r="AC11" s="38" t="n">
        <x:v>32</x:v>
      </x:c>
      <x:c r="AD11" s="38" t="n">
        <x:v>32</x:v>
      </x:c>
      <x:c r="AE11" s="40" t="n">
        <x:f>IF(OR(AC11="",AD11="",AD11=0),"",AC11/AD11)</x:f>
        <x:v>1</x:v>
      </x:c>
      <x:c r="AF11" s="38" t="n">
        <x:f>IF(OR(AC11="",AD11=""),"",AC11-AD11)</x:f>
        <x:v>0</x:v>
      </x:c>
      <x:c r="AG11" s="32" t="n">
        <x:v>46167</x:v>
      </x:c>
      <x:c r="AH11" s="32" t="n">
        <x:v>46167</x:v>
      </x:c>
      <x:c r="AI11" s="30"/>
      <x:c r="AJ11" s="32"/>
    </x:row>
    <x:row r="12">
      <x:c r="A12" s="30" t="str">
        <x:v>Denner</x:v>
      </x:c>
      <x:c r="B12" s="30" t="str">
        <x:v>Denner Alves Evangelista Pereira</x:v>
      </x:c>
      <x:c r="C12" s="30" t="str">
        <x:v>Lateral-esquerdo</x:v>
      </x:c>
      <x:c r="D12" s="30" t="str"/>
      <x:c r="E12" s="30" t="str">
        <x:v>Chelsea FC</x:v>
      </x:c>
      <x:c r="F12" s="30" t="str">
        <x:v>Reservas</x:v>
      </x:c>
      <x:c r="G12" s="30" t="str">
        <x:v>Promessa 2030</x:v>
      </x:c>
      <x:c r="H12" s="30" t="n">
        <x:v>18</x:v>
      </x:c>
      <x:c r="I12" s="30" t="n">
        <x:f>IF(H12="","",H12+4)</x:f>
        <x:v>22</x:v>
      </x:c>
      <x:c r="J12" s="36" t="n">
        <x:v>7</x:v>
      </x:c>
      <x:c r="K12" s="36" t="n">
        <x:v>8</x:v>
      </x:c>
      <x:c r="L12" s="36" t="n">
        <x:f>IF(COUNT(J12:K12)=0,"",AVERAGE(J12:K12))</x:f>
        <x:v>7.5</x:v>
      </x:c>
      <x:c r="M12" s="30" t="str">
        <x:v>Capacidade técnica invejável e ótima leitura tática.</x:v>
      </x:c>
      <x:c r="N12" s="30" t="str">
        <x:v>Muito jovem, precisa ser lapidado no time principal profissional.</x:v>
      </x:c>
      <x:c r="O12" s="30" t="str">
        <x:v>Roberto projeta teto competitivo muito elevado, similar a estrelas globais.</x:v>
      </x:c>
      <x:c r="P12" s="32" t="n">
        <x:v>39503</x:v>
      </x:c>
      <x:c r="Q12" s="30"/>
      <x:c r="R12" s="34" t="n">
        <x:v>1.75</x:v>
      </x:c>
      <x:c r="S12" s="30" t="str">
        <x:v>Esquerdo</x:v>
      </x:c>
      <x:c r="T12" s="30" t="str">
        <x:v>Brasil</x:v>
      </x:c>
      <x:c r="U12" s="30"/>
      <x:c r="V12" s="32" t="n">
        <x:v>46204</x:v>
      </x:c>
      <x:c r="W12" s="32" t="n">
        <x:v>48395</x:v>
      </x:c>
      <x:c r="X12" s="30"/>
      <x:c r="Y12" s="32"/>
      <x:c r="Z12" s="30" t="str">
        <x:v>adidas</x:v>
      </x:c>
      <x:c r="AA12" s="30" t="str">
        <x:v>Lateral Esquerdo</x:v>
      </x:c>
      <x:c r="AB12" s="30" t="str"/>
      <x:c r="AC12" s="38"/>
      <x:c r="AD12" s="38"/>
      <x:c r="AE12" s="40" t="str">
        <x:f>IF(OR(AC12="",AD12="",AD12=0),"",AC12/AD12)</x:f>
      </x:c>
      <x:c r="AF12" s="38" t="str">
        <x:f>IF(OR(AC12="",AD12=""),"",AC12-AD12)</x:f>
      </x:c>
      <x:c r="AG12" s="32"/>
      <x:c r="AH12" s="32"/>
      <x:c r="AI12" s="30" t="str">
        <x:v>Imagem fornecida pelo usuário</x:v>
      </x:c>
      <x:c r="AJ12" s="32" t="n">
        <x:v>46220</x:v>
      </x:c>
    </x:row>
    <x:row r="13">
      <x:c r="A13" s="30" t="str">
        <x:v>Diego Callai</x:v>
      </x:c>
      <x:c r="B13" s="30" t="str">
        <x:v>Diego Callai Silva</x:v>
      </x:c>
      <x:c r="C13" s="30" t="str">
        <x:v>Goleiro</x:v>
      </x:c>
      <x:c r="D13" s="30" t="str"/>
      <x:c r="E13" s="30" t="str">
        <x:v>Sporting CP B</x:v>
      </x:c>
      <x:c r="F13" s="30" t="str">
        <x:v>Observação</x:v>
      </x:c>
      <x:c r="G13" s="30" t="str">
        <x:v>Observação</x:v>
      </x:c>
      <x:c r="H13" s="30" t="n">
        <x:v>21</x:v>
      </x:c>
      <x:c r="I13" s="30" t="n">
        <x:f>IF(H13="","",H13+4)</x:f>
        <x:v>25</x:v>
      </x:c>
      <x:c r="J13" s="36" t="n">
        <x:v>6.5</x:v>
      </x:c>
      <x:c r="K13" s="36" t="n">
        <x:v>6.5</x:v>
      </x:c>
      <x:c r="L13" s="36" t="n">
        <x:f>IF(COUNT(J13:K13)=0,"",AVERAGE(J13:K13))</x:f>
        <x:v>6.5</x:v>
      </x:c>
      <x:c r="M13" s="30" t="str"/>
      <x:c r="N13" s="30" t="str"/>
      <x:c r="O13" s="30" t="str"/>
      <x:c r="P13" s="32" t="n">
        <x:v>38186</x:v>
      </x:c>
      <x:c r="Q13" s="30" t="str">
        <x:v>Caxias do Sul, Brasil</x:v>
      </x:c>
      <x:c r="R13" s="34" t="n">
        <x:v>1.92</x:v>
      </x:c>
      <x:c r="S13" s="30" t="str">
        <x:v>Direito</x:v>
      </x:c>
      <x:c r="T13" s="30" t="str">
        <x:v>Brasil | Portugal</x:v>
      </x:c>
      <x:c r="U13" s="30" t="str">
        <x:v>AS1</x:v>
      </x:c>
      <x:c r="V13" s="32" t="n">
        <x:v>45658</x:v>
      </x:c>
      <x:c r="W13" s="32" t="n">
        <x:v>47664</x:v>
      </x:c>
      <x:c r="X13" s="30"/>
      <x:c r="Y13" s="32"/>
      <x:c r="Z13" s="30"/>
      <x:c r="AA13" s="30" t="str">
        <x:v>Guarda-redes</x:v>
      </x:c>
      <x:c r="AB13" s="30" t="str"/>
      <x:c r="AC13" s="38" t="n">
        <x:v>1.5</x:v>
      </x:c>
      <x:c r="AD13" s="38" t="n">
        <x:v>1.5</x:v>
      </x:c>
      <x:c r="AE13" s="40" t="n">
        <x:f>IF(OR(AC13="",AD13="",AD13=0),"",AC13/AD13)</x:f>
        <x:v>1</x:v>
      </x:c>
      <x:c r="AF13" s="38" t="n">
        <x:f>IF(OR(AC13="",AD13=""),"",AC13-AD13)</x:f>
        <x:v>0</x:v>
      </x:c>
      <x:c r="AG13" s="32" t="n">
        <x:v>46196</x:v>
      </x:c>
      <x:c r="AH13" s="32" t="n">
        <x:v>46196</x:v>
      </x:c>
      <x:c r="AI13" s="30"/>
      <x:c r="AJ13" s="32"/>
    </x:row>
    <x:row r="14">
      <x:c r="A14" s="30" t="str">
        <x:v>Endrick</x:v>
      </x:c>
      <x:c r="B14" s="30" t="str">
        <x:v>Endrick Felipe Moreira de Sousa</x:v>
      </x:c>
      <x:c r="C14" s="30" t="str">
        <x:v>Centroavante</x:v>
      </x:c>
      <x:c r="D14" s="30" t="str">
        <x:v>Segundo atacante | Ponta-direita</x:v>
      </x:c>
      <x:c r="E14" s="30" t="str">
        <x:v>Real Madrid CF</x:v>
      </x:c>
      <x:c r="F14" s="30" t="str">
        <x:v>Titulares</x:v>
      </x:c>
      <x:c r="G14" s="30" t="str">
        <x:v>Certeza Atual</x:v>
      </x:c>
      <x:c r="H14" s="30" t="n">
        <x:v>19</x:v>
      </x:c>
      <x:c r="I14" s="30" t="n">
        <x:f>IF(H14="","",H14+4)</x:f>
        <x:v>23</x:v>
      </x:c>
      <x:c r="J14" s="36" t="n">
        <x:v>8</x:v>
      </x:c>
      <x:c r="K14" s="36" t="n">
        <x:v>9</x:v>
      </x:c>
      <x:c r="L14" s="36" t="n">
        <x:f>IF(COUNT(J14:K14)=0,"",AVERAGE(J14:K14))</x:f>
        <x:v>8.5</x:v>
      </x:c>
      <x:c r="M14" s="30" t="str">
        <x:v>Explosão muscular fantástica, poder de chute e faro artilheiro.</x:v>
      </x:c>
      <x:c r="N14" s="30" t="str">
        <x:v>Necessita de minutagem constante em competições de elite.</x:v>
      </x:c>
      <x:c r="O14" s="30" t="str">
        <x:v>O centroavante titular absoluto projetado para liderar o ataque em 2030.</x:v>
      </x:c>
      <x:c r="P14" s="32" t="n">
        <x:v>38919</x:v>
      </x:c>
      <x:c r="Q14" s="30" t="str">
        <x:v>Taguatinga, Brasil</x:v>
      </x:c>
      <x:c r="R14" s="34" t="n">
        <x:v>1.72</x:v>
      </x:c>
      <x:c r="S14" s="30" t="str">
        <x:v>Esquerdo</x:v>
      </x:c>
      <x:c r="T14" s="30" t="str">
        <x:v>Brasil</x:v>
      </x:c>
      <x:c r="U14" s="30" t="str">
        <x:v>Roc Nation Sports</x:v>
      </x:c>
      <x:c r="V14" s="32" t="n">
        <x:v>45494</x:v>
      </x:c>
      <x:c r="W14" s="32" t="n">
        <x:v>47664</x:v>
      </x:c>
      <x:c r="X14" s="30"/>
      <x:c r="Y14" s="32"/>
      <x:c r="Z14" s="30" t="str">
        <x:v>New Balance</x:v>
      </x:c>
      <x:c r="AA14" s="30" t="str">
        <x:v>Ponta de Lança</x:v>
      </x:c>
      <x:c r="AB14" s="30" t="str">
        <x:v>Segundo Avançado | Extremo Direito</x:v>
      </x:c>
      <x:c r="AC14" s="38" t="n">
        <x:v>40</x:v>
      </x:c>
      <x:c r="AD14" s="38" t="n">
        <x:v>60</x:v>
      </x:c>
      <x:c r="AE14" s="40" t="n">
        <x:f>IF(OR(AC14="",AD14="",AD14=0),"",AC14/AD14)</x:f>
        <x:v>0.6666666666666666</x:v>
      </x:c>
      <x:c r="AF14" s="38" t="n">
        <x:f>IF(OR(AC14="",AD14=""),"",AC14-AD14)</x:f>
        <x:v>-20</x:v>
      </x:c>
      <x:c r="AG14" s="32" t="n">
        <x:v>45398</x:v>
      </x:c>
      <x:c r="AH14" s="32" t="n">
        <x:v>46173</x:v>
      </x:c>
      <x:c r="AI14" s="30"/>
      <x:c r="AJ14" s="32"/>
    </x:row>
    <x:row r="15">
      <x:c r="A15" s="30" t="str">
        <x:v>Estevão</x:v>
      </x:c>
      <x:c r="B15" s="30" t="str">
        <x:v>Estêvão Willian Almeida de Oliveira Gonçalves</x:v>
      </x:c>
      <x:c r="C15" s="30" t="str">
        <x:v>Ponta-direita</x:v>
      </x:c>
      <x:c r="D15" s="30" t="str">
        <x:v>Meia-armador | Meia-direita</x:v>
      </x:c>
      <x:c r="E15" s="30" t="str">
        <x:v>Chelsea FC</x:v>
      </x:c>
      <x:c r="F15" s="30" t="str">
        <x:v>Titulares</x:v>
      </x:c>
      <x:c r="G15" s="30" t="str">
        <x:v>Promessa 2030</x:v>
      </x:c>
      <x:c r="H15" s="30" t="n">
        <x:v>19</x:v>
      </x:c>
      <x:c r="I15" s="30" t="n">
        <x:f>IF(H15="","",H15+4)</x:f>
        <x:v>23</x:v>
      </x:c>
      <x:c r="J15" s="36" t="n">
        <x:v>9</x:v>
      </x:c>
      <x:c r="K15" s="36" t="n">
        <x:v>10</x:v>
      </x:c>
      <x:c r="L15" s="36" t="n">
        <x:f>IF(COUNT(J15:K15)=0,"",AVERAGE(J15:K15))</x:f>
        <x:v>9.5</x:v>
      </x:c>
      <x:c r="M15" s="30" t="str">
        <x:v>Capacidade de drible genial, mentalidade vencedora e criatividade extrema.</x:v>
      </x:c>
      <x:c r="N15" s="30" t="str">
        <x:v>Cuidados necessários com a carga física nesta transição inicial.</x:v>
      </x:c>
      <x:c r="O15" s="30" t="str">
        <x:v>Classificado com nota 10 por Roberto devido à sua genialidade sem precedentes.</x:v>
      </x:c>
      <x:c r="P15" s="32" t="n">
        <x:v>39196</x:v>
      </x:c>
      <x:c r="Q15" s="30" t="str">
        <x:v>Franca, Brasil</x:v>
      </x:c>
      <x:c r="R15" s="34" t="n">
        <x:v>1.78</x:v>
      </x:c>
      <x:c r="S15" s="30" t="str">
        <x:v>Esquerdo</x:v>
      </x:c>
      <x:c r="T15" s="30" t="str">
        <x:v>Brasil</x:v>
      </x:c>
      <x:c r="U15" s="30" t="str">
        <x:v>LINK SPORTS</x:v>
      </x:c>
      <x:c r="V15" s="32" t="n">
        <x:v>45852</x:v>
      </x:c>
      <x:c r="W15" s="32" t="n">
        <x:v>48760</x:v>
      </x:c>
      <x:c r="X15" s="30"/>
      <x:c r="Y15" s="32"/>
      <x:c r="Z15" s="30" t="str">
        <x:v>Nike</x:v>
      </x:c>
      <x:c r="AA15" s="30" t="str">
        <x:v>Extremo Direito</x:v>
      </x:c>
      <x:c r="AB15" s="30" t="str">
        <x:v>Médio Ofensivo | Médio Direito</x:v>
      </x:c>
      <x:c r="AC15" s="38" t="n">
        <x:v>80</x:v>
      </x:c>
      <x:c r="AD15" s="38" t="n">
        <x:v>80</x:v>
      </x:c>
      <x:c r="AE15" s="40" t="n">
        <x:f>IF(OR(AC15="",AD15="",AD15=0),"",AC15/AD15)</x:f>
        <x:v>1</x:v>
      </x:c>
      <x:c r="AF15" s="38" t="n">
        <x:f>IF(OR(AC15="",AD15=""),"",AC15-AD15)</x:f>
        <x:v>0</x:v>
      </x:c>
      <x:c r="AG15" s="32" t="n">
        <x:v>45999</x:v>
      </x:c>
      <x:c r="AH15" s="32" t="n">
        <x:v>46175</x:v>
      </x:c>
      <x:c r="AI15" s="30" t="str">
        <x:v>Imagem fornecida pelo usuário</x:v>
      </x:c>
      <x:c r="AJ15" s="32" t="n">
        <x:v>46220</x:v>
      </x:c>
    </x:row>
    <x:row r="16">
      <x:c r="A16" s="30" t="str">
        <x:v>Gabriel Magalhães</x:v>
      </x:c>
      <x:c r="B16" s="30" t="str">
        <x:v>Gabriel dos Santos Magalhães</x:v>
      </x:c>
      <x:c r="C16" s="30" t="str">
        <x:v>Zagueiro</x:v>
      </x:c>
      <x:c r="D16" s="30" t="str"/>
      <x:c r="E16" s="30" t="str">
        <x:v>FC Arsenal</x:v>
      </x:c>
      <x:c r="F16" s="30" t="str">
        <x:v>Titulares</x:v>
      </x:c>
      <x:c r="G16" s="30" t="str">
        <x:v>Certeza Atual</x:v>
      </x:c>
      <x:c r="H16" s="30" t="n">
        <x:v>28</x:v>
      </x:c>
      <x:c r="I16" s="30" t="n">
        <x:f>IF(H16="","",H16+4)</x:f>
        <x:v>32</x:v>
      </x:c>
      <x:c r="J16" s="36" t="n">
        <x:v>9</x:v>
      </x:c>
      <x:c r="K16" s="36" t="n">
        <x:v>9</x:v>
      </x:c>
      <x:c r="L16" s="36" t="n">
        <x:f>IF(COUNT(J16:K16)=0,"",AVERAGE(J16:K16))</x:f>
        <x:v>9</x:v>
      </x:c>
      <x:c r="M16" s="30" t="str">
        <x:v>Combate aéreo imbatível, liderança nata e estabilidade de elite.</x:v>
      </x:c>
      <x:c r="N16" s="30" t="str">
        <x:v>Nenhum ponto fraco relevante apontado no ciclo tático.</x:v>
      </x:c>
      <x:c r="O16" s="30" t="str">
        <x:v>Dono absoluto da posição e grande líder da defesa brasileira.</x:v>
      </x:c>
      <x:c r="P16" s="32" t="n">
        <x:v>35783</x:v>
      </x:c>
      <x:c r="Q16" s="30" t="str">
        <x:v>São Paulo, Brasil</x:v>
      </x:c>
      <x:c r="R16" s="34" t="n">
        <x:v>1.9</x:v>
      </x:c>
      <x:c r="S16" s="30" t="str">
        <x:v>Esquerdo</x:v>
      </x:c>
      <x:c r="T16" s="30" t="str">
        <x:v>Brasil</x:v>
      </x:c>
      <x:c r="U16" s="30" t="str">
        <x:v>Bertolucci Sports</x:v>
      </x:c>
      <x:c r="V16" s="32" t="n">
        <x:v>44075</x:v>
      </x:c>
      <x:c r="W16" s="32" t="n">
        <x:v>47299</x:v>
      </x:c>
      <x:c r="X16" s="30"/>
      <x:c r="Y16" s="32" t="n">
        <x:v>45814</x:v>
      </x:c>
      <x:c r="Z16" s="30"/>
      <x:c r="AA16" s="30" t="str">
        <x:v>Defesa Central</x:v>
      </x:c>
      <x:c r="AB16" s="30" t="str"/>
      <x:c r="AC16" s="38" t="n">
        <x:v>75</x:v>
      </x:c>
      <x:c r="AD16" s="38" t="n">
        <x:v>75</x:v>
      </x:c>
      <x:c r="AE16" s="40" t="n">
        <x:f>IF(OR(AC16="",AD16="",AD16=0),"",AC16/AD16)</x:f>
        <x:v>1</x:v>
      </x:c>
      <x:c r="AF16" s="38" t="n">
        <x:f>IF(OR(AC16="",AD16=""),"",AC16-AD16)</x:f>
        <x:v>0</x:v>
      </x:c>
      <x:c r="AG16" s="32" t="n">
        <x:v>45565</x:v>
      </x:c>
      <x:c r="AH16" s="32" t="n">
        <x:v>46175</x:v>
      </x:c>
      <x:c r="AI16" s="30" t="str">
        <x:v>Imagem fornecida pelo usuário</x:v>
      </x:c>
      <x:c r="AJ16" s="32" t="n">
        <x:v>46220</x:v>
      </x:c>
    </x:row>
    <x:row r="17">
      <x:c r="A17" s="30" t="str">
        <x:v>Gabriel Martinelli</x:v>
      </x:c>
      <x:c r="B17" s="30" t="str">
        <x:v>Gabriel Teodoro Martinelli Silva</x:v>
      </x:c>
      <x:c r="C17" s="30" t="str">
        <x:v>Ponta-esquerda</x:v>
      </x:c>
      <x:c r="D17" s="30" t="str">
        <x:v>Meia-armador | Mezzala esquerdo</x:v>
      </x:c>
      <x:c r="E17" s="30" t="str">
        <x:v>FC Arsenal</x:v>
      </x:c>
      <x:c r="F17" s="30" t="str">
        <x:v>Reservas</x:v>
      </x:c>
      <x:c r="G17" s="30" t="str">
        <x:v>Certeza Atual</x:v>
      </x:c>
      <x:c r="H17" s="30" t="n">
        <x:v>25</x:v>
      </x:c>
      <x:c r="I17" s="30" t="n">
        <x:f>IF(H17="","",H17+4)</x:f>
        <x:v>29</x:v>
      </x:c>
      <x:c r="J17" s="36" t="n">
        <x:v>7.5</x:v>
      </x:c>
      <x:c r="K17" s="36" t="n">
        <x:v>8</x:v>
      </x:c>
      <x:c r="L17" s="36" t="n">
        <x:f>IF(COUNT(J17:K17)=0,"",AVERAGE(J17:K17))</x:f>
        <x:v>7.75</x:v>
      </x:c>
      <x:c r="M17" s="30" t="str">
        <x:v>Intensidade sem a bola, recomposição exemplar e poder de explosão.</x:v>
      </x:c>
      <x:c r="N17" s="30" t="str">
        <x:v>Menor refino técnico se comparado aos titulares da ponta.</x:v>
      </x:c>
      <x:c r="O17" s="30" t="str">
        <x:v>Roberto destaca sua competitividade tática incomparável no elenco.</x:v>
      </x:c>
      <x:c r="P17" s="32" t="n">
        <x:v>37060</x:v>
      </x:c>
      <x:c r="Q17" s="30" t="str">
        <x:v>Guarulhos, Brasil</x:v>
      </x:c>
      <x:c r="R17" s="34" t="n">
        <x:v>1.78</x:v>
      </x:c>
      <x:c r="S17" s="30" t="str">
        <x:v>Direito</x:v>
      </x:c>
      <x:c r="T17" s="30" t="str">
        <x:v>Brasil | Itália</x:v>
      </x:c>
      <x:c r="U17" s="30" t="str">
        <x:v>Roc Nation Sports</x:v>
      </x:c>
      <x:c r="V17" s="32" t="n">
        <x:v>43648</x:v>
      </x:c>
      <x:c r="W17" s="32" t="n">
        <x:v>46568</x:v>
      </x:c>
      <x:c r="X17" s="30" t="str">
        <x:v>Mais um ano</x:v>
      </x:c>
      <x:c r="Y17" s="32" t="n">
        <x:v>44960</x:v>
      </x:c>
      <x:c r="Z17" s="30" t="str">
        <x:v>adidas</x:v>
      </x:c>
      <x:c r="AA17" s="30" t="str">
        <x:v>Extremo Esquerdo</x:v>
      </x:c>
      <x:c r="AB17" s="30" t="str">
        <x:v>Extremo Direito</x:v>
      </x:c>
      <x:c r="AC17" s="38" t="n">
        <x:v>45</x:v>
      </x:c>
      <x:c r="AD17" s="38" t="n">
        <x:v>85</x:v>
      </x:c>
      <x:c r="AE17" s="40" t="n">
        <x:f>IF(OR(AC17="",AD17="",AD17=0),"",AC17/AD17)</x:f>
        <x:v>0.5294117647058824</x:v>
      </x:c>
      <x:c r="AF17" s="38" t="n">
        <x:f>IF(OR(AC17="",AD17=""),"",AC17-AD17)</x:f>
        <x:v>-40</x:v>
      </x:c>
      <x:c r="AG17" s="32" t="n">
        <x:v>45278</x:v>
      </x:c>
      <x:c r="AH17" s="32" t="n">
        <x:v>46175</x:v>
      </x:c>
      <x:c r="AI17" s="30" t="str">
        <x:v>Imagem fornecida pelo usuário</x:v>
      </x:c>
      <x:c r="AJ17" s="32" t="n">
        <x:v>46220</x:v>
      </x:c>
    </x:row>
    <x:row r="18">
      <x:c r="A18" s="30" t="str">
        <x:v>Gabriel Mec</x:v>
      </x:c>
      <x:c r="B18" s="30" t="str">
        <x:v>Gabriel Ferreira de Carvalho</x:v>
      </x:c>
      <x:c r="C18" s="30" t="str">
        <x:v>Meia-armador</x:v>
      </x:c>
      <x:c r="D18" s="30" t="str">
        <x:v>Ponta-esquerda | Segundo atacante</x:v>
      </x:c>
      <x:c r="E18" s="30" t="str">
        <x:v>Grêmio FBPA</x:v>
      </x:c>
      <x:c r="F18" s="30" t="str">
        <x:v>Observação</x:v>
      </x:c>
      <x:c r="G18" s="30" t="str">
        <x:v>Promessa 2030</x:v>
      </x:c>
      <x:c r="H18" s="30" t="n">
        <x:v>18</x:v>
      </x:c>
      <x:c r="I18" s="30" t="n">
        <x:f>IF(H18="","",H18+4)</x:f>
        <x:v>22</x:v>
      </x:c>
      <x:c r="J18" s="36" t="n">
        <x:v>7.5</x:v>
      </x:c>
      <x:c r="K18" s="36" t="n">
        <x:v>7.5</x:v>
      </x:c>
      <x:c r="L18" s="36" t="n">
        <x:f>IF(COUNT(J18:K18)=0,"",AVERAGE(J18:K18))</x:f>
        <x:v>7.5</x:v>
      </x:c>
      <x:c r="M18" s="30" t="str">
        <x:v>Passe cirúrgico, criatividade acima da média e inteligência.</x:v>
      </x:c>
      <x:c r="N18" s="30" t="str">
        <x:v>Ainda em processo inicial de maturação física no esporte profissional.</x:v>
      </x:c>
      <x:c r="O18" s="30" t="str">
        <x:v>Vini acompanha de perto o garoto, vislumbrando um armador ideal para o futuro.</x:v>
      </x:c>
      <x:c r="P18" s="32" t="n">
        <x:v>39549</x:v>
      </x:c>
      <x:c r="Q18" s="30" t="str">
        <x:v>Campos dos Goytacazes, Brasil</x:v>
      </x:c>
      <x:c r="R18" s="34" t="n">
        <x:v>1.73</x:v>
      </x:c>
      <x:c r="S18" s="30" t="str">
        <x:v>Ambos</x:v>
      </x:c>
      <x:c r="T18" s="30" t="str">
        <x:v>Brasil</x:v>
      </x:c>
      <x:c r="U18" s="30" t="str">
        <x:v>Hub Agent Sports</x:v>
      </x:c>
      <x:c r="V18" s="32" t="n">
        <x:v>45685</x:v>
      </x:c>
      <x:c r="W18" s="32" t="n">
        <x:v>46568</x:v>
      </x:c>
      <x:c r="X18" s="30"/>
      <x:c r="Y18" s="32"/>
      <x:c r="Z18" s="30"/>
      <x:c r="AA18" s="30" t="str">
        <x:v>Médio Ofensivo</x:v>
      </x:c>
      <x:c r="AB18" s="30" t="str">
        <x:v>Extremo Esquerdo | Extremo Direito</x:v>
      </x:c>
      <x:c r="AC18" s="38" t="n">
        <x:v>16</x:v>
      </x:c>
      <x:c r="AD18" s="38" t="n">
        <x:v>16</x:v>
      </x:c>
      <x:c r="AE18" s="40" t="n">
        <x:f>IF(OR(AC18="",AD18="",AD18=0),"",AC18/AD18)</x:f>
        <x:v>1</x:v>
      </x:c>
      <x:c r="AF18" s="38" t="n">
        <x:f>IF(OR(AC18="",AD18=""),"",AC18-AD18)</x:f>
        <x:v>0</x:v>
      </x:c>
      <x:c r="AG18" s="32" t="n">
        <x:v>46167</x:v>
      </x:c>
      <x:c r="AH18" s="32" t="n">
        <x:v>46167</x:v>
      </x:c>
      <x:c r="AI18" s="30" t="str">
        <x:v>Imagem fornecida pelo usuário</x:v>
      </x:c>
      <x:c r="AJ18" s="32" t="n">
        <x:v>46220</x:v>
      </x:c>
    </x:row>
    <x:row r="19">
      <x:c r="A19" s="30" t="str">
        <x:v>Guilherme Garutti</x:v>
      </x:c>
      <x:c r="B19" s="30" t="str">
        <x:v>Guilherme Gomes Garutti</x:v>
      </x:c>
      <x:c r="C19" s="30" t="str">
        <x:v>Zagueiro</x:v>
      </x:c>
      <x:c r="D19" s="30" t="str"/>
      <x:c r="E19" s="30" t="str">
        <x:v>ACSC FC Arges</x:v>
      </x:c>
      <x:c r="F19" s="30" t="str">
        <x:v>Observação</x:v>
      </x:c>
      <x:c r="G19" s="30" t="str">
        <x:v>Certeza Atual</x:v>
      </x:c>
      <x:c r="H19" s="30" t="n">
        <x:v>32</x:v>
      </x:c>
      <x:c r="I19" s="30" t="n">
        <x:f>IF(H19="","",H19+4)</x:f>
        <x:v>36</x:v>
      </x:c>
      <x:c r="J19" s="36" t="n">
        <x:v>6</x:v>
      </x:c>
      <x:c r="K19" s="36" t="n">
        <x:v>6.5</x:v>
      </x:c>
      <x:c r="L19" s="36" t="n">
        <x:f>IF(COUNT(J19:K19)=0,"",AVERAGE(J19:K19))</x:f>
        <x:v>6.25</x:v>
      </x:c>
      <x:c r="M19" s="30" t="str"/>
      <x:c r="N19" s="30" t="str"/>
      <x:c r="O19" s="30" t="str"/>
      <x:c r="P19" s="32" t="n">
        <x:v>34401</x:v>
      </x:c>
      <x:c r="Q19" s="30"/>
      <x:c r="R19" s="34" t="n">
        <x:v>1.94</x:v>
      </x:c>
      <x:c r="S19" s="30" t="str">
        <x:v>Direito</x:v>
      </x:c>
      <x:c r="T19" s="30" t="str">
        <x:v>Brasil | Itália</x:v>
      </x:c>
      <x:c r="U19" s="30" t="str">
        <x:v>FGA</x:v>
      </x:c>
      <x:c r="V19" s="32" t="n">
        <x:v>45496</x:v>
      </x:c>
      <x:c r="W19" s="32"/>
      <x:c r="X19" s="30"/>
      <x:c r="Y19" s="32"/>
      <x:c r="Z19" s="30"/>
      <x:c r="AA19" s="30" t="str">
        <x:v>Defesa Central</x:v>
      </x:c>
      <x:c r="AB19" s="30" t="str"/>
      <x:c r="AC19" s="38" t="n">
        <x:v>0.175</x:v>
      </x:c>
      <x:c r="AD19" s="38" t="n">
        <x:v>0.4</x:v>
      </x:c>
      <x:c r="AE19" s="40" t="n">
        <x:f>IF(OR(AC19="",AD19="",AD19=0),"",AC19/AD19)</x:f>
        <x:v>0.43749999999999994</x:v>
      </x:c>
      <x:c r="AF19" s="38" t="n">
        <x:f>IF(OR(AC19="",AD19=""),"",AC19-AD19)</x:f>
        <x:v>-0.22500000000000003</x:v>
      </x:c>
      <x:c r="AG19" s="32" t="n">
        <x:v>44714</x:v>
      </x:c>
      <x:c r="AH19" s="32" t="n">
        <x:v>46180</x:v>
      </x:c>
      <x:c r="AI19" s="30" t="str">
        <x:v>Imagem fornecida pelo usuário</x:v>
      </x:c>
      <x:c r="AJ19" s="32" t="n">
        <x:v>46220</x:v>
      </x:c>
    </x:row>
    <x:row r="20">
      <x:c r="A20" s="30" t="str">
        <x:v>Hugo Souza</x:v>
      </x:c>
      <x:c r="B20" s="30" t="str">
        <x:v>Hugo de Souza Nogueira</x:v>
      </x:c>
      <x:c r="C20" s="30" t="str">
        <x:v>Goleiro</x:v>
      </x:c>
      <x:c r="D20" s="30" t="str"/>
      <x:c r="E20" s="30" t="str">
        <x:v>SC Corinthians</x:v>
      </x:c>
      <x:c r="F20" s="30" t="str">
        <x:v>Reservas</x:v>
      </x:c>
      <x:c r="G20" s="30" t="str">
        <x:v>Certeza Atual</x:v>
      </x:c>
      <x:c r="H20" s="30" t="n">
        <x:v>27</x:v>
      </x:c>
      <x:c r="I20" s="30" t="n">
        <x:f>IF(H20="","",H20+4)</x:f>
        <x:v>31</x:v>
      </x:c>
      <x:c r="J20" s="36" t="n">
        <x:v>7.5</x:v>
      </x:c>
      <x:c r="K20" s="36" t="n">
        <x:v>7.5</x:v>
      </x:c>
      <x:c r="L20" s="36" t="n">
        <x:f>IF(COUNT(J20:K20)=0,"",AVERAGE(J20:K20))</x:f>
        <x:v>7.5</x:v>
      </x:c>
      <x:c r="M20" s="30" t="str"/>
      <x:c r="N20" s="30" t="str"/>
      <x:c r="O20" s="30" t="str"/>
      <x:c r="P20" s="32" t="n">
        <x:v>36191</x:v>
      </x:c>
      <x:c r="Q20" s="30" t="str">
        <x:v>Duque de Caxias, Brasil</x:v>
      </x:c>
      <x:c r="R20" s="34" t="n">
        <x:v>1.99</x:v>
      </x:c>
      <x:c r="S20" s="30" t="str">
        <x:v>Direito</x:v>
      </x:c>
      <x:c r="T20" s="30" t="str">
        <x:v>Brasil</x:v>
      </x:c>
      <x:c r="U20" s="30" t="str">
        <x:v>OTB Sports</x:v>
      </x:c>
      <x:c r="V20" s="32" t="n">
        <x:v>45658</x:v>
      </x:c>
      <x:c r="W20" s="32" t="n">
        <x:v>47848</x:v>
      </x:c>
      <x:c r="X20" s="30"/>
      <x:c r="Y20" s="32" t="n">
        <x:v>46066</x:v>
      </x:c>
      <x:c r="Z20" s="30" t="str">
        <x:v>adidas</x:v>
      </x:c>
      <x:c r="AA20" s="30" t="str">
        <x:v>Guarda-redes</x:v>
      </x:c>
      <x:c r="AB20" s="30" t="str"/>
      <x:c r="AC20" s="38" t="n">
        <x:v>11</x:v>
      </x:c>
      <x:c r="AD20" s="38" t="n">
        <x:v>11</x:v>
      </x:c>
      <x:c r="AE20" s="40" t="n">
        <x:f>IF(OR(AC20="",AD20="",AD20=0),"",AC20/AD20)</x:f>
        <x:v>1</x:v>
      </x:c>
      <x:c r="AF20" s="38" t="n">
        <x:f>IF(OR(AC20="",AD20=""),"",AC20-AD20)</x:f>
        <x:v>0</x:v>
      </x:c>
      <x:c r="AG20" s="32" t="n">
        <x:v>46092</x:v>
      </x:c>
      <x:c r="AH20" s="32" t="n">
        <x:v>46167</x:v>
      </x:c>
      <x:c r="AI20" s="30" t="str">
        <x:v>Imagem fornecida pelo usuário</x:v>
      </x:c>
      <x:c r="AJ20" s="32" t="n">
        <x:v>46220</x:v>
      </x:c>
    </x:row>
    <x:row r="21">
      <x:c r="A21" s="30" t="str">
        <x:v>Igor Jesus</x:v>
      </x:c>
      <x:c r="B21" s="30" t="str">
        <x:v>Igor Jesus Maciel da Cruz</x:v>
      </x:c>
      <x:c r="C21" s="30" t="str">
        <x:v>Centroavante</x:v>
      </x:c>
      <x:c r="D21" s="30" t="str"/>
      <x:c r="E21" s="30" t="str">
        <x:v>Nottingham Forest</x:v>
      </x:c>
      <x:c r="F21" s="30" t="str">
        <x:v>Reservas</x:v>
      </x:c>
      <x:c r="G21" s="30" t="str">
        <x:v>Certeza Atual</x:v>
      </x:c>
      <x:c r="H21" s="30" t="n">
        <x:v>25</x:v>
      </x:c>
      <x:c r="I21" s="30" t="n">
        <x:f>IF(H21="","",H21+4)</x:f>
        <x:v>29</x:v>
      </x:c>
      <x:c r="J21" s="36" t="n">
        <x:v>7.5</x:v>
      </x:c>
      <x:c r="K21" s="36" t="n">
        <x:v>8</x:v>
      </x:c>
      <x:c r="L21" s="36" t="n">
        <x:f>IF(COUNT(J21:K21)=0,"",AVERAGE(J21:K21))</x:f>
        <x:v>7.75</x:v>
      </x:c>
      <x:c r="M21" s="30" t="str"/>
      <x:c r="N21" s="30" t="str"/>
      <x:c r="O21" s="30" t="str"/>
      <x:c r="P21" s="32" t="n">
        <x:v>36947</x:v>
      </x:c>
      <x:c r="Q21" s="30" t="str">
        <x:v>Cuiabá, Brasil</x:v>
      </x:c>
      <x:c r="R21" s="34" t="n">
        <x:v>1.79</x:v>
      </x:c>
      <x:c r="S21" s="30" t="str">
        <x:v>Direito</x:v>
      </x:c>
      <x:c r="T21" s="30" t="str">
        <x:v>Brasil | Emirados Árabes Unidos</x:v>
      </x:c>
      <x:c r="U21" s="30" t="str">
        <x:v>JBSports</x:v>
      </x:c>
      <x:c r="V21" s="32" t="n">
        <x:v>45843</x:v>
      </x:c>
      <x:c r="W21" s="32" t="n">
        <x:v>47299</x:v>
      </x:c>
      <x:c r="X21" s="30"/>
      <x:c r="Y21" s="32"/>
      <x:c r="Z21" s="30"/>
      <x:c r="AA21" s="30" t="str">
        <x:v>Ponta de Lança</x:v>
      </x:c>
      <x:c r="AB21" s="30" t="str"/>
      <x:c r="AC21" s="38" t="n">
        <x:v>25</x:v>
      </x:c>
      <x:c r="AD21" s="38" t="n">
        <x:v>25</x:v>
      </x:c>
      <x:c r="AE21" s="40" t="n">
        <x:f>IF(OR(AC21="",AD21="",AD21=0),"",AC21/AD21)</x:f>
        <x:v>1</x:v>
      </x:c>
      <x:c r="AF21" s="38" t="n">
        <x:f>IF(OR(AC21="",AD21=""),"",AC21-AD21)</x:f>
        <x:v>0</x:v>
      </x:c>
      <x:c r="AG21" s="32" t="n">
        <x:v>46175</x:v>
      </x:c>
      <x:c r="AH21" s="32" t="n">
        <x:v>46175</x:v>
      </x:c>
      <x:c r="AI21" s="30" t="str">
        <x:v>Imagem fornecida pelo usuário</x:v>
      </x:c>
      <x:c r="AJ21" s="32" t="n">
        <x:v>46220</x:v>
      </x:c>
    </x:row>
    <x:row r="22">
      <x:c r="A22" s="30" t="str">
        <x:v>Jhuan</x:v>
      </x:c>
      <x:c r="B22" s="30"/>
      <x:c r="C22" s="30" t="str">
        <x:v>Ponta-direita</x:v>
      </x:c>
      <x:c r="D22" s="30" t="str"/>
      <x:c r="E22" s="30" t="str">
        <x:v>RB Bragantino Sub-20</x:v>
      </x:c>
      <x:c r="F22" s="30" t="str">
        <x:v>Observação</x:v>
      </x:c>
      <x:c r="G22" s="30" t="str">
        <x:v>Observação</x:v>
      </x:c>
      <x:c r="H22" s="30" t="n">
        <x:v>19</x:v>
      </x:c>
      <x:c r="I22" s="30" t="n">
        <x:f>IF(H22="","",H22+4)</x:f>
        <x:v>23</x:v>
      </x:c>
      <x:c r="J22" s="36" t="n">
        <x:v>6</x:v>
      </x:c>
      <x:c r="K22" s="36" t="n">
        <x:v>6.5</x:v>
      </x:c>
      <x:c r="L22" s="36" t="n">
        <x:f>IF(COUNT(J22:K22)=0,"",AVERAGE(J22:K22))</x:f>
        <x:v>6.25</x:v>
      </x:c>
      <x:c r="M22" s="30" t="str"/>
      <x:c r="N22" s="30" t="str"/>
      <x:c r="O22" s="30" t="str"/>
      <x:c r="P22" s="32"/>
      <x:c r="Q22" s="30"/>
      <x:c r="R22" s="34"/>
      <x:c r="S22" s="30"/>
      <x:c r="T22" s="30" t="str"/>
      <x:c r="U22" s="30"/>
      <x:c r="V22" s="32"/>
      <x:c r="W22" s="32"/>
      <x:c r="X22" s="30"/>
      <x:c r="Y22" s="32"/>
      <x:c r="Z22" s="30"/>
      <x:c r="AA22" s="30"/>
      <x:c r="AB22" s="30" t="str"/>
      <x:c r="AC22" s="38"/>
      <x:c r="AD22" s="38"/>
      <x:c r="AE22" s="40" t="str">
        <x:f>IF(OR(AC22="",AD22="",AD22=0),"",AC22/AD22)</x:f>
      </x:c>
      <x:c r="AF22" s="38" t="str">
        <x:f>IF(OR(AC22="",AD22=""),"",AC22-AD22)</x:f>
      </x:c>
      <x:c r="AG22" s="32"/>
      <x:c r="AH22" s="32"/>
      <x:c r="AI22" s="30"/>
      <x:c r="AJ22" s="32"/>
    </x:row>
    <x:row r="23">
      <x:c r="A23" s="30" t="str">
        <x:v>João Gomes</x:v>
      </x:c>
      <x:c r="B23" s="30" t="str">
        <x:v>João Victor Gomes da Silva</x:v>
      </x:c>
      <x:c r="C23" s="30" t="str">
        <x:v>Volante</x:v>
      </x:c>
      <x:c r="D23" s="30" t="str">
        <x:v>Mezzala direito | Mezzala esquerdo | Meia-direita</x:v>
      </x:c>
      <x:c r="E23" s="30" t="str">
        <x:v>Wolverhampton Wanderers</x:v>
      </x:c>
      <x:c r="F23" s="30" t="str">
        <x:v>Reservas</x:v>
      </x:c>
      <x:c r="G23" s="30" t="str">
        <x:v>Certeza Atual</x:v>
      </x:c>
      <x:c r="H23" s="30" t="n">
        <x:v>25</x:v>
      </x:c>
      <x:c r="I23" s="30" t="n">
        <x:f>IF(H23="","",H23+4)</x:f>
        <x:v>29</x:v>
      </x:c>
      <x:c r="J23" s="36" t="n">
        <x:v>7.5</x:v>
      </x:c>
      <x:c r="K23" s="36" t="n">
        <x:v>8</x:v>
      </x:c>
      <x:c r="L23" s="36" t="n">
        <x:f>IF(COUNT(J23:K23)=0,"",AVERAGE(J23:K23))</x:f>
        <x:v>7.75</x:v>
      </x:c>
      <x:c r="M23" s="30" t="str">
        <x:v>Combate defensivo agressivo de elite, alto índice de desarmes e fôlego interminável.</x:v>
      </x:c>
      <x:c r="N23" s="30" t="str">
        <x:v>Controle disciplinar e passes longos de quebra de bloco.</x:v>
      </x:c>
      <x:c r="O23" s="30" t="str">
        <x:v>O verdadeiro cão de guarda do radar. Excelente para fechar a casinha.</x:v>
      </x:c>
      <x:c r="P23" s="32" t="n">
        <x:v>36934</x:v>
      </x:c>
      <x:c r="Q23" s="30" t="str">
        <x:v>Rio de Janeiro, Brasil</x:v>
      </x:c>
      <x:c r="R23" s="34" t="n">
        <x:v>1.76</x:v>
      </x:c>
      <x:c r="S23" s="30" t="str">
        <x:v>Direito</x:v>
      </x:c>
      <x:c r="T23" s="30" t="str">
        <x:v>Brasil</x:v>
      </x:c>
      <x:c r="U23" s="30" t="str">
        <x:v>Carlos Leite</x:v>
      </x:c>
      <x:c r="V23" s="32" t="n">
        <x:v>44956</x:v>
      </x:c>
      <x:c r="W23" s="32" t="n">
        <x:v>47664</x:v>
      </x:c>
      <x:c r="X23" s="30" t="str">
        <x:v>Opção do clube por 1 ano</x:v>
      </x:c>
      <x:c r="Y23" s="32" t="n">
        <x:v>45748</x:v>
      </x:c>
      <x:c r="Z23" s="30" t="str">
        <x:v>Nike</x:v>
      </x:c>
      <x:c r="AA23" s="30" t="str">
        <x:v>Médio Centro</x:v>
      </x:c>
      <x:c r="AB23" s="30" t="str">
        <x:v>Médio Defensivo</x:v>
      </x:c>
      <x:c r="AC23" s="38" t="n">
        <x:v>40</x:v>
      </x:c>
      <x:c r="AD23" s="38" t="n">
        <x:v>40</x:v>
      </x:c>
      <x:c r="AE23" s="40" t="n">
        <x:f>IF(OR(AC23="",AD23="",AD23=0),"",AC23/AD23)</x:f>
        <x:v>1</x:v>
      </x:c>
      <x:c r="AF23" s="38" t="n">
        <x:f>IF(OR(AC23="",AD23=""),"",AC23-AD23)</x:f>
        <x:v>0</x:v>
      </x:c>
      <x:c r="AG23" s="32" t="n">
        <x:v>45565</x:v>
      </x:c>
      <x:c r="AH23" s="32" t="n">
        <x:v>46175</x:v>
      </x:c>
      <x:c r="AI23" s="30" t="str">
        <x:v>Imagem fornecida pelo usuário</x:v>
      </x:c>
      <x:c r="AJ23" s="32" t="n">
        <x:v>46220</x:v>
      </x:c>
    </x:row>
    <x:row r="24">
      <x:c r="A24" s="30" t="str">
        <x:v>Kaiki Bruno</x:v>
      </x:c>
      <x:c r="B24" s="30" t="str">
        <x:v>Kaiki Bruno da Silva</x:v>
      </x:c>
      <x:c r="C24" s="30" t="str">
        <x:v>Lateral-esquerdo</x:v>
      </x:c>
      <x:c r="D24" s="30" t="str"/>
      <x:c r="E24" s="30" t="str">
        <x:v>Como 1907</x:v>
      </x:c>
      <x:c r="F24" s="30" t="str">
        <x:v>Titulares</x:v>
      </x:c>
      <x:c r="G24" s="30" t="str">
        <x:v>Certeza Atual</x:v>
      </x:c>
      <x:c r="H24" s="30" t="n">
        <x:v>23</x:v>
      </x:c>
      <x:c r="I24" s="30" t="n">
        <x:f>IF(H24="","",H24+4)</x:f>
        <x:v>27</x:v>
      </x:c>
      <x:c r="J24" s="36" t="n">
        <x:v>6</x:v>
      </x:c>
      <x:c r="K24" s="36" t="n">
        <x:v>6</x:v>
      </x:c>
      <x:c r="L24" s="36" t="n">
        <x:f>IF(COUNT(J24:K24)=0,"",AVERAGE(J24:K24))</x:f>
        <x:v>6</x:v>
      </x:c>
      <x:c r="M24" s="30" t="str">
        <x:v>Apoio tático consistente e boa margem para evolução física.</x:v>
      </x:c>
      <x:c r="N24" s="30" t="str">
        <x:v>Ainda inexperiente em confrontos internacionais de alto calibre.</x:v>
      </x:c>
      <x:c r="O24" s="30" t="str">
        <x:v>Aprovado por Roberto para iniciar a rodagem de testes devido ao gargalo do setor.</x:v>
      </x:c>
      <x:c r="P24" s="32" t="n">
        <x:v>37688</x:v>
      </x:c>
      <x:c r="Q24" s="30" t="str">
        <x:v>Betim, Brasil</x:v>
      </x:c>
      <x:c r="R24" s="34" t="n">
        <x:v>1.72</x:v>
      </x:c>
      <x:c r="S24" s="30" t="str">
        <x:v>Esquerdo</x:v>
      </x:c>
      <x:c r="T24" s="30" t="str">
        <x:v>Brasil</x:v>
      </x:c>
      <x:c r="U24" s="30" t="str">
        <x:v>CAA Stellar</x:v>
      </x:c>
      <x:c r="V24" s="32" t="n">
        <x:v>46205</x:v>
      </x:c>
      <x:c r="W24" s="32" t="n">
        <x:v>46568</x:v>
      </x:c>
      <x:c r="X24" s="30" t="str">
        <x:v>Compra obrigatória com condições</x:v>
      </x:c>
      <x:c r="Y24" s="32"/>
      <x:c r="Z24" s="30" t="str">
        <x:v>adidas</x:v>
      </x:c>
      <x:c r="AA24" s="30" t="str">
        <x:v>Lateral Esquerdo</x:v>
      </x:c>
      <x:c r="AB24" s="30" t="str"/>
      <x:c r="AC24" s="38" t="n">
        <x:v>14</x:v>
      </x:c>
      <x:c r="AD24" s="38" t="n">
        <x:v>14</x:v>
      </x:c>
      <x:c r="AE24" s="40" t="n">
        <x:f>IF(OR(AC24="",AD24="",AD24=0),"",AC24/AD24)</x:f>
        <x:v>1</x:v>
      </x:c>
      <x:c r="AF24" s="38" t="n">
        <x:f>IF(OR(AC24="",AD24=""),"",AC24-AD24)</x:f>
        <x:v>0</x:v>
      </x:c>
      <x:c r="AG24" s="32" t="n">
        <x:v>46167</x:v>
      </x:c>
      <x:c r="AH24" s="32" t="n">
        <x:v>46167</x:v>
      </x:c>
      <x:c r="AI24" s="30" t="str">
        <x:v>Imagem fornecida pelo usuário</x:v>
      </x:c>
      <x:c r="AJ24" s="32" t="n">
        <x:v>46220</x:v>
      </x:c>
    </x:row>
    <x:row r="25">
      <x:c r="A25" s="30" t="str">
        <x:v>Kauã Elias</x:v>
      </x:c>
      <x:c r="B25" s="30" t="str">
        <x:v>Kauã Elias Nogueira</x:v>
      </x:c>
      <x:c r="C25" s="30" t="str">
        <x:v>Centroavante</x:v>
      </x:c>
      <x:c r="D25" s="30" t="str">
        <x:v>Segundo atacante</x:v>
      </x:c>
      <x:c r="E25" s="30" t="str">
        <x:v>Shakhtar Donetsk</x:v>
      </x:c>
      <x:c r="F25" s="30" t="str">
        <x:v>Observação</x:v>
      </x:c>
      <x:c r="G25" s="30" t="str">
        <x:v>Promessa 2030</x:v>
      </x:c>
      <x:c r="H25" s="30" t="n">
        <x:v>20</x:v>
      </x:c>
      <x:c r="I25" s="30" t="n">
        <x:f>IF(H25="","",H25+4)</x:f>
        <x:v>24</x:v>
      </x:c>
      <x:c r="J25" s="36" t="n">
        <x:v>7.5</x:v>
      </x:c>
      <x:c r="K25" s="36" t="n">
        <x:v>8</x:v>
      </x:c>
      <x:c r="L25" s="36" t="n">
        <x:f>IF(COUNT(J25:K25)=0,"",AVERAGE(J25:K25))</x:f>
        <x:v>7.75</x:v>
      </x:c>
      <x:c r="M25" s="30" t="str"/>
      <x:c r="N25" s="30" t="str"/>
      <x:c r="O25" s="30" t="str"/>
      <x:c r="P25" s="32" t="n">
        <x:v>38804</x:v>
      </x:c>
      <x:c r="Q25" s="30" t="str">
        <x:v>Uberlândia, Brasil</x:v>
      </x:c>
      <x:c r="R25" s="34" t="n">
        <x:v>1.81</x:v>
      </x:c>
      <x:c r="S25" s="30" t="str">
        <x:v>Direito</x:v>
      </x:c>
      <x:c r="T25" s="30" t="str">
        <x:v>Brasil</x:v>
      </x:c>
      <x:c r="U25" s="30" t="str">
        <x:v>LINK SPORTS</x:v>
      </x:c>
      <x:c r="V25" s="32" t="n">
        <x:v>45696</x:v>
      </x:c>
      <x:c r="W25" s="32" t="n">
        <x:v>47483</x:v>
      </x:c>
      <x:c r="X25" s="30"/>
      <x:c r="Y25" s="32"/>
      <x:c r="Z25" s="30"/>
      <x:c r="AA25" s="30" t="str">
        <x:v>Ponta de Lança</x:v>
      </x:c>
      <x:c r="AB25" s="30" t="str">
        <x:v>Segundo Avançado</x:v>
      </x:c>
      <x:c r="AC25" s="38" t="n">
        <x:v>15</x:v>
      </x:c>
      <x:c r="AD25" s="38" t="n">
        <x:v>15</x:v>
      </x:c>
      <x:c r="AE25" s="40" t="n">
        <x:f>IF(OR(AC25="",AD25="",AD25=0),"",AC25/AD25)</x:f>
        <x:v>1</x:v>
      </x:c>
      <x:c r="AF25" s="38" t="n">
        <x:f>IF(OR(AC25="",AD25=""),"",AC25-AD25)</x:f>
        <x:v>0</x:v>
      </x:c>
      <x:c r="AG25" s="32" t="n">
        <x:v>46008</x:v>
      </x:c>
      <x:c r="AH25" s="32" t="n">
        <x:v>46174</x:v>
      </x:c>
      <x:c r="AI25" s="30" t="str">
        <x:v>Imagem fornecida pelo usuário</x:v>
      </x:c>
      <x:c r="AJ25" s="32" t="n">
        <x:v>46220</x:v>
      </x:c>
    </x:row>
    <x:row r="26">
      <x:c r="A26" s="30" t="str">
        <x:v>Leonardo Nannetti</x:v>
      </x:c>
      <x:c r="B26" s="30"/>
      <x:c r="C26" s="30" t="str">
        <x:v>Goleiro</x:v>
      </x:c>
      <x:c r="D26" s="30" t="str"/>
      <x:c r="E26" s="30" t="str">
        <x:v>CR Flamengo Sub-20</x:v>
      </x:c>
      <x:c r="F26" s="30" t="str">
        <x:v>Observação</x:v>
      </x:c>
      <x:c r="G26" s="30" t="str">
        <x:v>Promessa 2030</x:v>
      </x:c>
      <x:c r="H26" s="30" t="n">
        <x:v>18</x:v>
      </x:c>
      <x:c r="I26" s="30" t="n">
        <x:f>IF(H26="","",H26+4)</x:f>
        <x:v>22</x:v>
      </x:c>
      <x:c r="J26" s="36" t="n">
        <x:v>6.5</x:v>
      </x:c>
      <x:c r="K26" s="36" t="n">
        <x:v>7</x:v>
      </x:c>
      <x:c r="L26" s="36" t="n">
        <x:f>IF(COUNT(J26:K26)=0,"",AVERAGE(J26:K26))</x:f>
        <x:v>6.75</x:v>
      </x:c>
      <x:c r="M26" s="30" t="str"/>
      <x:c r="N26" s="30" t="str"/>
      <x:c r="O26" s="30" t="str"/>
      <x:c r="P26" s="32"/>
      <x:c r="Q26" s="30"/>
      <x:c r="R26" s="34"/>
      <x:c r="S26" s="30"/>
      <x:c r="T26" s="30" t="str"/>
      <x:c r="U26" s="30"/>
      <x:c r="V26" s="32"/>
      <x:c r="W26" s="32"/>
      <x:c r="X26" s="30"/>
      <x:c r="Y26" s="32"/>
      <x:c r="Z26" s="30"/>
      <x:c r="AA26" s="30"/>
      <x:c r="AB26" s="30" t="str"/>
      <x:c r="AC26" s="38"/>
      <x:c r="AD26" s="38"/>
      <x:c r="AE26" s="40" t="str">
        <x:f>IF(OR(AC26="",AD26="",AD26=0),"",AC26/AD26)</x:f>
      </x:c>
      <x:c r="AF26" s="38" t="str">
        <x:f>IF(OR(AC26="",AD26=""),"",AC26-AD26)</x:f>
      </x:c>
      <x:c r="AG26" s="32"/>
      <x:c r="AH26" s="32"/>
      <x:c r="AI26" s="30"/>
      <x:c r="AJ26" s="32"/>
    </x:row>
    <x:row r="27">
      <x:c r="A27" s="30" t="str">
        <x:v>Lucas Beraldo</x:v>
      </x:c>
      <x:c r="B27" s="30" t="str">
        <x:v>Lucas Lopes Beraldo</x:v>
      </x:c>
      <x:c r="C27" s="30" t="str">
        <x:v>Zagueiro</x:v>
      </x:c>
      <x:c r="D27" s="30" t="str">
        <x:v>Lateral-esquerdo</x:v>
      </x:c>
      <x:c r="E27" s="30" t="str">
        <x:v>Paris Saint-Germain</x:v>
      </x:c>
      <x:c r="F27" s="30" t="str">
        <x:v>Titulares</x:v>
      </x:c>
      <x:c r="G27" s="30" t="str">
        <x:v>Certeza Atual</x:v>
      </x:c>
      <x:c r="H27" s="30" t="n">
        <x:v>22</x:v>
      </x:c>
      <x:c r="I27" s="30" t="n">
        <x:f>IF(H27="","",H27+4)</x:f>
        <x:v>26</x:v>
      </x:c>
      <x:c r="J27" s="36" t="n">
        <x:v>8</x:v>
      </x:c>
      <x:c r="K27" s="36" t="n">
        <x:v>8</x:v>
      </x:c>
      <x:c r="L27" s="36" t="n">
        <x:f>IF(COUNT(J27:K27)=0,"",AVERAGE(J27:K27))</x:f>
        <x:v>8</x:v>
      </x:c>
      <x:c r="M27" s="30" t="str">
        <x:v>Saída de bola primorosa e excelente senso de antecipação.</x:v>
      </x:c>
      <x:c r="N27" s="30" t="str">
        <x:v>Pode sofrer contra atacantes de extrema imposição física direta.</x:v>
      </x:c>
      <x:c r="O27" s="30" t="str">
        <x:v>Cotado como curinga, podendo atuar também como primeiro homem de meio-campo.</x:v>
      </x:c>
      <x:c r="P27" s="32" t="n">
        <x:v>37949</x:v>
      </x:c>
      <x:c r="Q27" s="30" t="str">
        <x:v>Piracicaba, Brasil</x:v>
      </x:c>
      <x:c r="R27" s="34" t="n">
        <x:v>1.86</x:v>
      </x:c>
      <x:c r="S27" s="30" t="str">
        <x:v>Esquerdo</x:v>
      </x:c>
      <x:c r="T27" s="30" t="str">
        <x:v>Brasil</x:v>
      </x:c>
      <x:c r="U27" s="30" t="str">
        <x:v>VERO Sports</x:v>
      </x:c>
      <x:c r="V27" s="32" t="n">
        <x:v>45292</x:v>
      </x:c>
      <x:c r="W27" s="32" t="n">
        <x:v>46934</x:v>
      </x:c>
      <x:c r="X27" s="30"/>
      <x:c r="Y27" s="32"/>
      <x:c r="Z27" s="30" t="str">
        <x:v>Nike</x:v>
      </x:c>
      <x:c r="AA27" s="30" t="str">
        <x:v>Defesa Central</x:v>
      </x:c>
      <x:c r="AB27" s="30" t="str">
        <x:v>Lateral Esquerdo | Médio Defensivo</x:v>
      </x:c>
      <x:c r="AC27" s="38" t="n">
        <x:v>22</x:v>
      </x:c>
      <x:c r="AD27" s="38" t="n">
        <x:v>30</x:v>
      </x:c>
      <x:c r="AE27" s="40" t="n">
        <x:f>IF(OR(AC27="",AD27="",AD27=0),"",AC27/AD27)</x:f>
        <x:v>0.7333333333333333</x:v>
      </x:c>
      <x:c r="AF27" s="38" t="n">
        <x:f>IF(OR(AC27="",AD27=""),"",AC27-AD27)</x:f>
        <x:v>-8</x:v>
      </x:c>
      <x:c r="AG27" s="32" t="n">
        <x:v>45445</x:v>
      </x:c>
      <x:c r="AH27" s="32" t="n">
        <x:v>46173</x:v>
      </x:c>
      <x:c r="AI27" s="30" t="str">
        <x:v>Imagem fornecida pelo usuário</x:v>
      </x:c>
      <x:c r="AJ27" s="32" t="n">
        <x:v>46220</x:v>
      </x:c>
    </x:row>
    <x:row r="28">
      <x:c r="A28" s="30" t="str">
        <x:v>Lucas Perri</x:v>
      </x:c>
      <x:c r="B28" s="30" t="str">
        <x:v>Lucas Estella Perri</x:v>
      </x:c>
      <x:c r="C28" s="30" t="str">
        <x:v>Goleiro</x:v>
      </x:c>
      <x:c r="D28" s="30" t="str"/>
      <x:c r="E28" s="30" t="str">
        <x:v>Leeds United FC</x:v>
      </x:c>
      <x:c r="F28" s="30" t="str">
        <x:v>Observação</x:v>
      </x:c>
      <x:c r="G28" s="30" t="str">
        <x:v>Observação</x:v>
      </x:c>
      <x:c r="H28" s="30" t="n">
        <x:v>28</x:v>
      </x:c>
      <x:c r="I28" s="30" t="n">
        <x:f>IF(H28="","",H28+4)</x:f>
        <x:v>32</x:v>
      </x:c>
      <x:c r="J28" s="36" t="n">
        <x:v>6.5</x:v>
      </x:c>
      <x:c r="K28" s="36" t="n">
        <x:v>6</x:v>
      </x:c>
      <x:c r="L28" s="36" t="n">
        <x:f>IF(COUNT(J28:K28)=0,"",AVERAGE(J28:K28))</x:f>
        <x:v>6.25</x:v>
      </x:c>
      <x:c r="M28" s="30" t="str">
        <x:v>Físico imponente e experiência recente em solo europeu.</x:v>
      </x:c>
      <x:c r="N28" s="30" t="str">
        <x:v>Oscilações em momentos de alta carga decisiva.</x:v>
      </x:c>
      <x:c r="O28" s="30" t="str">
        <x:v>Visto como opção viável de elenco, mas sem garantias de liderar a meta.</x:v>
      </x:c>
      <x:c r="P28" s="32" t="n">
        <x:v>35774</x:v>
      </x:c>
      <x:c r="Q28" s="30" t="str">
        <x:v>Valinhos, Brasil</x:v>
      </x:c>
      <x:c r="R28" s="34" t="n">
        <x:v>1.97</x:v>
      </x:c>
      <x:c r="S28" s="30" t="str">
        <x:v>Direito</x:v>
      </x:c>
      <x:c r="T28" s="30" t="str">
        <x:v>Brasil | Itália</x:v>
      </x:c>
      <x:c r="U28" s="30" t="str">
        <x:v>LEFT Sports</x:v>
      </x:c>
      <x:c r="V28" s="32" t="n">
        <x:v>45864</x:v>
      </x:c>
      <x:c r="W28" s="32" t="n">
        <x:v>47299</x:v>
      </x:c>
      <x:c r="X28" s="30"/>
      <x:c r="Y28" s="32"/>
      <x:c r="Z28" s="30" t="str">
        <x:v>adidas</x:v>
      </x:c>
      <x:c r="AA28" s="30" t="str">
        <x:v>Guarda-redes</x:v>
      </x:c>
      <x:c r="AB28" s="30" t="str"/>
      <x:c r="AC28" s="38" t="n">
        <x:v>10</x:v>
      </x:c>
      <x:c r="AD28" s="38" t="n">
        <x:v>16</x:v>
      </x:c>
      <x:c r="AE28" s="40" t="n">
        <x:f>IF(OR(AC28="",AD28="",AD28=0),"",AC28/AD28)</x:f>
        <x:v>0.625</x:v>
      </x:c>
      <x:c r="AF28" s="38" t="n">
        <x:f>IF(OR(AC28="",AD28=""),"",AC28-AD28)</x:f>
        <x:v>-6</x:v>
      </x:c>
      <x:c r="AG28" s="32" t="n">
        <x:v>45946</x:v>
      </x:c>
      <x:c r="AH28" s="32" t="n">
        <x:v>46175</x:v>
      </x:c>
      <x:c r="AI28" s="30" t="str">
        <x:v>Imagem fornecida pelo usuário</x:v>
      </x:c>
      <x:c r="AJ28" s="32" t="n">
        <x:v>46220</x:v>
      </x:c>
    </x:row>
    <x:row r="29">
      <x:c r="A29" s="30" t="str">
        <x:v>Luciano Juba</x:v>
      </x:c>
      <x:c r="B29" s="30" t="str">
        <x:v>Luciano Batista da Silva Junior</x:v>
      </x:c>
      <x:c r="C29" s="30" t="str">
        <x:v>Lateral-esquerdo</x:v>
      </x:c>
      <x:c r="D29" s="30" t="str"/>
      <x:c r="E29" s="30" t="str">
        <x:v>EC Bahia</x:v>
      </x:c>
      <x:c r="F29" s="30" t="str">
        <x:v>Observação</x:v>
      </x:c>
      <x:c r="G29" s="30" t="str">
        <x:v>Observação</x:v>
      </x:c>
      <x:c r="H29" s="30" t="n">
        <x:v>26</x:v>
      </x:c>
      <x:c r="I29" s="30" t="n">
        <x:f>IF(H29="","",H29+4)</x:f>
        <x:v>30</x:v>
      </x:c>
      <x:c r="J29" s="36" t="n">
        <x:v>6.5</x:v>
      </x:c>
      <x:c r="K29" s="36" t="n">
        <x:v>7</x:v>
      </x:c>
      <x:c r="L29" s="36" t="n">
        <x:f>IF(COUNT(J29:K29)=0,"",AVERAGE(J29:K29))</x:f>
        <x:v>6.75</x:v>
      </x:c>
      <x:c r="M29" s="30" t="str">
        <x:v>Excelente batida na bola e grande carisma com a torcida.</x:v>
      </x:c>
      <x:c r="N29" s="30" t="str">
        <x:v>Dúvidas se suportaria o ritmo físico de pontas de elite na Copa.</x:v>
      </x:c>
      <x:c r="O29" s="30" t="str">
        <x:v>Roberto valoriza sua bola parada, enquanto Vini demonstra ressalvas táticas.</x:v>
      </x:c>
      <x:c r="P29" s="32" t="n">
        <x:v>36401</x:v>
      </x:c>
      <x:c r="Q29" s="30" t="str">
        <x:v>Jaboatão dos Guararapes, Brasil</x:v>
      </x:c>
      <x:c r="R29" s="34" t="n">
        <x:v>1.76</x:v>
      </x:c>
      <x:c r="S29" s="30" t="str">
        <x:v>Esquerdo</x:v>
      </x:c>
      <x:c r="T29" s="30" t="str">
        <x:v>Brasil</x:v>
      </x:c>
      <x:c r="U29" s="30" t="str">
        <x:v>Trust Football</x:v>
      </x:c>
      <x:c r="V29" s="32" t="n">
        <x:v>45170</x:v>
      </x:c>
      <x:c r="W29" s="32" t="n">
        <x:v>47483</x:v>
      </x:c>
      <x:c r="X29" s="30"/>
      <x:c r="Y29" s="32" t="n">
        <x:v>46018</x:v>
      </x:c>
      <x:c r="Z29" s="30"/>
      <x:c r="AA29" s="30" t="str">
        <x:v>Lateral Esquerdo</x:v>
      </x:c>
      <x:c r="AB29" s="30" t="str">
        <x:v>Extremo Esquerdo | Médio Esquerdo</x:v>
      </x:c>
      <x:c r="AC29" s="38" t="n">
        <x:v>14</x:v>
      </x:c>
      <x:c r="AD29" s="38" t="n">
        <x:v>14</x:v>
      </x:c>
      <x:c r="AE29" s="40" t="n">
        <x:f>IF(OR(AC29="",AD29="",AD29=0),"",AC29/AD29)</x:f>
        <x:v>1</x:v>
      </x:c>
      <x:c r="AF29" s="38" t="n">
        <x:f>IF(OR(AC29="",AD29=""),"",AC29-AD29)</x:f>
        <x:v>0</x:v>
      </x:c>
      <x:c r="AG29" s="32" t="n">
        <x:v>46167</x:v>
      </x:c>
      <x:c r="AH29" s="32" t="n">
        <x:v>46167</x:v>
      </x:c>
      <x:c r="AI29" s="30" t="str">
        <x:v>Imagem fornecida pelo usuário</x:v>
      </x:c>
      <x:c r="AJ29" s="32" t="n">
        <x:v>46220</x:v>
      </x:c>
    </x:row>
    <x:row r="30">
      <x:c r="A30" s="30" t="str">
        <x:v>Luis Felipe</x:v>
      </x:c>
      <x:c r="B30" s="30"/>
      <x:c r="C30" s="30" t="str">
        <x:v>Volante</x:v>
      </x:c>
      <x:c r="D30" s="30" t="str">
        <x:v>Mezzala direito | Mezzala esquerdo</x:v>
      </x:c>
      <x:c r="E30" s="30" t="str">
        <x:v>SE Palmeiras Sub-20</x:v>
      </x:c>
      <x:c r="F30" s="30" t="str">
        <x:v>Observação</x:v>
      </x:c>
      <x:c r="G30" s="30" t="str">
        <x:v>Promessa 2030</x:v>
      </x:c>
      <x:c r="H30" s="30" t="n">
        <x:v>18</x:v>
      </x:c>
      <x:c r="I30" s="30" t="n">
        <x:f>IF(H30="","",H30+4)</x:f>
        <x:v>22</x:v>
      </x:c>
      <x:c r="J30" s="36" t="n">
        <x:v>6.5</x:v>
      </x:c>
      <x:c r="K30" s="36" t="n">
        <x:v>7</x:v>
      </x:c>
      <x:c r="L30" s="36" t="n">
        <x:f>IF(COUNT(J30:K30)=0,"",AVERAGE(J30:K30))</x:f>
        <x:v>6.75</x:v>
      </x:c>
      <x:c r="M30" s="30" t="str"/>
      <x:c r="N30" s="30" t="str"/>
      <x:c r="O30" s="30" t="str"/>
      <x:c r="P30" s="32"/>
      <x:c r="Q30" s="30"/>
      <x:c r="R30" s="34"/>
      <x:c r="S30" s="30"/>
      <x:c r="T30" s="30" t="str"/>
      <x:c r="U30" s="30"/>
      <x:c r="V30" s="32"/>
      <x:c r="W30" s="32"/>
      <x:c r="X30" s="30"/>
      <x:c r="Y30" s="32"/>
      <x:c r="Z30" s="30"/>
      <x:c r="AA30" s="30"/>
      <x:c r="AB30" s="30" t="str"/>
      <x:c r="AC30" s="38"/>
      <x:c r="AD30" s="38"/>
      <x:c r="AE30" s="40" t="str">
        <x:f>IF(OR(AC30="",AD30="",AD30=0),"",AC30/AD30)</x:f>
      </x:c>
      <x:c r="AF30" s="38" t="str">
        <x:f>IF(OR(AC30="",AD30=""),"",AC30-AD30)</x:f>
      </x:c>
      <x:c r="AG30" s="32"/>
      <x:c r="AH30" s="32"/>
      <x:c r="AI30" s="30"/>
      <x:c r="AJ30" s="32"/>
    </x:row>
    <x:row r="31">
      <x:c r="A31" s="30" t="str">
        <x:v>Luis Gustavo</x:v>
      </x:c>
      <x:c r="B31" s="30" t="str">
        <x:v>Luis Gustavo Roncholeta Benedetti</x:v>
      </x:c>
      <x:c r="C31" s="30" t="str">
        <x:v>Zagueiro</x:v>
      </x:c>
      <x:c r="D31" s="30" t="str"/>
      <x:c r="E31" s="30" t="str">
        <x:v>SE Palmeiras</x:v>
      </x:c>
      <x:c r="F31" s="30" t="str">
        <x:v>Observação</x:v>
      </x:c>
      <x:c r="G31" s="30" t="str">
        <x:v>Promessa 2030</x:v>
      </x:c>
      <x:c r="H31" s="30" t="n">
        <x:v>20</x:v>
      </x:c>
      <x:c r="I31" s="30" t="n">
        <x:f>IF(H31="","",H31+4)</x:f>
        <x:v>24</x:v>
      </x:c>
      <x:c r="J31" s="36" t="n">
        <x:v>7</x:v>
      </x:c>
      <x:c r="K31" s="36" t="n">
        <x:v>7</x:v>
      </x:c>
      <x:c r="L31" s="36" t="n">
        <x:f>IF(COUNT(J31:K31)=0,"",AVERAGE(J31:K31))</x:f>
        <x:v>7</x:v>
      </x:c>
      <x:c r="M31" s="30" t="str"/>
      <x:c r="N31" s="30" t="str"/>
      <x:c r="O31" s="30" t="str"/>
      <x:c r="P31" s="32" t="n">
        <x:v>38875</x:v>
      </x:c>
      <x:c r="Q31" s="30" t="str">
        <x:v>Bauru, Brasil</x:v>
      </x:c>
      <x:c r="R31" s="34" t="n">
        <x:v>1.97</x:v>
      </x:c>
      <x:c r="S31" s="30" t="str">
        <x:v>Esquerdo</x:v>
      </x:c>
      <x:c r="T31" s="30" t="str">
        <x:v>Brasil</x:v>
      </x:c>
      <x:c r="U31" s="30" t="str">
        <x:v>Bertolucci Sports</x:v>
      </x:c>
      <x:c r="V31" s="32" t="n">
        <x:v>45664</x:v>
      </x:c>
      <x:c r="W31" s="32" t="n">
        <x:v>47483</x:v>
      </x:c>
      <x:c r="X31" s="30"/>
      <x:c r="Y31" s="32" t="n">
        <x:v>45762</x:v>
      </x:c>
      <x:c r="Z31" s="30"/>
      <x:c r="AA31" s="30" t="str">
        <x:v>Defesa Central</x:v>
      </x:c>
      <x:c r="AB31" s="30" t="str"/>
      <x:c r="AC31" s="38" t="n">
        <x:v>4</x:v>
      </x:c>
      <x:c r="AD31" s="38" t="n">
        <x:v>4</x:v>
      </x:c>
      <x:c r="AE31" s="40" t="n">
        <x:f>IF(OR(AC31="",AD31="",AD31=0),"",AC31/AD31)</x:f>
        <x:v>1</x:v>
      </x:c>
      <x:c r="AF31" s="38" t="n">
        <x:f>IF(OR(AC31="",AD31=""),"",AC31-AD31)</x:f>
        <x:v>0</x:v>
      </x:c>
      <x:c r="AG31" s="32" t="n">
        <x:v>46000</x:v>
      </x:c>
      <x:c r="AH31" s="32" t="n">
        <x:v>46167</x:v>
      </x:c>
      <x:c r="AI31" s="30"/>
      <x:c r="AJ31" s="32"/>
    </x:row>
    <x:row r="32">
      <x:c r="A32" s="30" t="str">
        <x:v>Matheus Cunha</x:v>
      </x:c>
      <x:c r="B32" s="30" t="str">
        <x:v>Matheus Santos Carneiro da Cunha</x:v>
      </x:c>
      <x:c r="C32" s="30" t="str">
        <x:v>Centroavante</x:v>
      </x:c>
      <x:c r="D32" s="30" t="str">
        <x:v>Segundo atacante | Meia-armador</x:v>
      </x:c>
      <x:c r="E32" s="30" t="str">
        <x:v>Manchester United FC</x:v>
      </x:c>
      <x:c r="F32" s="30" t="str">
        <x:v>Reservas</x:v>
      </x:c>
      <x:c r="G32" s="30" t="str">
        <x:v>Observação</x:v>
      </x:c>
      <x:c r="H32" s="30" t="n">
        <x:v>27</x:v>
      </x:c>
      <x:c r="I32" s="30" t="n">
        <x:f>IF(H32="","",H32+4)</x:f>
        <x:v>31</x:v>
      </x:c>
      <x:c r="J32" s="36" t="n">
        <x:v>7</x:v>
      </x:c>
      <x:c r="K32" s="36" t="n">
        <x:v>7.5</x:v>
      </x:c>
      <x:c r="L32" s="36" t="n">
        <x:f>IF(COUNT(J32:K32)=0,"",AVERAGE(J32:K32))</x:f>
        <x:v>7.25</x:v>
      </x:c>
      <x:c r="M32" s="30" t="str"/>
      <x:c r="N32" s="30" t="str"/>
      <x:c r="O32" s="30" t="str"/>
      <x:c r="P32" s="32" t="n">
        <x:v>36307</x:v>
      </x:c>
      <x:c r="Q32" s="30" t="str">
        <x:v>João Pessoa, Brasil</x:v>
      </x:c>
      <x:c r="R32" s="34" t="n">
        <x:v>1.83</x:v>
      </x:c>
      <x:c r="S32" s="30" t="str">
        <x:v>Direito</x:v>
      </x:c>
      <x:c r="T32" s="30" t="str">
        <x:v>Brasil</x:v>
      </x:c>
      <x:c r="U32" s="30" t="str">
        <x:v>Bertolucci Sports</x:v>
      </x:c>
      <x:c r="V32" s="32" t="n">
        <x:v>45839</x:v>
      </x:c>
      <x:c r="W32" s="32" t="n">
        <x:v>47664</x:v>
      </x:c>
      <x:c r="X32" s="30" t="str">
        <x:v>Mais um ano</x:v>
      </x:c>
      <x:c r="Y32" s="32"/>
      <x:c r="Z32" s="30" t="str">
        <x:v>Nike</x:v>
      </x:c>
      <x:c r="AA32" s="30" t="str">
        <x:v>Ponta de Lança</x:v>
      </x:c>
      <x:c r="AB32" s="30" t="str">
        <x:v>Segundo Avançado | Extremo Esquerdo</x:v>
      </x:c>
      <x:c r="AC32" s="38" t="n">
        <x:v>75</x:v>
      </x:c>
      <x:c r="AD32" s="38" t="n">
        <x:v>75</x:v>
      </x:c>
      <x:c r="AE32" s="40" t="n">
        <x:f>IF(OR(AC32="",AD32="",AD32=0),"",AC32/AD32)</x:f>
        <x:v>1</x:v>
      </x:c>
      <x:c r="AF32" s="38" t="n">
        <x:f>IF(OR(AC32="",AD32=""),"",AC32-AD32)</x:f>
        <x:v>0</x:v>
      </x:c>
      <x:c r="AG32" s="32" t="n">
        <x:v>46175</x:v>
      </x:c>
      <x:c r="AH32" s="32" t="n">
        <x:v>46175</x:v>
      </x:c>
      <x:c r="AI32" s="30" t="str">
        <x:v>Imagem fornecida pelo usuário</x:v>
      </x:c>
      <x:c r="AJ32" s="32" t="n">
        <x:v>46220</x:v>
      </x:c>
    </x:row>
    <x:row r="33">
      <x:c r="A33" s="30" t="str">
        <x:v>Murillo</x:v>
      </x:c>
      <x:c r="B33" s="30" t="str">
        <x:v>Murillo Santiago Costa dos Santos</x:v>
      </x:c>
      <x:c r="C33" s="30" t="str">
        <x:v>Zagueiro</x:v>
      </x:c>
      <x:c r="D33" s="30" t="str"/>
      <x:c r="E33" s="30" t="str">
        <x:v>Nottingham Forest</x:v>
      </x:c>
      <x:c r="F33" s="30" t="str">
        <x:v>Reservas</x:v>
      </x:c>
      <x:c r="G33" s="30" t="str">
        <x:v>Certeza Atual</x:v>
      </x:c>
      <x:c r="H33" s="30" t="n">
        <x:v>24</x:v>
      </x:c>
      <x:c r="I33" s="30" t="n">
        <x:f>IF(H33="","",H33+4)</x:f>
        <x:v>28</x:v>
      </x:c>
      <x:c r="J33" s="36" t="n">
        <x:v>8</x:v>
      </x:c>
      <x:c r="K33" s="36" t="n">
        <x:v>8</x:v>
      </x:c>
      <x:c r="L33" s="36" t="n">
        <x:f>IF(COUNT(J33:K33)=0,"",AVERAGE(J33:K33))</x:f>
        <x:v>8</x:v>
      </x:c>
      <x:c r="M33" s="30" t="str">
        <x:v>Força física impressionante nos duelos terrestres e ótimo passe longo.</x:v>
      </x:c>
      <x:c r="N33" s="30" t="str">
        <x:v>Precisa ganhar mais minutos em jogos oficiais da seleção principal.</x:v>
      </x:c>
      <x:c r="O33" s="30" t="str">
        <x:v>Garante segurança total para qualquer alteração na dupla de zaga.</x:v>
      </x:c>
      <x:c r="P33" s="32" t="n">
        <x:v>37441</x:v>
      </x:c>
      <x:c r="Q33" s="30" t="str">
        <x:v>São Paulo, Brasil</x:v>
      </x:c>
      <x:c r="R33" s="34" t="n">
        <x:v>1.8</x:v>
      </x:c>
      <x:c r="S33" s="30" t="str">
        <x:v>Esquerdo</x:v>
      </x:c>
      <x:c r="T33" s="30" t="str">
        <x:v>Brasil</x:v>
      </x:c>
      <x:c r="U33" s="30" t="str">
        <x:v>FWD Team</x:v>
      </x:c>
      <x:c r="V33" s="32" t="n">
        <x:v>45169</x:v>
      </x:c>
      <x:c r="W33" s="32" t="n">
        <x:v>47664</x:v>
      </x:c>
      <x:c r="X33" s="30"/>
      <x:c r="Y33" s="32" t="n">
        <x:v>46165</x:v>
      </x:c>
      <x:c r="Z33" s="30" t="str">
        <x:v>Nike</x:v>
      </x:c>
      <x:c r="AA33" s="30" t="str">
        <x:v>Defesa Central</x:v>
      </x:c>
      <x:c r="AB33" s="30" t="str"/>
      <x:c r="AC33" s="38" t="n">
        <x:v>50</x:v>
      </x:c>
      <x:c r="AD33" s="38" t="n">
        <x:v>55</x:v>
      </x:c>
      <x:c r="AE33" s="40" t="n">
        <x:f>IF(OR(AC33="",AD33="",AD33=0),"",AC33/AD33)</x:f>
        <x:v>0.9090909090909091</x:v>
      </x:c>
      <x:c r="AF33" s="38" t="n">
        <x:f>IF(OR(AC33="",AD33=""),"",AC33-AD33)</x:f>
        <x:v>-5</x:v>
      </x:c>
      <x:c r="AG33" s="32" t="n">
        <x:v>45733</x:v>
      </x:c>
      <x:c r="AH33" s="32" t="n">
        <x:v>46175</x:v>
      </x:c>
      <x:c r="AI33" s="30" t="str">
        <x:v>Imagem fornecida pelo usuário</x:v>
      </x:c>
      <x:c r="AJ33" s="32" t="n">
        <x:v>46220</x:v>
      </x:c>
    </x:row>
    <x:row r="34">
      <x:c r="A34" s="30" t="str">
        <x:v>Rodrygo</x:v>
      </x:c>
      <x:c r="B34" s="30" t="str">
        <x:v>Rodrygo Silva de Goes</x:v>
      </x:c>
      <x:c r="C34" s="30" t="str">
        <x:v>Meia-armador</x:v>
      </x:c>
      <x:c r="D34" s="30" t="str">
        <x:v>Ponta-direita | Ponta-esquerda | Segundo atacante | Centroavante</x:v>
      </x:c>
      <x:c r="E34" s="30" t="str">
        <x:v>Real Madrid CF</x:v>
      </x:c>
      <x:c r="F34" s="30" t="str">
        <x:v>Titulares</x:v>
      </x:c>
      <x:c r="G34" s="30" t="str">
        <x:v>Certeza Atual</x:v>
      </x:c>
      <x:c r="H34" s="30" t="n">
        <x:v>25</x:v>
      </x:c>
      <x:c r="I34" s="30" t="n">
        <x:f>IF(H34="","",H34+4)</x:f>
        <x:v>29</x:v>
      </x:c>
      <x:c r="J34" s="36" t="n">
        <x:v>8</x:v>
      </x:c>
      <x:c r="K34" s="36" t="n">
        <x:v>8</x:v>
      </x:c>
      <x:c r="L34" s="36" t="n">
        <x:f>IF(COUNT(J34:K34)=0,"",AVERAGE(J34:K34))</x:f>
        <x:v>8</x:v>
      </x:c>
      <x:c r="M34" s="30" t="str">
        <x:v>Técnica apurada, facilidade no drible e ótimo poder de decisão.</x:v>
      </x:c>
      <x:c r="N34" s="30" t="str">
        <x:v>Não possui características naturais de cadência de jogo.</x:v>
      </x:c>
      <x:c r="O34" s="30" t="str">
        <x:v>Atua como o elo criativo dinâmico para dar verticalidade às jogadas táticas.</x:v>
      </x:c>
      <x:c r="P34" s="32" t="n">
        <x:v>36900</x:v>
      </x:c>
      <x:c r="Q34" s="30" t="str">
        <x:v>Osasco, Brasil</x:v>
      </x:c>
      <x:c r="R34" s="34" t="n">
        <x:v>1.74</x:v>
      </x:c>
      <x:c r="S34" s="30" t="str">
        <x:v>Direito</x:v>
      </x:c>
      <x:c r="T34" s="30" t="str">
        <x:v>Brasil | Espanha</x:v>
      </x:c>
      <x:c r="U34" s="30" t="str">
        <x:v>Familiar</x:v>
      </x:c>
      <x:c r="V34" s="32" t="n">
        <x:v>43647</x:v>
      </x:c>
      <x:c r="W34" s="32" t="n">
        <x:v>46934</x:v>
      </x:c>
      <x:c r="X34" s="30"/>
      <x:c r="Y34" s="32" t="n">
        <x:v>45232</x:v>
      </x:c>
      <x:c r="Z34" s="30" t="str">
        <x:v>adidas</x:v>
      </x:c>
      <x:c r="AA34" s="30" t="str">
        <x:v>Extremo Direito</x:v>
      </x:c>
      <x:c r="AB34" s="30" t="str">
        <x:v>Extremo Esquerdo | Ponta de Lança</x:v>
      </x:c>
      <x:c r="AC34" s="38" t="n">
        <x:v>45</x:v>
      </x:c>
      <x:c r="AD34" s="38" t="n">
        <x:v>110</x:v>
      </x:c>
      <x:c r="AE34" s="40" t="n">
        <x:f>IF(OR(AC34="",AD34="",AD34=0),"",AC34/AD34)</x:f>
        <x:v>0.4090909090909091</x:v>
      </x:c>
      <x:c r="AF34" s="38" t="n">
        <x:f>IF(OR(AC34="",AD34=""),"",AC34-AD34)</x:f>
        <x:v>-65</x:v>
      </x:c>
      <x:c r="AG34" s="32" t="n">
        <x:v>45449</x:v>
      </x:c>
      <x:c r="AH34" s="32" t="n">
        <x:v>46177</x:v>
      </x:c>
      <x:c r="AI34" s="30" t="str">
        <x:v>Imagem fornecida pelo usuário</x:v>
      </x:c>
      <x:c r="AJ34" s="32" t="n">
        <x:v>46220</x:v>
      </x:c>
    </x:row>
    <x:row r="35">
      <x:c r="A35" s="30" t="str">
        <x:v>Vinicius Junior</x:v>
      </x:c>
      <x:c r="B35" s="30" t="str">
        <x:v>Vinicius José Paixão de Oliveira Junior</x:v>
      </x:c>
      <x:c r="C35" s="30" t="str">
        <x:v>Ponta-esquerda</x:v>
      </x:c>
      <x:c r="D35" s="30" t="str">
        <x:v>Segundo atacante | Centroavante | Meia-esquerda</x:v>
      </x:c>
      <x:c r="E35" s="30" t="str">
        <x:v>Real Madrid CF</x:v>
      </x:c>
      <x:c r="F35" s="30" t="str">
        <x:v>Titulares</x:v>
      </x:c>
      <x:c r="G35" s="30" t="str">
        <x:v>Certeza Atual</x:v>
      </x:c>
      <x:c r="H35" s="30" t="n">
        <x:v>26</x:v>
      </x:c>
      <x:c r="I35" s="30" t="n">
        <x:f>IF(H35="","",H35+4)</x:f>
        <x:v>30</x:v>
      </x:c>
      <x:c r="J35" s="36" t="n">
        <x:v>9</x:v>
      </x:c>
      <x:c r="K35" s="36" t="n">
        <x:v>9</x:v>
      </x:c>
      <x:c r="L35" s="36" t="n">
        <x:f>IF(COUNT(J35:K35)=0,"",AVERAGE(J35:K35))</x:f>
        <x:v>9</x:v>
      </x:c>
      <x:c r="M35" s="30" t="str">
        <x:v>Melhor drible do planeta, aceleração letal e faro de gols em decisões.</x:v>
      </x:c>
      <x:c r="N35" s="30" t="str">
        <x:v>Pode sofrer desgaste físico excessivo se isolado na ponta.</x:v>
      </x:c>
      <x:c r="O35" s="30" t="str">
        <x:v>A principal referência ofensiva e grande estrela do planejamento nacional.</x:v>
      </x:c>
      <x:c r="P35" s="32" t="n">
        <x:v>36719</x:v>
      </x:c>
      <x:c r="Q35" s="30" t="str">
        <x:v>São Gonçalo, Brasil</x:v>
      </x:c>
      <x:c r="R35" s="34" t="n">
        <x:v>1.76</x:v>
      </x:c>
      <x:c r="S35" s="30" t="str">
        <x:v>Direito</x:v>
      </x:c>
      <x:c r="T35" s="30" t="str">
        <x:v>Brasil | Espanha</x:v>
      </x:c>
      <x:c r="U35" s="30" t="str">
        <x:v>Roc Nation Sports</x:v>
      </x:c>
      <x:c r="V35" s="32" t="n">
        <x:v>43293</x:v>
      </x:c>
      <x:c r="W35" s="32" t="n">
        <x:v>46568</x:v>
      </x:c>
      <x:c r="X35" s="30"/>
      <x:c r="Y35" s="32" t="n">
        <x:v>45230</x:v>
      </x:c>
      <x:c r="Z35" s="30" t="str">
        <x:v>Nike</x:v>
      </x:c>
      <x:c r="AA35" s="30" t="str">
        <x:v>Extremo Esquerdo</x:v>
      </x:c>
      <x:c r="AB35" s="30" t="str">
        <x:v>Ponta de Lança</x:v>
      </x:c>
      <x:c r="AC35" s="38" t="n">
        <x:v>140</x:v>
      </x:c>
      <x:c r="AD35" s="38" t="n">
        <x:v>200</x:v>
      </x:c>
      <x:c r="AE35" s="40" t="n">
        <x:f>IF(OR(AC35="",AD35="",AD35=0),"",AC35/AD35)</x:f>
        <x:v>0.7</x:v>
      </x:c>
      <x:c r="AF35" s="38" t="n">
        <x:f>IF(OR(AC35="",AD35=""),"",AC35-AD35)</x:f>
        <x:v>-60</x:v>
      </x:c>
      <x:c r="AG35" s="32" t="n">
        <x:v>45575</x:v>
      </x:c>
      <x:c r="AH35" s="32" t="n">
        <x:v>46177</x:v>
      </x:c>
      <x:c r="AI35" s="30"/>
      <x:c r="AJ35" s="32"/>
    </x:row>
    <x:row r="36">
      <x:c r="A36" s="30" t="str">
        <x:v>Wesley França</x:v>
      </x:c>
      <x:c r="B36" s="30" t="str">
        <x:v>Wesley Vinícius França Lima</x:v>
      </x:c>
      <x:c r="C36" s="30" t="str">
        <x:v>Lateral-direito</x:v>
      </x:c>
      <x:c r="D36" s="30" t="str">
        <x:v>Lateral-esquerdo</x:v>
      </x:c>
      <x:c r="E36" s="30" t="str">
        <x:v>AS Roma</x:v>
      </x:c>
      <x:c r="F36" s="30" t="str">
        <x:v>Titulares</x:v>
      </x:c>
      <x:c r="G36" s="30" t="str">
        <x:v>Certeza Atual</x:v>
      </x:c>
      <x:c r="H36" s="30" t="n">
        <x:v>22</x:v>
      </x:c>
      <x:c r="I36" s="30" t="n">
        <x:f>IF(H36="","",H36+4)</x:f>
        <x:v>26</x:v>
      </x:c>
      <x:c r="J36" s="36" t="n">
        <x:v>7.5</x:v>
      </x:c>
      <x:c r="K36" s="36" t="n">
        <x:v>7.5</x:v>
      </x:c>
      <x:c r="L36" s="36" t="n">
        <x:f>IF(COUNT(J36:K36)=0,"",AVERAGE(J36:K36))</x:f>
        <x:v>7.5</x:v>
      </x:c>
      <x:c r="M36" s="30" t="str">
        <x:v>Velocidade impressionante e excelente transição ofensiva.</x:v>
      </x:c>
      <x:c r="N36" s="30" t="str">
        <x:v>Precisa calibrar o posicionamento defensivo nas coberturas.</x:v>
      </x:c>
      <x:c r="O36" s="30" t="str">
        <x:v>Roberto aposta em sua evolução máxima. Unanimidade no corredor direito.</x:v>
      </x:c>
      <x:c r="P36" s="32" t="n">
        <x:v>37870</x:v>
      </x:c>
      <x:c r="Q36" s="30" t="str">
        <x:v>Açailândia, Brasil</x:v>
      </x:c>
      <x:c r="R36" s="34" t="n">
        <x:v>1.78</x:v>
      </x:c>
      <x:c r="S36" s="30" t="str">
        <x:v>Direito</x:v>
      </x:c>
      <x:c r="T36" s="30" t="str">
        <x:v>Brasil</x:v>
      </x:c>
      <x:c r="U36" s="30" t="str">
        <x:v>MCL Agency</x:v>
      </x:c>
      <x:c r="V36" s="32" t="n">
        <x:v>45866</x:v>
      </x:c>
      <x:c r="W36" s="32" t="n">
        <x:v>47664</x:v>
      </x:c>
      <x:c r="X36" s="30"/>
      <x:c r="Y36" s="32"/>
      <x:c r="Z36" s="30" t="str">
        <x:v>Nike</x:v>
      </x:c>
      <x:c r="AA36" s="30" t="str">
        <x:v>Lateral Direito</x:v>
      </x:c>
      <x:c r="AB36" s="30" t="str">
        <x:v>Médio Direito | Médio Esquerdo</x:v>
      </x:c>
      <x:c r="AC36" s="38" t="n">
        <x:v>40</x:v>
      </x:c>
      <x:c r="AD36" s="38" t="n">
        <x:v>40</x:v>
      </x:c>
      <x:c r="AE36" s="40" t="n">
        <x:f>IF(OR(AC36="",AD36="",AD36=0),"",AC36/AD36)</x:f>
        <x:v>1</x:v>
      </x:c>
      <x:c r="AF36" s="38" t="n">
        <x:f>IF(OR(AC36="",AD36=""),"",AC36-AD36)</x:f>
        <x:v>0</x:v>
      </x:c>
      <x:c r="AG36" s="32" t="n">
        <x:v>46104</x:v>
      </x:c>
      <x:c r="AH36" s="32" t="n">
        <x:v>46170</x:v>
      </x:c>
      <x:c r="AI36" s="30" t="str">
        <x:v>Imagem fornecida pelo usuário</x:v>
      </x:c>
      <x:c r="AJ36" s="32" t="n">
        <x:v>46220</x:v>
      </x:c>
    </x:row>
    <x:row r="37">
      <x:c r="A37" s="30" t="str">
        <x:v>Yan Couto</x:v>
      </x:c>
      <x:c r="B37" s="30" t="str">
        <x:v>Yan Bueno Couto</x:v>
      </x:c>
      <x:c r="C37" s="30" t="str">
        <x:v>Lateral-direito</x:v>
      </x:c>
      <x:c r="D37" s="30" t="str">
        <x:v>Mezzala direito</x:v>
      </x:c>
      <x:c r="E37" s="30" t="str">
        <x:v>Borussia Dortmund</x:v>
      </x:c>
      <x:c r="F37" s="30" t="str">
        <x:v>Reservas</x:v>
      </x:c>
      <x:c r="G37" s="30" t="str">
        <x:v>Certeza Atual</x:v>
      </x:c>
      <x:c r="H37" s="30" t="n">
        <x:v>24</x:v>
      </x:c>
      <x:c r="I37" s="30" t="n">
        <x:f>IF(H37="","",H37+4)</x:f>
        <x:v>28</x:v>
      </x:c>
      <x:c r="J37" s="36" t="n">
        <x:v>7.5</x:v>
      </x:c>
      <x:c r="K37" s="36" t="n">
        <x:v>7</x:v>
      </x:c>
      <x:c r="L37" s="36" t="n">
        <x:f>IF(COUNT(J37:K37)=0,"",AVERAGE(J37:K37))</x:f>
        <x:v>7.25</x:v>
      </x:c>
      <x:c r="M37" s="30" t="str">
        <x:v>Fácil associação no terço final e boa técnica de cruzamento.</x:v>
      </x:c>
      <x:c r="N37" s="30" t="str">
        <x:v>Pode deixar o setor defensivo exposto ao subir constantemente.</x:v>
      </x:c>
      <x:c r="O37" s="30" t="str">
        <x:v>Grande opção de rotação para manter a intensidade do ataque lateral.</x:v>
      </x:c>
      <x:c r="P37" s="32" t="n">
        <x:v>37410</x:v>
      </x:c>
      <x:c r="Q37" s="30" t="str">
        <x:v>Curitiba, Brasil</x:v>
      </x:c>
      <x:c r="R37" s="34" t="n">
        <x:v>1.68</x:v>
      </x:c>
      <x:c r="S37" s="30" t="str">
        <x:v>Direito</x:v>
      </x:c>
      <x:c r="T37" s="30" t="str">
        <x:v>Brasil | Portugal</x:v>
      </x:c>
      <x:c r="U37" s="30" t="str">
        <x:v>CAA Stellar</x:v>
      </x:c>
      <x:c r="V37" s="32" t="n">
        <x:v>45839</x:v>
      </x:c>
      <x:c r="W37" s="32" t="n">
        <x:v>47664</x:v>
      </x:c>
      <x:c r="X37" s="30"/>
      <x:c r="Y37" s="32"/>
      <x:c r="Z37" s="30"/>
      <x:c r="AA37" s="30" t="str">
        <x:v>Lateral Direito</x:v>
      </x:c>
      <x:c r="AB37" s="30" t="str">
        <x:v>Médio Direito</x:v>
      </x:c>
      <x:c r="AC37" s="38" t="n">
        <x:v>17</x:v>
      </x:c>
      <x:c r="AD37" s="38" t="n">
        <x:v>25</x:v>
      </x:c>
      <x:c r="AE37" s="40" t="n">
        <x:f>IF(OR(AC37="",AD37="",AD37=0),"",AC37/AD37)</x:f>
        <x:v>0.68</x:v>
      </x:c>
      <x:c r="AF37" s="38" t="n">
        <x:f>IF(OR(AC37="",AD37=""),"",AC37-AD37)</x:f>
        <x:v>-8</x:v>
      </x:c>
      <x:c r="AG37" s="32" t="n">
        <x:v>45449</x:v>
      </x:c>
      <x:c r="AH37" s="32" t="n">
        <x:v>46168</x:v>
      </x:c>
      <x:c r="AI37" s="30" t="str">
        <x:v>Imagem fornecida pelo usuário</x:v>
      </x:c>
      <x:c r="AJ37" s="32" t="n">
        <x:v>46220</x:v>
      </x:c>
    </x:row>
    <x:row r="38">
      <x:c r="A38" s="30" t="str">
        <x:v>Alexsandro</x:v>
      </x:c>
      <x:c r="B38" s="30" t="str">
        <x:v>Alexsandro Victor de Souza Ribeiro</x:v>
      </x:c>
      <x:c r="C38" s="30" t="str">
        <x:v>Zagueiro</x:v>
      </x:c>
      <x:c r="D38" s="30" t="str"/>
      <x:c r="E38" s="30" t="str">
        <x:v>LOSC Lille</x:v>
      </x:c>
      <x:c r="F38" s="30" t="str">
        <x:v>Observação</x:v>
      </x:c>
      <x:c r="G38" s="30" t="str">
        <x:v>Observação</x:v>
      </x:c>
      <x:c r="H38" s="30" t="n">
        <x:v>26</x:v>
      </x:c>
      <x:c r="I38" s="30" t="n">
        <x:f>IF(H38="","",H38+4)</x:f>
        <x:v>30</x:v>
      </x:c>
      <x:c r="J38" s="36" t="n">
        <x:v>0</x:v>
      </x:c>
      <x:c r="K38" s="36" t="n">
        <x:v>0</x:v>
      </x:c>
      <x:c r="L38" s="36" t="n">
        <x:f>IF(COUNT(J38:K38)=0,"",AVERAGE(J38:K38))</x:f>
        <x:v>0</x:v>
      </x:c>
      <x:c r="M38" s="30" t="str"/>
      <x:c r="N38" s="30" t="str"/>
      <x:c r="O38" s="30" t="str"/>
      <x:c r="P38" s="32" t="n">
        <x:v>36381</x:v>
      </x:c>
      <x:c r="Q38" s="30" t="str">
        <x:v>Rio de Janeiro, Brasil</x:v>
      </x:c>
      <x:c r="R38" s="34" t="n">
        <x:v>1.91</x:v>
      </x:c>
      <x:c r="S38" s="30" t="str">
        <x:v>Ambos</x:v>
      </x:c>
      <x:c r="T38" s="30" t="str">
        <x:v>Brasil</x:v>
      </x:c>
      <x:c r="U38" s="30" t="str">
        <x:v>Roc Nation Sports</x:v>
      </x:c>
      <x:c r="V38" s="32" t="n">
        <x:v>44743</x:v>
      </x:c>
      <x:c r="W38" s="32" t="n">
        <x:v>46934</x:v>
      </x:c>
      <x:c r="X38" s="30"/>
      <x:c r="Y38" s="32" t="n">
        <x:v>45306</x:v>
      </x:c>
      <x:c r="Z38" s="30"/>
      <x:c r="AA38" s="30" t="str">
        <x:v>Defesa Central</x:v>
      </x:c>
      <x:c r="AB38" s="30" t="str"/>
      <x:c r="AC38" s="38" t="n">
        <x:v>15</x:v>
      </x:c>
      <x:c r="AD38" s="38" t="n">
        <x:v>20</x:v>
      </x:c>
      <x:c r="AE38" s="40" t="n">
        <x:f>IF(OR(AC38="",AD38="",AD38=0),"",AC38/AD38)</x:f>
        <x:v>0.75</x:v>
      </x:c>
      <x:c r="AF38" s="38" t="n">
        <x:f>IF(OR(AC38="",AD38=""),"",AC38-AD38)</x:f>
        <x:v>-5</x:v>
      </x:c>
      <x:c r="AG38" s="32" t="n">
        <x:v>45810</x:v>
      </x:c>
      <x:c r="AH38" s="32" t="n">
        <x:v>46173</x:v>
      </x:c>
      <x:c r="AI38" s="30" t="str">
        <x:v>Imagem fornecida pelo usuário</x:v>
      </x:c>
      <x:c r="AJ38" s="32" t="n">
        <x:v>46220</x:v>
      </x:c>
    </x:row>
    <x:row r="39">
      <x:c r="A39" s="30" t="str">
        <x:v>Arthur</x:v>
      </x:c>
      <x:c r="B39" s="30" t="str">
        <x:v>Arthur Augusto de Matos Soares</x:v>
      </x:c>
      <x:c r="C39" s="30" t="str">
        <x:v>Lateral-direito</x:v>
      </x:c>
      <x:c r="D39" s="30" t="str">
        <x:v>Meia-esquerda | Meia-direita</x:v>
      </x:c>
      <x:c r="E39" s="30" t="str">
        <x:v>Bayer Leverkusen</x:v>
      </x:c>
      <x:c r="F39" s="30" t="str">
        <x:v>Observação</x:v>
      </x:c>
      <x:c r="G39" s="30" t="str">
        <x:v>Observação</x:v>
      </x:c>
      <x:c r="H39" s="30" t="n">
        <x:v>23</x:v>
      </x:c>
      <x:c r="I39" s="30" t="n">
        <x:f>IF(H39="","",H39+4)</x:f>
        <x:v>27</x:v>
      </x:c>
      <x:c r="J39" s="36" t="n">
        <x:v>0</x:v>
      </x:c>
      <x:c r="K39" s="36" t="n">
        <x:v>0</x:v>
      </x:c>
      <x:c r="L39" s="36" t="n">
        <x:f>IF(COUNT(J39:K39)=0,"",AVERAGE(J39:K39))</x:f>
        <x:v>0</x:v>
      </x:c>
      <x:c r="M39" s="30" t="str"/>
      <x:c r="N39" s="30" t="str"/>
      <x:c r="O39" s="30" t="str"/>
      <x:c r="P39" s="32" t="n">
        <x:v>37697</x:v>
      </x:c>
      <x:c r="Q39" s="30" t="str">
        <x:v>Belo Horizonte, Brasil</x:v>
      </x:c>
      <x:c r="R39" s="34" t="n">
        <x:v>1.74</x:v>
      </x:c>
      <x:c r="S39" s="30" t="str">
        <x:v>Direito</x:v>
      </x:c>
      <x:c r="T39" s="30" t="str">
        <x:v>Brasil</x:v>
      </x:c>
      <x:c r="U39" s="30" t="str">
        <x:v>Roc Nation Sports</x:v>
      </x:c>
      <x:c r="V39" s="32" t="n">
        <x:v>45108</x:v>
      </x:c>
      <x:c r="W39" s="32" t="n">
        <x:v>48029</x:v>
      </x:c>
      <x:c r="X39" s="30"/>
      <x:c r="Y39" s="32" t="n">
        <x:v>46148</x:v>
      </x:c>
      <x:c r="Z39" s="30" t="str">
        <x:v>Puma</x:v>
      </x:c>
      <x:c r="AA39" s="30" t="str">
        <x:v>Lateral Direito</x:v>
      </x:c>
      <x:c r="AB39" s="30" t="str">
        <x:v>Médio Esquerdo | Médio Direito</x:v>
      </x:c>
      <x:c r="AC39" s="38" t="n">
        <x:v>8</x:v>
      </x:c>
      <x:c r="AD39" s="38" t="n">
        <x:v>8</x:v>
      </x:c>
      <x:c r="AE39" s="40" t="n">
        <x:f>IF(OR(AC39="",AD39="",AD39=0),"",AC39/AD39)</x:f>
        <x:v>1</x:v>
      </x:c>
      <x:c r="AF39" s="38" t="n">
        <x:f>IF(OR(AC39="",AD39=""),"",AC39-AD39)</x:f>
        <x:v>0</x:v>
      </x:c>
      <x:c r="AG39" s="32" t="n">
        <x:v>46168</x:v>
      </x:c>
      <x:c r="AH39" s="32" t="n">
        <x:v>46168</x:v>
      </x:c>
      <x:c r="AI39" s="30" t="str">
        <x:v>Imagem fornecida pelo usuário</x:v>
      </x:c>
      <x:c r="AJ39" s="32" t="n">
        <x:v>46220</x:v>
      </x:c>
    </x:row>
    <x:row r="40">
      <x:c r="A40" s="30" t="str">
        <x:v>Bremer</x:v>
      </x:c>
      <x:c r="B40" s="30" t="str">
        <x:v>Gleison Bremer Silva Nascimento</x:v>
      </x:c>
      <x:c r="C40" s="30" t="str">
        <x:v>Zagueiro</x:v>
      </x:c>
      <x:c r="D40" s="30" t="str"/>
      <x:c r="E40" s="30" t="str">
        <x:v>Juventus FC</x:v>
      </x:c>
      <x:c r="F40" s="30" t="str">
        <x:v>Observação</x:v>
      </x:c>
      <x:c r="G40" s="30" t="str">
        <x:v>Observação</x:v>
      </x:c>
      <x:c r="H40" s="30" t="n">
        <x:v>29</x:v>
      </x:c>
      <x:c r="I40" s="30" t="n">
        <x:f>IF(H40="","",H40+4)</x:f>
        <x:v>33</x:v>
      </x:c>
      <x:c r="J40" s="36" t="n">
        <x:v>0</x:v>
      </x:c>
      <x:c r="K40" s="36" t="n">
        <x:v>0</x:v>
      </x:c>
      <x:c r="L40" s="36" t="n">
        <x:f>IF(COUNT(J40:K40)=0,"",AVERAGE(J40:K40))</x:f>
        <x:v>0</x:v>
      </x:c>
      <x:c r="M40" s="30" t="str"/>
      <x:c r="N40" s="30" t="str"/>
      <x:c r="O40" s="30" t="str"/>
      <x:c r="P40" s="32" t="n">
        <x:v>35507</x:v>
      </x:c>
      <x:c r="Q40" s="30" t="str">
        <x:v>Itapitanga, Brasil</x:v>
      </x:c>
      <x:c r="R40" s="34" t="n">
        <x:v>1.88</x:v>
      </x:c>
      <x:c r="S40" s="30" t="str">
        <x:v>Direito</x:v>
      </x:c>
      <x:c r="T40" s="30" t="str">
        <x:v>Brasil</x:v>
      </x:c>
      <x:c r="U40" s="30" t="str">
        <x:v>Familiar</x:v>
      </x:c>
      <x:c r="V40" s="32" t="n">
        <x:v>44762</x:v>
      </x:c>
      <x:c r="W40" s="32" t="n">
        <x:v>47299</x:v>
      </x:c>
      <x:c r="X40" s="30"/>
      <x:c r="Y40" s="32" t="n">
        <x:v>45509</x:v>
      </x:c>
      <x:c r="Z40" s="30" t="str">
        <x:v>Puma</x:v>
      </x:c>
      <x:c r="AA40" s="30" t="str">
        <x:v>Defesa Central</x:v>
      </x:c>
      <x:c r="AB40" s="30" t="str"/>
      <x:c r="AC40" s="38" t="n">
        <x:v>35</x:v>
      </x:c>
      <x:c r="AD40" s="38" t="n">
        <x:v>60</x:v>
      </x:c>
      <x:c r="AE40" s="40" t="n">
        <x:f>IF(OR(AC40="",AD40="",AD40=0),"",AC40/AD40)</x:f>
        <x:v>0.5833333333333334</x:v>
      </x:c>
      <x:c r="AF40" s="38" t="n">
        <x:f>IF(OR(AC40="",AD40=""),"",AC40-AD40)</x:f>
        <x:v>-25</x:v>
      </x:c>
      <x:c r="AG40" s="32" t="n">
        <x:v>45362</x:v>
      </x:c>
      <x:c r="AH40" s="32" t="n">
        <x:v>46170</x:v>
      </x:c>
      <x:c r="AI40" s="30" t="str">
        <x:v>Imagem fornecida pelo usuário</x:v>
      </x:c>
      <x:c r="AJ40" s="32" t="n">
        <x:v>46220</x:v>
      </x:c>
    </x:row>
    <x:row r="41">
      <x:c r="A41" s="30" t="str">
        <x:v>Gabriel Bontempo</x:v>
      </x:c>
      <x:c r="B41" s="30" t="str">
        <x:v>Gabriel Morais Silva Bontempo</x:v>
      </x:c>
      <x:c r="C41" s="30" t="str">
        <x:v>Mezzala direito</x:v>
      </x:c>
      <x:c r="D41" s="30" t="str">
        <x:v>Meia-direita | Meia-armador</x:v>
      </x:c>
      <x:c r="E41" s="30" t="str">
        <x:v>Santos FC</x:v>
      </x:c>
      <x:c r="F41" s="30" t="str">
        <x:v>Observação</x:v>
      </x:c>
      <x:c r="G41" s="30" t="str">
        <x:v>Promessa 2030</x:v>
      </x:c>
      <x:c r="H41" s="30" t="n">
        <x:v>21</x:v>
      </x:c>
      <x:c r="I41" s="30" t="n">
        <x:f>IF(H41="","",H41+4)</x:f>
        <x:v>25</x:v>
      </x:c>
      <x:c r="J41" s="36" t="n">
        <x:v>0</x:v>
      </x:c>
      <x:c r="K41" s="36" t="n">
        <x:v>0</x:v>
      </x:c>
      <x:c r="L41" s="36" t="n">
        <x:f>IF(COUNT(J41:K41)=0,"",AVERAGE(J41:K41))</x:f>
        <x:v>0</x:v>
      </x:c>
      <x:c r="M41" s="30" t="str"/>
      <x:c r="N41" s="30" t="str"/>
      <x:c r="O41" s="30" t="str"/>
      <x:c r="P41" s="32" t="n">
        <x:v>38368</x:v>
      </x:c>
      <x:c r="Q41" s="30" t="str">
        <x:v>Uberaba, Brasil</x:v>
      </x:c>
      <x:c r="R41" s="34" t="n">
        <x:v>1.81</x:v>
      </x:c>
      <x:c r="S41" s="30" t="str">
        <x:v>Direito</x:v>
      </x:c>
      <x:c r="T41" s="30" t="str">
        <x:v>Brasil</x:v>
      </x:c>
      <x:c r="U41" s="30" t="str">
        <x:v>ADM Esporte</x:v>
      </x:c>
      <x:c r="V41" s="32" t="n">
        <x:v>45672</x:v>
      </x:c>
      <x:c r="W41" s="32" t="n">
        <x:v>47848</x:v>
      </x:c>
      <x:c r="X41" s="30"/>
      <x:c r="Y41" s="32" t="n">
        <x:v>46125</x:v>
      </x:c>
      <x:c r="Z41" s="30"/>
      <x:c r="AA41" s="30" t="str">
        <x:v>Médio Centro</x:v>
      </x:c>
      <x:c r="AB41" s="30" t="str">
        <x:v>Médio Direito | Médio Ofensivo</x:v>
      </x:c>
      <x:c r="AC41" s="38" t="n">
        <x:v>9</x:v>
      </x:c>
      <x:c r="AD41" s="38" t="n">
        <x:v>9</x:v>
      </x:c>
      <x:c r="AE41" s="40" t="n">
        <x:f>IF(OR(AC41="",AD41="",AD41=0),"",AC41/AD41)</x:f>
        <x:v>1</x:v>
      </x:c>
      <x:c r="AF41" s="38" t="n">
        <x:f>IF(OR(AC41="",AD41=""),"",AC41-AD41)</x:f>
        <x:v>0</x:v>
      </x:c>
      <x:c r="AG41" s="32" t="n">
        <x:v>46167</x:v>
      </x:c>
      <x:c r="AH41" s="32" t="n">
        <x:v>46167</x:v>
      </x:c>
      <x:c r="AI41" s="30" t="str">
        <x:v>Imagem fornecida pelo usuário</x:v>
      </x:c>
      <x:c r="AJ41" s="32" t="n">
        <x:v>46220</x:v>
      </x:c>
    </x:row>
    <x:row r="42">
      <x:c r="A42" s="30" t="str">
        <x:v>Gabriel Moscardo</x:v>
      </x:c>
      <x:c r="B42" s="30" t="str">
        <x:v>Gabriel Silva Moscardo de Salles</x:v>
      </x:c>
      <x:c r="C42" s="30" t="str">
        <x:v>Volante</x:v>
      </x:c>
      <x:c r="D42" s="30" t="str"/>
      <x:c r="E42" s="30" t="str">
        <x:v>RCD Espanyol</x:v>
      </x:c>
      <x:c r="F42" s="30" t="str">
        <x:v>Observação</x:v>
      </x:c>
      <x:c r="G42" s="30" t="str">
        <x:v>Promessa 2030</x:v>
      </x:c>
      <x:c r="H42" s="30" t="n">
        <x:v>20</x:v>
      </x:c>
      <x:c r="I42" s="30" t="n">
        <x:f>IF(H42="","",H42+4)</x:f>
        <x:v>24</x:v>
      </x:c>
      <x:c r="J42" s="36" t="n">
        <x:v>0</x:v>
      </x:c>
      <x:c r="K42" s="36" t="n">
        <x:v>0</x:v>
      </x:c>
      <x:c r="L42" s="36" t="n">
        <x:f>IF(COUNT(J42:K42)=0,"",AVERAGE(J42:K42))</x:f>
        <x:v>0</x:v>
      </x:c>
      <x:c r="M42" s="30" t="str"/>
      <x:c r="N42" s="30" t="str"/>
      <x:c r="O42" s="30" t="str"/>
      <x:c r="P42" s="32" t="n">
        <x:v>38623</x:v>
      </x:c>
      <x:c r="Q42" s="30" t="str">
        <x:v>Taubaté, Brasil</x:v>
      </x:c>
      <x:c r="R42" s="34" t="n">
        <x:v>1.85</x:v>
      </x:c>
      <x:c r="S42" s="30" t="str">
        <x:v>Direito</x:v>
      </x:c>
      <x:c r="T42" s="30" t="str">
        <x:v>Brasil</x:v>
      </x:c>
      <x:c r="U42" s="30" t="str">
        <x:v>SportsMaxi</x:v>
      </x:c>
      <x:c r="V42" s="32" t="n">
        <x:v>46211</x:v>
      </x:c>
      <x:c r="W42" s="32" t="n">
        <x:v>46568</x:v>
      </x:c>
      <x:c r="X42" s="30"/>
      <x:c r="Y42" s="32"/>
      <x:c r="Z42" s="30" t="str">
        <x:v>adidas</x:v>
      </x:c>
      <x:c r="AA42" s="30" t="str">
        <x:v>Médio Defensivo</x:v>
      </x:c>
      <x:c r="AB42" s="30" t="str"/>
      <x:c r="AC42" s="38" t="n">
        <x:v>7</x:v>
      </x:c>
      <x:c r="AD42" s="38" t="n">
        <x:v>15</x:v>
      </x:c>
      <x:c r="AE42" s="40" t="n">
        <x:f>IF(OR(AC42="",AD42="",AD42=0),"",AC42/AD42)</x:f>
        <x:v>0.4666666666666667</x:v>
      </x:c>
      <x:c r="AF42" s="38" t="n">
        <x:f>IF(OR(AC42="",AD42=""),"",AC42-AD42)</x:f>
        <x:v>-8</x:v>
      </x:c>
      <x:c r="AG42" s="32" t="n">
        <x:v>45270</x:v>
      </x:c>
      <x:c r="AH42" s="32" t="n">
        <x:v>46169</x:v>
      </x:c>
      <x:c r="AI42" s="30" t="str">
        <x:v>Imagem fornecida pelo usuário</x:v>
      </x:c>
      <x:c r="AJ42" s="32" t="n">
        <x:v>46220</x:v>
      </x:c>
    </x:row>
    <x:row r="43">
      <x:c r="A43" s="30" t="str">
        <x:v>Igor Paixão</x:v>
      </x:c>
      <x:c r="B43" s="30" t="str">
        <x:v>Igor Guilherme Barbosa da Paixão</x:v>
      </x:c>
      <x:c r="C43" s="30" t="str">
        <x:v>Ponta-esquerda</x:v>
      </x:c>
      <x:c r="D43" s="30" t="str">
        <x:v>Ponta-direita | Meia-armador</x:v>
      </x:c>
      <x:c r="E43" s="30" t="str">
        <x:v>Olympique Marseille</x:v>
      </x:c>
      <x:c r="F43" s="30" t="str">
        <x:v>Observação</x:v>
      </x:c>
      <x:c r="G43" s="30" t="str">
        <x:v>Observação</x:v>
      </x:c>
      <x:c r="H43" s="30" t="n">
        <x:v>26</x:v>
      </x:c>
      <x:c r="I43" s="30" t="n">
        <x:f>IF(H43="","",H43+4)</x:f>
        <x:v>30</x:v>
      </x:c>
      <x:c r="J43" s="36" t="n">
        <x:v>0</x:v>
      </x:c>
      <x:c r="K43" s="36" t="n">
        <x:v>0</x:v>
      </x:c>
      <x:c r="L43" s="36" t="n">
        <x:f>IF(COUNT(J43:K43)=0,"",AVERAGE(J43:K43))</x:f>
        <x:v>0</x:v>
      </x:c>
      <x:c r="M43" s="30" t="str"/>
      <x:c r="N43" s="30" t="str"/>
      <x:c r="O43" s="30" t="str"/>
      <x:c r="P43" s="32" t="n">
        <x:v>36705</x:v>
      </x:c>
      <x:c r="Q43" s="30" t="str">
        <x:v>Macapá, Brasil</x:v>
      </x:c>
      <x:c r="R43" s="34" t="n">
        <x:v>1.68</x:v>
      </x:c>
      <x:c r="S43" s="30" t="str">
        <x:v>Direito</x:v>
      </x:c>
      <x:c r="T43" s="30" t="str">
        <x:v>Brasil</x:v>
      </x:c>
      <x:c r="U43" s="30" t="str">
        <x:v>Toninello FC</x:v>
      </x:c>
      <x:c r="V43" s="32" t="n">
        <x:v>45870</x:v>
      </x:c>
      <x:c r="W43" s="32" t="n">
        <x:v>47664</x:v>
      </x:c>
      <x:c r="X43" s="30"/>
      <x:c r="Y43" s="32"/>
      <x:c r="Z43" s="30" t="str">
        <x:v>Nike</x:v>
      </x:c>
      <x:c r="AA43" s="30" t="str">
        <x:v>Extremo Esquerdo</x:v>
      </x:c>
      <x:c r="AB43" s="30" t="str">
        <x:v>Extremo Direito | Médio Ofensivo</x:v>
      </x:c>
      <x:c r="AC43" s="38" t="n">
        <x:v>35</x:v>
      </x:c>
      <x:c r="AD43" s="38" t="n">
        <x:v>35</x:v>
      </x:c>
      <x:c r="AE43" s="40" t="n">
        <x:f>IF(OR(AC43="",AD43="",AD43=0),"",AC43/AD43)</x:f>
        <x:v>1</x:v>
      </x:c>
      <x:c r="AF43" s="38" t="n">
        <x:f>IF(OR(AC43="",AD43=""),"",AC43-AD43)</x:f>
        <x:v>0</x:v>
      </x:c>
      <x:c r="AG43" s="32" t="n">
        <x:v>45804</x:v>
      </x:c>
      <x:c r="AH43" s="32" t="n">
        <x:v>46173</x:v>
      </x:c>
      <x:c r="AI43" s="30" t="str">
        <x:v>Imagem fornecida pelo usuário</x:v>
      </x:c>
      <x:c r="AJ43" s="32" t="n">
        <x:v>46220</x:v>
      </x:c>
    </x:row>
    <x:row r="44">
      <x:c r="A44" s="30" t="str">
        <x:v>Jair</x:v>
      </x:c>
      <x:c r="B44" s="30" t="str">
        <x:v>Jair Paula da Cunha Filho</x:v>
      </x:c>
      <x:c r="C44" s="30" t="str">
        <x:v>Zagueiro</x:v>
      </x:c>
      <x:c r="D44" s="30" t="str">
        <x:v>Lateral-esquerdo | Lateral-direito</x:v>
      </x:c>
      <x:c r="E44" s="30" t="str">
        <x:v>Nottingham Forest</x:v>
      </x:c>
      <x:c r="F44" s="30" t="str">
        <x:v>Observação</x:v>
      </x:c>
      <x:c r="G44" s="30" t="str">
        <x:v>Observação</x:v>
      </x:c>
      <x:c r="H44" s="30" t="n">
        <x:v>21</x:v>
      </x:c>
      <x:c r="I44" s="30" t="n">
        <x:f>IF(H44="","",H44+4)</x:f>
        <x:v>25</x:v>
      </x:c>
      <x:c r="J44" s="36" t="n">
        <x:v>0</x:v>
      </x:c>
      <x:c r="K44" s="36" t="n">
        <x:v>0</x:v>
      </x:c>
      <x:c r="L44" s="36" t="n">
        <x:f>IF(COUNT(J44:K44)=0,"",AVERAGE(J44:K44))</x:f>
        <x:v>0</x:v>
      </x:c>
      <x:c r="M44" s="30" t="str"/>
      <x:c r="N44" s="30" t="str"/>
      <x:c r="O44" s="30" t="str"/>
      <x:c r="P44" s="32" t="n">
        <x:v>38418</x:v>
      </x:c>
      <x:c r="Q44" s="30" t="str">
        <x:v>Orlândia, Brasil</x:v>
      </x:c>
      <x:c r="R44" s="34" t="n">
        <x:v>1.98</x:v>
      </x:c>
      <x:c r="S44" s="30" t="str">
        <x:v>Ambos</x:v>
      </x:c>
      <x:c r="T44" s="30" t="str">
        <x:v>Brasil</x:v>
      </x:c>
      <x:c r="U44" s="30" t="str">
        <x:v>Bertolucci Sports</x:v>
      </x:c>
      <x:c r="V44" s="32" t="n">
        <x:v>45849</x:v>
      </x:c>
      <x:c r="W44" s="32" t="n">
        <x:v>47664</x:v>
      </x:c>
      <x:c r="X44" s="30"/>
      <x:c r="Y44" s="32"/>
      <x:c r="Z44" s="30"/>
      <x:c r="AA44" s="30" t="str">
        <x:v>Defesa Central</x:v>
      </x:c>
      <x:c r="AB44" s="30" t="str">
        <x:v>Lateral Esquerdo | Lateral Direito</x:v>
      </x:c>
      <x:c r="AC44" s="38" t="n">
        <x:v>15</x:v>
      </x:c>
      <x:c r="AD44" s="38" t="n">
        <x:v>15</x:v>
      </x:c>
      <x:c r="AE44" s="40" t="n">
        <x:f>IF(OR(AC44="",AD44="",AD44=0),"",AC44/AD44)</x:f>
        <x:v>1</x:v>
      </x:c>
      <x:c r="AF44" s="38" t="n">
        <x:f>IF(OR(AC44="",AD44=""),"",AC44-AD44)</x:f>
        <x:v>0</x:v>
      </x:c>
      <x:c r="AG44" s="32" t="n">
        <x:v>46175</x:v>
      </x:c>
      <x:c r="AH44" s="32" t="n">
        <x:v>46175</x:v>
      </x:c>
      <x:c r="AI44" s="30" t="str">
        <x:v>Imagem fornecida pelo usuário</x:v>
      </x:c>
      <x:c r="AJ44" s="32" t="n">
        <x:v>46220</x:v>
      </x:c>
    </x:row>
    <x:row r="45">
      <x:c r="A45" s="30" t="str">
        <x:v>João Pedro</x:v>
      </x:c>
      <x:c r="B45" s="30" t="str">
        <x:v>João Pedro Junqueira de Jesus</x:v>
      </x:c>
      <x:c r="C45" s="30" t="str">
        <x:v>Centroavante</x:v>
      </x:c>
      <x:c r="D45" s="30" t="str">
        <x:v>Ponta-esquerda | Segundo atacante</x:v>
      </x:c>
      <x:c r="E45" s="30" t="str">
        <x:v>Chelsea FC</x:v>
      </x:c>
      <x:c r="F45" s="30" t="str">
        <x:v>Observação</x:v>
      </x:c>
      <x:c r="G45" s="30" t="str">
        <x:v>Certeza Atual</x:v>
      </x:c>
      <x:c r="H45" s="30" t="n">
        <x:v>24</x:v>
      </x:c>
      <x:c r="I45" s="30" t="n">
        <x:f>IF(H45="","",H45+4)</x:f>
        <x:v>28</x:v>
      </x:c>
      <x:c r="J45" s="36" t="n">
        <x:v>0</x:v>
      </x:c>
      <x:c r="K45" s="36" t="n">
        <x:v>0</x:v>
      </x:c>
      <x:c r="L45" s="36" t="n">
        <x:f>IF(COUNT(J45:K45)=0,"",AVERAGE(J45:K45))</x:f>
        <x:v>0</x:v>
      </x:c>
      <x:c r="M45" s="30" t="str"/>
      <x:c r="N45" s="30" t="str"/>
      <x:c r="O45" s="30" t="str"/>
      <x:c r="P45" s="32" t="n">
        <x:v>37160</x:v>
      </x:c>
      <x:c r="Q45" s="30" t="str">
        <x:v>Ribeirão Preto, Brasil</x:v>
      </x:c>
      <x:c r="R45" s="34" t="n">
        <x:v>1.86</x:v>
      </x:c>
      <x:c r="S45" s="30" t="str">
        <x:v>Direito</x:v>
      </x:c>
      <x:c r="T45" s="30" t="str">
        <x:v>Brasil</x:v>
      </x:c>
      <x:c r="U45" s="30" t="str">
        <x:v>Promanager</x:v>
      </x:c>
      <x:c r="V45" s="32" t="n">
        <x:v>45840</x:v>
      </x:c>
      <x:c r="W45" s="32" t="n">
        <x:v>48760</x:v>
      </x:c>
      <x:c r="X45" s="30"/>
      <x:c r="Y45" s="32"/>
      <x:c r="Z45" s="30" t="str">
        <x:v>adidas</x:v>
      </x:c>
      <x:c r="AA45" s="30" t="str">
        <x:v>Ponta de Lança</x:v>
      </x:c>
      <x:c r="AB45" s="30" t="str">
        <x:v>Extremo Esquerdo | Segundo Avançado</x:v>
      </x:c>
      <x:c r="AC45" s="38" t="n">
        <x:v>80</x:v>
      </x:c>
      <x:c r="AD45" s="38" t="n">
        <x:v>80</x:v>
      </x:c>
      <x:c r="AE45" s="40" t="n">
        <x:f>IF(OR(AC45="",AD45="",AD45=0),"",AC45/AD45)</x:f>
        <x:v>1</x:v>
      </x:c>
      <x:c r="AF45" s="38" t="n">
        <x:f>IF(OR(AC45="",AD45=""),"",AC45-AD45)</x:f>
        <x:v>0</x:v>
      </x:c>
      <x:c r="AG45" s="32" t="n">
        <x:v>46175</x:v>
      </x:c>
      <x:c r="AH45" s="32" t="n">
        <x:v>46175</x:v>
      </x:c>
      <x:c r="AI45" s="30" t="str">
        <x:v>Imagem fornecida pelo usuário</x:v>
      </x:c>
      <x:c r="AJ45" s="32" t="n">
        <x:v>46220</x:v>
      </x:c>
    </x:row>
    <x:row r="46">
      <x:c r="A46" s="30" t="str">
        <x:v>João Victor</x:v>
      </x:c>
      <x:c r="B46" s="30" t="str">
        <x:v>João Victor de Souza Menezes</x:v>
      </x:c>
      <x:c r="C46" s="30" t="str">
        <x:v>Lateral-esquerdo</x:v>
      </x:c>
      <x:c r="D46" s="30" t="str">
        <x:v>Meia-esquerda</x:v>
      </x:c>
      <x:c r="E46" s="30" t="str">
        <x:v>Tottenham Hotspur</x:v>
      </x:c>
      <x:c r="F46" s="30" t="str">
        <x:v>Observação</x:v>
      </x:c>
      <x:c r="G46" s="30" t="str">
        <x:v>Observação</x:v>
      </x:c>
      <x:c r="H46" s="30" t="n">
        <x:v>20</x:v>
      </x:c>
      <x:c r="I46" s="30" t="n">
        <x:f>IF(H46="","",H46+4)</x:f>
        <x:v>24</x:v>
      </x:c>
      <x:c r="J46" s="36" t="n">
        <x:v>0</x:v>
      </x:c>
      <x:c r="K46" s="36" t="n">
        <x:v>0</x:v>
      </x:c>
      <x:c r="L46" s="36" t="n">
        <x:f>IF(COUNT(J46:K46)=0,"",AVERAGE(J46:K46))</x:f>
        <x:v>0</x:v>
      </x:c>
      <x:c r="M46" s="30" t="str"/>
      <x:c r="N46" s="30" t="str"/>
      <x:c r="O46" s="30" t="str"/>
      <x:c r="P46" s="32" t="n">
        <x:v>38884</x:v>
      </x:c>
      <x:c r="Q46" s="30" t="str">
        <x:v>Mauá, Brasil</x:v>
      </x:c>
      <x:c r="R46" s="34" t="n">
        <x:v>1.83</x:v>
      </x:c>
      <x:c r="S46" s="30" t="str">
        <x:v>Esquerdo</x:v>
      </x:c>
      <x:c r="T46" s="30" t="str">
        <x:v>Brasil</x:v>
      </x:c>
      <x:c r="U46" s="30" t="str">
        <x:v>Bertolucci Sports</x:v>
      </x:c>
      <x:c r="V46" s="32" t="n">
        <x:v>46044</x:v>
      </x:c>
      <x:c r="W46" s="32" t="n">
        <x:v>48029</x:v>
      </x:c>
      <x:c r="X46" s="30"/>
      <x:c r="Y46" s="32"/>
      <x:c r="Z46" s="30"/>
      <x:c r="AA46" s="30" t="str">
        <x:v>Lateral Esquerdo</x:v>
      </x:c>
      <x:c r="AB46" s="30" t="str">
        <x:v>Médio Esquerdo</x:v>
      </x:c>
      <x:c r="AC46" s="38" t="n">
        <x:v>12</x:v>
      </x:c>
      <x:c r="AD46" s="38" t="n">
        <x:v>12</x:v>
      </x:c>
      <x:c r="AE46" s="40" t="n">
        <x:f>IF(OR(AC46="",AD46="",AD46=0),"",AC46/AD46)</x:f>
        <x:v>1</x:v>
      </x:c>
      <x:c r="AF46" s="38" t="n">
        <x:f>IF(OR(AC46="",AD46=""),"",AC46-AD46)</x:f>
        <x:v>0</x:v>
      </x:c>
      <x:c r="AG46" s="32" t="n">
        <x:v>46089</x:v>
      </x:c>
      <x:c r="AH46" s="32" t="n">
        <x:v>46175</x:v>
      </x:c>
      <x:c r="AI46" s="30" t="str">
        <x:v>Imagem fornecida pelo usuário</x:v>
      </x:c>
      <x:c r="AJ46" s="32" t="n">
        <x:v>46223</x:v>
      </x:c>
    </x:row>
    <x:row r="47">
      <x:c r="A47" s="30" t="str">
        <x:v>Kauã Prates</x:v>
      </x:c>
      <x:c r="B47" s="30" t="str">
        <x:v>Kauã Prates de Almeida</x:v>
      </x:c>
      <x:c r="C47" s="30" t="str">
        <x:v>Lateral-esquerdo</x:v>
      </x:c>
      <x:c r="D47" s="30" t="str">
        <x:v>Zagueiro</x:v>
      </x:c>
      <x:c r="E47" s="30" t="str">
        <x:v>Cruzeiro EC</x:v>
      </x:c>
      <x:c r="F47" s="30" t="str">
        <x:v>Observação</x:v>
      </x:c>
      <x:c r="G47" s="30" t="str">
        <x:v>Promessa 2030</x:v>
      </x:c>
      <x:c r="H47" s="30" t="n">
        <x:v>17</x:v>
      </x:c>
      <x:c r="I47" s="30" t="n">
        <x:f>IF(H47="","",H47+4)</x:f>
        <x:v>21</x:v>
      </x:c>
      <x:c r="J47" s="36" t="n">
        <x:v>0</x:v>
      </x:c>
      <x:c r="K47" s="36" t="n">
        <x:v>0</x:v>
      </x:c>
      <x:c r="L47" s="36" t="n">
        <x:f>IF(COUNT(J47:K47)=0,"",AVERAGE(J47:K47))</x:f>
        <x:v>0</x:v>
      </x:c>
      <x:c r="M47" s="30" t="str"/>
      <x:c r="N47" s="30" t="str"/>
      <x:c r="O47" s="30" t="str"/>
      <x:c r="P47" s="32" t="n">
        <x:v>39672</x:v>
      </x:c>
      <x:c r="Q47" s="30" t="str">
        <x:v>Montanha, Brasil</x:v>
      </x:c>
      <x:c r="R47" s="34" t="n">
        <x:v>1.84</x:v>
      </x:c>
      <x:c r="S47" s="30" t="str">
        <x:v>Esquerdo</x:v>
      </x:c>
      <x:c r="T47" s="30" t="str">
        <x:v>Brasil</x:v>
      </x:c>
      <x:c r="U47" s="30" t="str">
        <x:v>Trust Football</x:v>
      </x:c>
      <x:c r="V47" s="32" t="n">
        <x:v>45784</x:v>
      </x:c>
      <x:c r="W47" s="32" t="n">
        <x:v>46752</x:v>
      </x:c>
      <x:c r="X47" s="30"/>
      <x:c r="Y47" s="32"/>
      <x:c r="Z47" s="30" t="str">
        <x:v>adidas</x:v>
      </x:c>
      <x:c r="AA47" s="30" t="str">
        <x:v>Lateral Esquerdo</x:v>
      </x:c>
      <x:c r="AB47" s="30" t="str">
        <x:v>Defesa Central</x:v>
      </x:c>
      <x:c r="AC47" s="38" t="n">
        <x:v>10</x:v>
      </x:c>
      <x:c r="AD47" s="38" t="n">
        <x:v>10</x:v>
      </x:c>
      <x:c r="AE47" s="40" t="n">
        <x:f>IF(OR(AC47="",AD47="",AD47=0),"",AC47/AD47)</x:f>
        <x:v>1</x:v>
      </x:c>
      <x:c r="AF47" s="38" t="n">
        <x:f>IF(OR(AC47="",AD47=""),"",AC47-AD47)</x:f>
        <x:v>0</x:v>
      </x:c>
      <x:c r="AG47" s="32" t="n">
        <x:v>46092</x:v>
      </x:c>
      <x:c r="AH47" s="32" t="n">
        <x:v>46167</x:v>
      </x:c>
      <x:c r="AI47" s="30" t="str">
        <x:v>Imagem fornecida pelo usuário</x:v>
      </x:c>
      <x:c r="AJ47" s="32" t="n">
        <x:v>46223</x:v>
      </x:c>
    </x:row>
    <x:row r="48">
      <x:c r="A48" s="30" t="str">
        <x:v>Kevin</x:v>
      </x:c>
      <x:c r="B48" s="30" t="str">
        <x:v>Kevin Santos Lopes de Macedo</x:v>
      </x:c>
      <x:c r="C48" s="30" t="str">
        <x:v>Ponta-esquerda</x:v>
      </x:c>
      <x:c r="D48" s="30" t="str">
        <x:v>Ponta-direita | Centroavante</x:v>
      </x:c>
      <x:c r="E48" s="30" t="str">
        <x:v>FC Fulham</x:v>
      </x:c>
      <x:c r="F48" s="30" t="str">
        <x:v>Observação</x:v>
      </x:c>
      <x:c r="G48" s="30" t="str">
        <x:v>Observação</x:v>
      </x:c>
      <x:c r="H48" s="30" t="n">
        <x:v>23</x:v>
      </x:c>
      <x:c r="I48" s="30" t="n">
        <x:f>IF(H48="","",H48+4)</x:f>
        <x:v>27</x:v>
      </x:c>
      <x:c r="J48" s="36" t="n">
        <x:v>0</x:v>
      </x:c>
      <x:c r="K48" s="36" t="n">
        <x:v>0</x:v>
      </x:c>
      <x:c r="L48" s="36" t="n">
        <x:f>IF(COUNT(J48:K48)=0,"",AVERAGE(J48:K48))</x:f>
        <x:v>0</x:v>
      </x:c>
      <x:c r="M48" s="30" t="str"/>
      <x:c r="N48" s="30" t="str"/>
      <x:c r="O48" s="30" t="str"/>
      <x:c r="P48" s="32" t="n">
        <x:v>37625</x:v>
      </x:c>
      <x:c r="Q48" s="30" t="str">
        <x:v>São Paulo, Brasil</x:v>
      </x:c>
      <x:c r="R48" s="34" t="n">
        <x:v>1.76</x:v>
      </x:c>
      <x:c r="S48" s="30" t="str">
        <x:v>Direito</x:v>
      </x:c>
      <x:c r="T48" s="30" t="str">
        <x:v>Brasil</x:v>
      </x:c>
      <x:c r="U48" s="30" t="str">
        <x:v>Talents Sports</x:v>
      </x:c>
      <x:c r="V48" s="32" t="n">
        <x:v>45901</x:v>
      </x:c>
      <x:c r="W48" s="32" t="n">
        <x:v>47664</x:v>
      </x:c>
      <x:c r="X48" s="30" t="str">
        <x:v>Opção do clube por 1 ano</x:v>
      </x:c>
      <x:c r="Y48" s="32"/>
      <x:c r="Z48" s="30" t="str">
        <x:v>Puma</x:v>
      </x:c>
      <x:c r="AA48" s="30" t="str">
        <x:v>Extremo Esquerdo</x:v>
      </x:c>
      <x:c r="AB48" s="30" t="str">
        <x:v>Extremo Direito | Ponta de Lança</x:v>
      </x:c>
      <x:c r="AC48" s="38" t="n">
        <x:v>25</x:v>
      </x:c>
      <x:c r="AD48" s="38" t="n">
        <x:v>30</x:v>
      </x:c>
      <x:c r="AE48" s="40" t="n">
        <x:f>IF(OR(AC48="",AD48="",AD48=0),"",AC48/AD48)</x:f>
        <x:v>0.8333333333333334</x:v>
      </x:c>
      <x:c r="AF48" s="38" t="n">
        <x:f>IF(OR(AC48="",AD48=""),"",AC48-AD48)</x:f>
        <x:v>-5</x:v>
      </x:c>
      <x:c r="AG48" s="32" t="n">
        <x:v>45946</x:v>
      </x:c>
      <x:c r="AH48" s="32" t="n">
        <x:v>46175</x:v>
      </x:c>
      <x:c r="AI48" s="30" t="str">
        <x:v>Imagem fornecida pelo usuário</x:v>
      </x:c>
      <x:c r="AJ48" s="32" t="n">
        <x:v>46220</x:v>
      </x:c>
    </x:row>
    <x:row r="49">
      <x:c r="A49" s="30" t="str">
        <x:v>Lucca Meirelles</x:v>
      </x:c>
      <x:c r="B49" s="30" t="str">
        <x:v>Lucca Oliveira Meirelles</x:v>
      </x:c>
      <x:c r="C49" s="30" t="str">
        <x:v>Centroavante</x:v>
      </x:c>
      <x:c r="D49" s="30" t="str">
        <x:v>Ponta-esquerda</x:v>
      </x:c>
      <x:c r="E49" s="30" t="str">
        <x:v>Shakhtar Donetsk</x:v>
      </x:c>
      <x:c r="F49" s="30" t="str">
        <x:v>Observação</x:v>
      </x:c>
      <x:c r="G49" s="30" t="str">
        <x:v>Promessa 2030</x:v>
      </x:c>
      <x:c r="H49" s="30" t="n">
        <x:v>19</x:v>
      </x:c>
      <x:c r="I49" s="30" t="n">
        <x:f>IF(H49="","",H49+4)</x:f>
        <x:v>23</x:v>
      </x:c>
      <x:c r="J49" s="36" t="n">
        <x:v>0</x:v>
      </x:c>
      <x:c r="K49" s="36" t="n">
        <x:v>0</x:v>
      </x:c>
      <x:c r="L49" s="36" t="n">
        <x:f>IF(COUNT(J49:K49)=0,"",AVERAGE(J49:K49))</x:f>
        <x:v>0</x:v>
      </x:c>
      <x:c r="M49" s="30" t="str"/>
      <x:c r="N49" s="30" t="str"/>
      <x:c r="O49" s="30" t="str"/>
      <x:c r="P49" s="32" t="n">
        <x:v>39156</x:v>
      </x:c>
      <x:c r="Q49" s="30" t="str">
        <x:v>Goiânia, Brasil</x:v>
      </x:c>
      <x:c r="R49" s="34" t="n">
        <x:v>1.85</x:v>
      </x:c>
      <x:c r="S49" s="30" t="str">
        <x:v>Direito</x:v>
      </x:c>
      <x:c r="T49" s="30" t="str">
        <x:v>Brasil</x:v>
      </x:c>
      <x:c r="U49" s="30" t="str">
        <x:v>Bertolucci Sports</x:v>
      </x:c>
      <x:c r="V49" s="32" t="n">
        <x:v>45897</x:v>
      </x:c>
      <x:c r="W49" s="32" t="n">
        <x:v>47664</x:v>
      </x:c>
      <x:c r="X49" s="30"/>
      <x:c r="Y49" s="32"/>
      <x:c r="Z49" s="30"/>
      <x:c r="AA49" s="30" t="str">
        <x:v>Ponta de Lança</x:v>
      </x:c>
      <x:c r="AB49" s="30" t="str">
        <x:v>Extremo Esquerdo</x:v>
      </x:c>
      <x:c r="AC49" s="38" t="n">
        <x:v>10</x:v>
      </x:c>
      <x:c r="AD49" s="38" t="n">
        <x:v>10</x:v>
      </x:c>
      <x:c r="AE49" s="40" t="n">
        <x:f>IF(OR(AC49="",AD49="",AD49=0),"",AC49/AD49)</x:f>
        <x:v>1</x:v>
      </x:c>
      <x:c r="AF49" s="38" t="n">
        <x:f>IF(OR(AC49="",AD49=""),"",AC49-AD49)</x:f>
        <x:v>0</x:v>
      </x:c>
      <x:c r="AG49" s="32" t="n">
        <x:v>46008</x:v>
      </x:c>
      <x:c r="AH49" s="32" t="n">
        <x:v>46174</x:v>
      </x:c>
      <x:c r="AI49" s="30" t="str">
        <x:v>Imagem fornecida pelo usuário</x:v>
      </x:c>
      <x:c r="AJ49" s="32" t="n">
        <x:v>46220</x:v>
      </x:c>
    </x:row>
    <x:row r="50">
      <x:c r="A50" s="30" t="str">
        <x:v>Luiz Henrique</x:v>
      </x:c>
      <x:c r="B50" s="30" t="str">
        <x:v>Luiz Henrique André Rosa da Silva</x:v>
      </x:c>
      <x:c r="C50" s="30" t="str">
        <x:v>Ponta-direita</x:v>
      </x:c>
      <x:c r="D50" s="30" t="str">
        <x:v>Ponta-esquerda | Centroavante</x:v>
      </x:c>
      <x:c r="E50" s="30" t="str">
        <x:v>Zenit São Petersburgo</x:v>
      </x:c>
      <x:c r="F50" s="30" t="str">
        <x:v>Observação</x:v>
      </x:c>
      <x:c r="G50" s="30" t="str">
        <x:v>Observação</x:v>
      </x:c>
      <x:c r="H50" s="30" t="n">
        <x:v>25</x:v>
      </x:c>
      <x:c r="I50" s="30" t="n">
        <x:f>IF(H50="","",H50+4)</x:f>
        <x:v>29</x:v>
      </x:c>
      <x:c r="J50" s="36" t="n">
        <x:v>0</x:v>
      </x:c>
      <x:c r="K50" s="36" t="n">
        <x:v>0</x:v>
      </x:c>
      <x:c r="L50" s="36" t="n">
        <x:f>IF(COUNT(J50:K50)=0,"",AVERAGE(J50:K50))</x:f>
        <x:v>0</x:v>
      </x:c>
      <x:c r="M50" s="30" t="str"/>
      <x:c r="N50" s="30" t="str"/>
      <x:c r="O50" s="30" t="str"/>
      <x:c r="P50" s="32" t="n">
        <x:v>36893</x:v>
      </x:c>
      <x:c r="Q50" s="30" t="str">
        <x:v>Petrópolis, Brasil</x:v>
      </x:c>
      <x:c r="R50" s="34" t="n">
        <x:v>1.82</x:v>
      </x:c>
      <x:c r="S50" s="30" t="str">
        <x:v>Esquerdo</x:v>
      </x:c>
      <x:c r="T50" s="30" t="str">
        <x:v>Brasil</x:v>
      </x:c>
      <x:c r="U50" s="30" t="str">
        <x:v>REASON FOOTBALL</x:v>
      </x:c>
      <x:c r="V50" s="32" t="n">
        <x:v>45677</x:v>
      </x:c>
      <x:c r="W50" s="32" t="n">
        <x:v>47118</x:v>
      </x:c>
      <x:c r="X50" s="30" t="str">
        <x:v>Mais um ano</x:v>
      </x:c>
      <x:c r="Y50" s="32"/>
      <x:c r="Z50" s="30" t="str">
        <x:v>adidas</x:v>
      </x:c>
      <x:c r="AA50" s="30" t="str">
        <x:v>Extremo Direito</x:v>
      </x:c>
      <x:c r="AB50" s="30" t="str">
        <x:v>Extremo Esquerdo | Ponta de Lança</x:v>
      </x:c>
      <x:c r="AC50" s="38" t="n">
        <x:v>24</x:v>
      </x:c>
      <x:c r="AD50" s="38" t="n">
        <x:v>25</x:v>
      </x:c>
      <x:c r="AE50" s="40" t="n">
        <x:f>IF(OR(AC50="",AD50="",AD50=0),"",AC50/AD50)</x:f>
        <x:v>0.96</x:v>
      </x:c>
      <x:c r="AF50" s="38" t="n">
        <x:f>IF(OR(AC50="",AD50=""),"",AC50-AD50)</x:f>
        <x:v>-1</x:v>
      </x:c>
      <x:c r="AG50" s="32" t="n">
        <x:v>45734</x:v>
      </x:c>
      <x:c r="AH50" s="32" t="n">
        <x:v>46167</x:v>
      </x:c>
      <x:c r="AI50" s="30" t="str">
        <x:v>Imagem fornecida pelo usuário</x:v>
      </x:c>
      <x:c r="AJ50" s="32" t="n">
        <x:v>46220</x:v>
      </x:c>
    </x:row>
    <x:row r="51">
      <x:c r="A51" s="30" t="str">
        <x:v>Luiz Júnior</x:v>
      </x:c>
      <x:c r="B51" s="30" t="str">
        <x:v>Luiz Lúcio Reis Júnior</x:v>
      </x:c>
      <x:c r="C51" s="30" t="str">
        <x:v>Goleiro</x:v>
      </x:c>
      <x:c r="D51" s="30" t="str"/>
      <x:c r="E51" s="30" t="str">
        <x:v>FC Villarreal</x:v>
      </x:c>
      <x:c r="F51" s="30" t="str">
        <x:v>Observação</x:v>
      </x:c>
      <x:c r="G51" s="30" t="str">
        <x:v>Observação</x:v>
      </x:c>
      <x:c r="H51" s="30" t="n">
        <x:v>25</x:v>
      </x:c>
      <x:c r="I51" s="30" t="n">
        <x:f>IF(H51="","",H51+4)</x:f>
        <x:v>29</x:v>
      </x:c>
      <x:c r="J51" s="36" t="n">
        <x:v>0</x:v>
      </x:c>
      <x:c r="K51" s="36" t="n">
        <x:v>0</x:v>
      </x:c>
      <x:c r="L51" s="36" t="n">
        <x:f>IF(COUNT(J51:K51)=0,"",AVERAGE(J51:K51))</x:f>
        <x:v>0</x:v>
      </x:c>
      <x:c r="M51" s="30" t="str"/>
      <x:c r="N51" s="30" t="str"/>
      <x:c r="O51" s="30" t="str"/>
      <x:c r="P51" s="32" t="n">
        <x:v>36905</x:v>
      </x:c>
      <x:c r="Q51" s="30" t="str">
        <x:v>Picos, Brasil</x:v>
      </x:c>
      <x:c r="R51" s="34" t="n">
        <x:v>1.92</x:v>
      </x:c>
      <x:c r="S51" s="30" t="str">
        <x:v>Esquerdo</x:v>
      </x:c>
      <x:c r="T51" s="30" t="str">
        <x:v>Brasil | Portugal</x:v>
      </x:c>
      <x:c r="U51" s="30"/>
      <x:c r="V51" s="32" t="n">
        <x:v>45524</x:v>
      </x:c>
      <x:c r="W51" s="32" t="n">
        <x:v>47664</x:v>
      </x:c>
      <x:c r="X51" s="30"/>
      <x:c r="Y51" s="32"/>
      <x:c r="Z51" s="30"/>
      <x:c r="AA51" s="30" t="str">
        <x:v>Guarda-redes</x:v>
      </x:c>
      <x:c r="AB51" s="30" t="str"/>
      <x:c r="AC51" s="38" t="n">
        <x:v>12</x:v>
      </x:c>
      <x:c r="AD51" s="38" t="n">
        <x:v>12</x:v>
      </x:c>
      <x:c r="AE51" s="40" t="n">
        <x:f>IF(OR(AC51="",AD51="",AD51=0),"",AC51/AD51)</x:f>
        <x:v>1</x:v>
      </x:c>
      <x:c r="AF51" s="38" t="n">
        <x:f>IF(OR(AC51="",AD51=""),"",AC51-AD51)</x:f>
        <x:v>0</x:v>
      </x:c>
      <x:c r="AG51" s="32" t="n">
        <x:v>46002</x:v>
      </x:c>
      <x:c r="AH51" s="32" t="n">
        <x:v>46177</x:v>
      </x:c>
      <x:c r="AI51" s="30" t="str">
        <x:v>Imagem fornecida pelo usuário</x:v>
      </x:c>
      <x:c r="AJ51" s="32" t="n">
        <x:v>46220</x:v>
      </x:c>
    </x:row>
    <x:row r="52">
      <x:c r="A52" s="30" t="str">
        <x:v>Matheus Martinelli</x:v>
      </x:c>
      <x:c r="B52" s="30" t="str">
        <x:v>Matheus Martinelli Lima</x:v>
      </x:c>
      <x:c r="C52" s="30" t="str">
        <x:v>Volante</x:v>
      </x:c>
      <x:c r="D52" s="30" t="str">
        <x:v>Mezzala direito | Zagueiro</x:v>
      </x:c>
      <x:c r="E52" s="30" t="str">
        <x:v>Fluminense FC</x:v>
      </x:c>
      <x:c r="F52" s="30" t="str">
        <x:v>Observação</x:v>
      </x:c>
      <x:c r="G52" s="30" t="str">
        <x:v>Observação</x:v>
      </x:c>
      <x:c r="H52" s="30" t="n">
        <x:v>24</x:v>
      </x:c>
      <x:c r="I52" s="30" t="n">
        <x:f>IF(H52="","",H52+4)</x:f>
        <x:v>28</x:v>
      </x:c>
      <x:c r="J52" s="36" t="n">
        <x:v>0</x:v>
      </x:c>
      <x:c r="K52" s="36" t="n">
        <x:v>0</x:v>
      </x:c>
      <x:c r="L52" s="36" t="n">
        <x:f>IF(COUNT(J52:K52)=0,"",AVERAGE(J52:K52))</x:f>
        <x:v>0</x:v>
      </x:c>
      <x:c r="M52" s="30" t="str"/>
      <x:c r="N52" s="30" t="str"/>
      <x:c r="O52" s="30" t="str"/>
      <x:c r="P52" s="32" t="n">
        <x:v>37169</x:v>
      </x:c>
      <x:c r="Q52" s="30" t="str">
        <x:v>Presidente Prudente, Brasil</x:v>
      </x:c>
      <x:c r="R52" s="34" t="n">
        <x:v>1.76</x:v>
      </x:c>
      <x:c r="S52" s="30" t="str">
        <x:v>Direito</x:v>
      </x:c>
      <x:c r="T52" s="30" t="str">
        <x:v>Brasil</x:v>
      </x:c>
      <x:c r="U52" s="30" t="str">
        <x:v>ADM Esporte</x:v>
      </x:c>
      <x:c r="V52" s="32" t="n">
        <x:v>44013</x:v>
      </x:c>
      <x:c r="W52" s="32" t="n">
        <x:v>47848</x:v>
      </x:c>
      <x:c r="X52" s="30"/>
      <x:c r="Y52" s="32" t="n">
        <x:v>46077</x:v>
      </x:c>
      <x:c r="Z52" s="30"/>
      <x:c r="AA52" s="30" t="str">
        <x:v>Médio Defensivo</x:v>
      </x:c>
      <x:c r="AB52" s="30" t="str">
        <x:v>Médio Centro | Defesa Central</x:v>
      </x:c>
      <x:c r="AC52" s="38" t="n">
        <x:v>16</x:v>
      </x:c>
      <x:c r="AD52" s="38" t="n">
        <x:v>16</x:v>
      </x:c>
      <x:c r="AE52" s="40" t="n">
        <x:f>IF(OR(AC52="",AD52="",AD52=0),"",AC52/AD52)</x:f>
        <x:v>1</x:v>
      </x:c>
      <x:c r="AF52" s="38" t="n">
        <x:f>IF(OR(AC52="",AD52=""),"",AC52-AD52)</x:f>
        <x:v>0</x:v>
      </x:c>
      <x:c r="AG52" s="32" t="n">
        <x:v>46092</x:v>
      </x:c>
      <x:c r="AH52" s="32" t="n">
        <x:v>46167</x:v>
      </x:c>
      <x:c r="AI52" s="30" t="str">
        <x:v>Imagem fornecida pelo usuário</x:v>
      </x:c>
      <x:c r="AJ52" s="32" t="n">
        <x:v>46220</x:v>
      </x:c>
    </x:row>
    <x:row r="53">
      <x:c r="A53" s="30" t="str">
        <x:v>Otávio</x:v>
      </x:c>
      <x:c r="B53" s="30" t="str">
        <x:v>Otávio Eleodoro Rezende Costa</x:v>
      </x:c>
      <x:c r="C53" s="30" t="str">
        <x:v>Goleiro</x:v>
      </x:c>
      <x:c r="D53" s="30" t="str"/>
      <x:c r="E53" s="30" t="str">
        <x:v>Cruzeiro EC</x:v>
      </x:c>
      <x:c r="F53" s="30" t="str">
        <x:v>Observação</x:v>
      </x:c>
      <x:c r="G53" s="30" t="str">
        <x:v>Observação</x:v>
      </x:c>
      <x:c r="H53" s="30" t="n">
        <x:v>20</x:v>
      </x:c>
      <x:c r="I53" s="30" t="n">
        <x:f>IF(H53="","",H53+4)</x:f>
        <x:v>24</x:v>
      </x:c>
      <x:c r="J53" s="36" t="n">
        <x:v>0</x:v>
      </x:c>
      <x:c r="K53" s="36" t="n">
        <x:v>0</x:v>
      </x:c>
      <x:c r="L53" s="36" t="n">
        <x:f>IF(COUNT(J53:K53)=0,"",AVERAGE(J53:K53))</x:f>
        <x:v>0</x:v>
      </x:c>
      <x:c r="M53" s="30" t="str"/>
      <x:c r="N53" s="30" t="str"/>
      <x:c r="O53" s="30" t="str"/>
      <x:c r="P53" s="32" t="n">
        <x:v>38713</x:v>
      </x:c>
      <x:c r="Q53" s="30" t="str">
        <x:v>Perdigão, Brasil</x:v>
      </x:c>
      <x:c r="R53" s="34" t="n">
        <x:v>1.92</x:v>
      </x:c>
      <x:c r="S53" s="30" t="str">
        <x:v>Direito</x:v>
      </x:c>
      <x:c r="T53" s="30" t="str">
        <x:v>Brasil</x:v>
      </x:c>
      <x:c r="U53" s="30" t="str">
        <x:v>Hebrom Fut.</x:v>
      </x:c>
      <x:c r="V53" s="32" t="n">
        <x:v>45658</x:v>
      </x:c>
      <x:c r="W53" s="32" t="n">
        <x:v>47118</x:v>
      </x:c>
      <x:c r="X53" s="30"/>
      <x:c r="Y53" s="32" t="n">
        <x:v>45308</x:v>
      </x:c>
      <x:c r="Z53" s="30" t="str">
        <x:v>Nike</x:v>
      </x:c>
      <x:c r="AA53" s="30" t="str">
        <x:v>Guarda-redes</x:v>
      </x:c>
      <x:c r="AB53" s="30" t="str"/>
      <x:c r="AC53" s="38" t="n">
        <x:v>0.5</x:v>
      </x:c>
      <x:c r="AD53" s="38" t="n">
        <x:v>0.5</x:v>
      </x:c>
      <x:c r="AE53" s="40" t="n">
        <x:f>IF(OR(AC53="",AD53="",AD53=0),"",AC53/AD53)</x:f>
        <x:v>1</x:v>
      </x:c>
      <x:c r="AF53" s="38" t="n">
        <x:f>IF(OR(AC53="",AD53=""),"",AC53-AD53)</x:f>
        <x:v>0</x:v>
      </x:c>
      <x:c r="AG53" s="32" t="n">
        <x:v>46092</x:v>
      </x:c>
      <x:c r="AH53" s="32" t="n">
        <x:v>46167</x:v>
      </x:c>
      <x:c r="AI53" s="30" t="str">
        <x:v>Imagem fornecida pelo usuário</x:v>
      </x:c>
      <x:c r="AJ53" s="32" t="n">
        <x:v>46220</x:v>
      </x:c>
    </x:row>
    <x:row r="54">
      <x:c r="A54" s="30" t="str">
        <x:v>Pedro Morisco</x:v>
      </x:c>
      <x:c r="B54" s="30" t="str">
        <x:v>Pedro Luccas Morisco da Silva</x:v>
      </x:c>
      <x:c r="C54" s="30" t="str">
        <x:v>Goleiro</x:v>
      </x:c>
      <x:c r="D54" s="30" t="str"/>
      <x:c r="E54" s="30" t="str">
        <x:v>Coritiba Foot Ball Club</x:v>
      </x:c>
      <x:c r="F54" s="30" t="str">
        <x:v>Observação</x:v>
      </x:c>
      <x:c r="G54" s="30" t="str">
        <x:v>Observação</x:v>
      </x:c>
      <x:c r="H54" s="30" t="n">
        <x:v>22</x:v>
      </x:c>
      <x:c r="I54" s="30" t="n">
        <x:f>IF(H54="","",H54+4)</x:f>
        <x:v>26</x:v>
      </x:c>
      <x:c r="J54" s="36" t="n">
        <x:v>0</x:v>
      </x:c>
      <x:c r="K54" s="36" t="n">
        <x:v>0</x:v>
      </x:c>
      <x:c r="L54" s="36" t="n">
        <x:f>IF(COUNT(J54:K54)=0,"",AVERAGE(J54:K54))</x:f>
        <x:v>0</x:v>
      </x:c>
      <x:c r="M54" s="30" t="str"/>
      <x:c r="N54" s="30" t="str"/>
      <x:c r="O54" s="30" t="str"/>
      <x:c r="P54" s="32" t="n">
        <x:v>37996</x:v>
      </x:c>
      <x:c r="Q54" s="30" t="str">
        <x:v>Curitiba, Brasil</x:v>
      </x:c>
      <x:c r="R54" s="34" t="n">
        <x:v>1.91</x:v>
      </x:c>
      <x:c r="S54" s="30" t="str">
        <x:v>Direito</x:v>
      </x:c>
      <x:c r="T54" s="30" t="str">
        <x:v>Brasil</x:v>
      </x:c>
      <x:c r="U54" s="30" t="str">
        <x:v>LINK SPORTS</x:v>
      </x:c>
      <x:c r="V54" s="32" t="n">
        <x:v>44927</x:v>
      </x:c>
      <x:c r="W54" s="32" t="n">
        <x:v>46752</x:v>
      </x:c>
      <x:c r="X54" s="30"/>
      <x:c r="Y54" s="32"/>
      <x:c r="Z54" s="30"/>
      <x:c r="AA54" s="30" t="str">
        <x:v>Guarda-redes</x:v>
      </x:c>
      <x:c r="AB54" s="30" t="str"/>
      <x:c r="AC54" s="38" t="n">
        <x:v>5</x:v>
      </x:c>
      <x:c r="AD54" s="38" t="n">
        <x:v>5</x:v>
      </x:c>
      <x:c r="AE54" s="40" t="n">
        <x:f>IF(OR(AC54="",AD54="",AD54=0),"",AC54/AD54)</x:f>
        <x:v>1</x:v>
      </x:c>
      <x:c r="AF54" s="38" t="n">
        <x:f>IF(OR(AC54="",AD54=""),"",AC54-AD54)</x:f>
        <x:v>0</x:v>
      </x:c>
      <x:c r="AG54" s="32" t="n">
        <x:v>46092</x:v>
      </x:c>
      <x:c r="AH54" s="32" t="n">
        <x:v>46167</x:v>
      </x:c>
      <x:c r="AI54" s="30" t="str">
        <x:v>Imagem fornecida pelo usuário</x:v>
      </x:c>
      <x:c r="AJ54" s="32" t="n">
        <x:v>46220</x:v>
      </x:c>
    </x:row>
    <x:row r="55">
      <x:c r="A55" s="30" t="str">
        <x:v>Raphinha</x:v>
      </x:c>
      <x:c r="B55" s="30" t="str">
        <x:v>Raphael Dias Belloli</x:v>
      </x:c>
      <x:c r="C55" s="30" t="str">
        <x:v>Ponta-esquerda</x:v>
      </x:c>
      <x:c r="D55" s="30" t="str">
        <x:v>Ponta-direita | Segundo atacante</x:v>
      </x:c>
      <x:c r="E55" s="30" t="str">
        <x:v>FC Barcelona</x:v>
      </x:c>
      <x:c r="F55" s="30" t="str">
        <x:v>Observação</x:v>
      </x:c>
      <x:c r="G55" s="30" t="str">
        <x:v>Certeza Atual</x:v>
      </x:c>
      <x:c r="H55" s="30" t="n">
        <x:v>29</x:v>
      </x:c>
      <x:c r="I55" s="30" t="n">
        <x:f>IF(H55="","",H55+4)</x:f>
        <x:v>33</x:v>
      </x:c>
      <x:c r="J55" s="36" t="n">
        <x:v>0</x:v>
      </x:c>
      <x:c r="K55" s="36" t="n">
        <x:v>0</x:v>
      </x:c>
      <x:c r="L55" s="36" t="n">
        <x:f>IF(COUNT(J55:K55)=0,"",AVERAGE(J55:K55))</x:f>
        <x:v>0</x:v>
      </x:c>
      <x:c r="M55" s="30" t="str"/>
      <x:c r="N55" s="30" t="str"/>
      <x:c r="O55" s="30" t="str"/>
      <x:c r="P55" s="32" t="n">
        <x:v>35413</x:v>
      </x:c>
      <x:c r="Q55" s="30" t="str">
        <x:v>Porto Alegre, Brasil</x:v>
      </x:c>
      <x:c r="R55" s="34" t="n">
        <x:v>1.76</x:v>
      </x:c>
      <x:c r="S55" s="30" t="str">
        <x:v>Esquerdo</x:v>
      </x:c>
      <x:c r="T55" s="30" t="str">
        <x:v>Brasil | Itália</x:v>
      </x:c>
      <x:c r="U55" s="30"/>
      <x:c r="V55" s="32" t="n">
        <x:v>44755</x:v>
      </x:c>
      <x:c r="W55" s="32" t="n">
        <x:v>46934</x:v>
      </x:c>
      <x:c r="X55" s="30"/>
      <x:c r="Y55" s="32" t="n">
        <x:v>45799</x:v>
      </x:c>
      <x:c r="Z55" s="30" t="str">
        <x:v>adidas</x:v>
      </x:c>
      <x:c r="AA55" s="30" t="str">
        <x:v>Extremo Esquerdo</x:v>
      </x:c>
      <x:c r="AB55" s="30" t="str">
        <x:v>Extremo Direito | Segundo Avançado</x:v>
      </x:c>
      <x:c r="AC55" s="38" t="n">
        <x:v>70</x:v>
      </x:c>
      <x:c r="AD55" s="38" t="n">
        <x:v>90</x:v>
      </x:c>
      <x:c r="AE55" s="40" t="n">
        <x:f>IF(OR(AC55="",AD55="",AD55=0),"",AC55/AD55)</x:f>
        <x:v>0.7777777777777778</x:v>
      </x:c>
      <x:c r="AF55" s="38" t="n">
        <x:f>IF(OR(AC55="",AD55=""),"",AC55-AD55)</x:f>
        <x:v>-20</x:v>
      </x:c>
      <x:c r="AG55" s="32" t="n">
        <x:v>45816</x:v>
      </x:c>
      <x:c r="AH55" s="32" t="n">
        <x:v>46177</x:v>
      </x:c>
      <x:c r="AI55" s="30" t="str">
        <x:v>Imagem fornecida pelo usuário</x:v>
      </x:c>
      <x:c r="AJ55" s="32" t="n">
        <x:v>46220</x:v>
      </x:c>
    </x:row>
    <x:row r="56">
      <x:c r="A56" s="30" t="str">
        <x:v>Rayan</x:v>
      </x:c>
      <x:c r="B56" s="30" t="str">
        <x:v>Rayan Vitor Simplício Rocha</x:v>
      </x:c>
      <x:c r="C56" s="30" t="str">
        <x:v>Ponta-direita</x:v>
      </x:c>
      <x:c r="D56" s="30" t="str">
        <x:v>Centroavante | Ponta-esquerda</x:v>
      </x:c>
      <x:c r="E56" s="30" t="str">
        <x:v>AFC Bournemouth</x:v>
      </x:c>
      <x:c r="F56" s="30" t="str">
        <x:v>Observação</x:v>
      </x:c>
      <x:c r="G56" s="30" t="str">
        <x:v>Promessa 2030</x:v>
      </x:c>
      <x:c r="H56" s="30" t="n">
        <x:v>19</x:v>
      </x:c>
      <x:c r="I56" s="30" t="n">
        <x:f>IF(H56="","",H56+4)</x:f>
        <x:v>23</x:v>
      </x:c>
      <x:c r="J56" s="36" t="n">
        <x:v>0</x:v>
      </x:c>
      <x:c r="K56" s="36" t="n">
        <x:v>0</x:v>
      </x:c>
      <x:c r="L56" s="36" t="n">
        <x:f>IF(COUNT(J56:K56)=0,"",AVERAGE(J56:K56))</x:f>
        <x:v>0</x:v>
      </x:c>
      <x:c r="M56" s="30" t="str"/>
      <x:c r="N56" s="30" t="str"/>
      <x:c r="O56" s="30" t="str"/>
      <x:c r="P56" s="32" t="n">
        <x:v>38932</x:v>
      </x:c>
      <x:c r="Q56" s="30" t="str">
        <x:v>Rio de Janeiro, Brasil</x:v>
      </x:c>
      <x:c r="R56" s="34" t="n">
        <x:v>1.87</x:v>
      </x:c>
      <x:c r="S56" s="30" t="str">
        <x:v>Esquerdo</x:v>
      </x:c>
      <x:c r="T56" s="30" t="str">
        <x:v>Brasil</x:v>
      </x:c>
      <x:c r="U56" s="30" t="str">
        <x:v>VTN IMAGE</x:v>
      </x:c>
      <x:c r="V56" s="32" t="n">
        <x:v>46049</x:v>
      </x:c>
      <x:c r="W56" s="32" t="n">
        <x:v>48029</x:v>
      </x:c>
      <x:c r="X56" s="30"/>
      <x:c r="Y56" s="32"/>
      <x:c r="Z56" s="30"/>
      <x:c r="AA56" s="30" t="str">
        <x:v>Extremo Direito</x:v>
      </x:c>
      <x:c r="AB56" s="30" t="str">
        <x:v>Ponta de Lança | Extremo Esquerdo</x:v>
      </x:c>
      <x:c r="AC56" s="38" t="n">
        <x:v>60</x:v>
      </x:c>
      <x:c r="AD56" s="38" t="n">
        <x:v>60</x:v>
      </x:c>
      <x:c r="AE56" s="40" t="n">
        <x:f>IF(OR(AC56="",AD56="",AD56=0),"",AC56/AD56)</x:f>
        <x:v>1</x:v>
      </x:c>
      <x:c r="AF56" s="38" t="n">
        <x:f>IF(OR(AC56="",AD56=""),"",AC56-AD56)</x:f>
        <x:v>0</x:v>
      </x:c>
      <x:c r="AG56" s="32" t="n">
        <x:v>46175</x:v>
      </x:c>
      <x:c r="AH56" s="32" t="n">
        <x:v>46175</x:v>
      </x:c>
      <x:c r="AI56" s="30" t="str">
        <x:v>Imagem fornecida pelo usuário</x:v>
      </x:c>
      <x:c r="AJ56" s="32" t="n">
        <x:v>46220</x:v>
      </x:c>
    </x:row>
    <x:row r="57">
      <x:c r="A57" s="30" t="str">
        <x:v>Roger Ibañez</x:v>
      </x:c>
      <x:c r="B57" s="30" t="str">
        <x:v>Roger Ibañez da Silva</x:v>
      </x:c>
      <x:c r="C57" s="30" t="str">
        <x:v>Zagueiro</x:v>
      </x:c>
      <x:c r="D57" s="30" t="str">
        <x:v>Lateral-direito</x:v>
      </x:c>
      <x:c r="E57" s="30" t="str">
        <x:v>Al-Ahli SFC</x:v>
      </x:c>
      <x:c r="F57" s="30" t="str">
        <x:v>Observação</x:v>
      </x:c>
      <x:c r="G57" s="30" t="str">
        <x:v>Observação</x:v>
      </x:c>
      <x:c r="H57" s="30" t="n">
        <x:v>27</x:v>
      </x:c>
      <x:c r="I57" s="30" t="n">
        <x:f>IF(H57="","",H57+4)</x:f>
        <x:v>31</x:v>
      </x:c>
      <x:c r="J57" s="36" t="n">
        <x:v>0</x:v>
      </x:c>
      <x:c r="K57" s="36" t="n">
        <x:v>0</x:v>
      </x:c>
      <x:c r="L57" s="36" t="n">
        <x:f>IF(COUNT(J57:K57)=0,"",AVERAGE(J57:K57))</x:f>
        <x:v>0</x:v>
      </x:c>
      <x:c r="M57" s="30" t="str"/>
      <x:c r="N57" s="30" t="str"/>
      <x:c r="O57" s="30" t="str"/>
      <x:c r="P57" s="32" t="n">
        <x:v>36122</x:v>
      </x:c>
      <x:c r="Q57" s="30" t="str">
        <x:v>Canela, Brasil</x:v>
      </x:c>
      <x:c r="R57" s="34" t="n">
        <x:v>1.86</x:v>
      </x:c>
      <x:c r="S57" s="30" t="str">
        <x:v>Direito</x:v>
      </x:c>
      <x:c r="T57" s="30" t="str">
        <x:v>Brasil | Itália</x:v>
      </x:c>
      <x:c r="U57" s="30" t="str">
        <x:v>Promanager</x:v>
      </x:c>
      <x:c r="V57" s="32" t="n">
        <x:v>45148</x:v>
      </x:c>
      <x:c r="W57" s="32" t="n">
        <x:v>46568</x:v>
      </x:c>
      <x:c r="X57" s="30"/>
      <x:c r="Y57" s="32"/>
      <x:c r="Z57" s="30"/>
      <x:c r="AA57" s="30" t="str">
        <x:v>Defesa Central</x:v>
      </x:c>
      <x:c r="AB57" s="30" t="str">
        <x:v>Lateral Direito</x:v>
      </x:c>
      <x:c r="AC57" s="38" t="n">
        <x:v>18</x:v>
      </x:c>
      <x:c r="AD57" s="38" t="n">
        <x:v>30</x:v>
      </x:c>
      <x:c r="AE57" s="40" t="n">
        <x:f>IF(OR(AC57="",AD57="",AD57=0),"",AC57/AD57)</x:f>
        <x:v>0.6</x:v>
      </x:c>
      <x:c r="AF57" s="38" t="n">
        <x:f>IF(OR(AC57="",AD57=""),"",AC57-AD57)</x:f>
        <x:v>-12</x:v>
      </x:c>
      <x:c r="AG57" s="32" t="n">
        <x:v>45005</x:v>
      </x:c>
      <x:c r="AH57" s="32" t="n">
        <x:v>46176</x:v>
      </x:c>
      <x:c r="AI57" s="30" t="str">
        <x:v>Imagem fornecida pelo usuário</x:v>
      </x:c>
      <x:c r="AJ57" s="32" t="n">
        <x:v>46220</x:v>
      </x:c>
    </x:row>
    <x:row r="58">
      <x:c r="A58" s="30" t="str">
        <x:v>Vanderson</x:v>
      </x:c>
      <x:c r="B58" s="30" t="str">
        <x:v>Vanderson de Oliveira Campos</x:v>
      </x:c>
      <x:c r="C58" s="30" t="str">
        <x:v>Lateral-direito</x:v>
      </x:c>
      <x:c r="D58" s="30" t="str">
        <x:v>Meia-direita | Ponta-direita</x:v>
      </x:c>
      <x:c r="E58" s="30" t="str">
        <x:v>AS Monaco</x:v>
      </x:c>
      <x:c r="F58" s="30" t="str">
        <x:v>Observação</x:v>
      </x:c>
      <x:c r="G58" s="30" t="str">
        <x:v>Observação</x:v>
      </x:c>
      <x:c r="H58" s="30" t="n">
        <x:v>25</x:v>
      </x:c>
      <x:c r="I58" s="30" t="n">
        <x:f>IF(H58="","",H58+4)</x:f>
        <x:v>29</x:v>
      </x:c>
      <x:c r="J58" s="36" t="n">
        <x:v>0</x:v>
      </x:c>
      <x:c r="K58" s="36" t="n">
        <x:v>0</x:v>
      </x:c>
      <x:c r="L58" s="36" t="n">
        <x:f>IF(COUNT(J58:K58)=0,"",AVERAGE(J58:K58))</x:f>
        <x:v>0</x:v>
      </x:c>
      <x:c r="M58" s="30" t="str"/>
      <x:c r="N58" s="30" t="str"/>
      <x:c r="O58" s="30" t="str"/>
      <x:c r="P58" s="32" t="n">
        <x:v>37063</x:v>
      </x:c>
      <x:c r="Q58" s="30" t="str">
        <x:v>Rondonópolis, Brasil</x:v>
      </x:c>
      <x:c r="R58" s="34" t="n">
        <x:v>1.73</x:v>
      </x:c>
      <x:c r="S58" s="30" t="str">
        <x:v>Direito</x:v>
      </x:c>
      <x:c r="T58" s="30" t="str">
        <x:v>Brasil</x:v>
      </x:c>
      <x:c r="U58" s="30" t="str">
        <x:v>Bertolucci Sports</x:v>
      </x:c>
      <x:c r="V58" s="32" t="n">
        <x:v>44562</x:v>
      </x:c>
      <x:c r="W58" s="32" t="n">
        <x:v>46934</x:v>
      </x:c>
      <x:c r="X58" s="30"/>
      <x:c r="Y58" s="32" t="n">
        <x:v>45324</x:v>
      </x:c>
      <x:c r="Z58" s="30"/>
      <x:c r="AA58" s="30" t="str">
        <x:v>Lateral Direito</x:v>
      </x:c>
      <x:c r="AB58" s="30" t="str">
        <x:v>Médio Direito | Extremo Direito</x:v>
      </x:c>
      <x:c r="AC58" s="38" t="n">
        <x:v>18</x:v>
      </x:c>
      <x:c r="AD58" s="38" t="n">
        <x:v>20</x:v>
      </x:c>
      <x:c r="AE58" s="40" t="n">
        <x:f>IF(OR(AC58="",AD58="",AD58=0),"",AC58/AD58)</x:f>
        <x:v>0.9</x:v>
      </x:c>
      <x:c r="AF58" s="38" t="n">
        <x:f>IF(OR(AC58="",AD58=""),"",AC58-AD58)</x:f>
        <x:v>-2</x:v>
      </x:c>
      <x:c r="AG58" s="32" t="n">
        <x:v>45103</x:v>
      </x:c>
      <x:c r="AH58" s="32" t="n">
        <x:v>46173</x:v>
      </x:c>
      <x:c r="AI58" s="30" t="str">
        <x:v>Imagem fornecida pelo usuário</x:v>
      </x:c>
      <x:c r="AJ58" s="32" t="n">
        <x:v>46220</x:v>
      </x:c>
    </x:row>
    <x:row r="59">
      <x:c r="A59" s="30" t="str">
        <x:v>Vitor Roque</x:v>
      </x:c>
      <x:c r="B59" s="30" t="str">
        <x:v>Vitor Hugo Roque Ferreira</x:v>
      </x:c>
      <x:c r="C59" s="30" t="str">
        <x:v>Centroavante</x:v>
      </x:c>
      <x:c r="D59" s="30" t="str">
        <x:v>Segundo atacante | Ponta-esquerda</x:v>
      </x:c>
      <x:c r="E59" s="30" t="str">
        <x:v>SE Palmeiras</x:v>
      </x:c>
      <x:c r="F59" s="30" t="str">
        <x:v>Observação</x:v>
      </x:c>
      <x:c r="G59" s="30" t="str">
        <x:v>Observação</x:v>
      </x:c>
      <x:c r="H59" s="30" t="n">
        <x:v>21</x:v>
      </x:c>
      <x:c r="I59" s="30" t="n">
        <x:f>IF(H59="","",H59+4)</x:f>
        <x:v>25</x:v>
      </x:c>
      <x:c r="J59" s="36" t="n">
        <x:v>0</x:v>
      </x:c>
      <x:c r="K59" s="36" t="n">
        <x:v>0</x:v>
      </x:c>
      <x:c r="L59" s="36" t="n">
        <x:f>IF(COUNT(J59:K59)=0,"",AVERAGE(J59:K59))</x:f>
        <x:v>0</x:v>
      </x:c>
      <x:c r="M59" s="30" t="str"/>
      <x:c r="N59" s="30" t="str"/>
      <x:c r="O59" s="30" t="str"/>
      <x:c r="P59" s="32" t="n">
        <x:v>38411</x:v>
      </x:c>
      <x:c r="Q59" s="30" t="str">
        <x:v>Timóteo, Brasil</x:v>
      </x:c>
      <x:c r="R59" s="34" t="n">
        <x:v>1.74</x:v>
      </x:c>
      <x:c r="S59" s="30" t="str">
        <x:v>Direito</x:v>
      </x:c>
      <x:c r="T59" s="30" t="str">
        <x:v>Brasil</x:v>
      </x:c>
      <x:c r="U59" s="30" t="str">
        <x:v>LINK SPORTS</x:v>
      </x:c>
      <x:c r="V59" s="32" t="n">
        <x:v>45716</x:v>
      </x:c>
      <x:c r="W59" s="32" t="n">
        <x:v>47483</x:v>
      </x:c>
      <x:c r="X59" s="30"/>
      <x:c r="Y59" s="32"/>
      <x:c r="Z59" s="30" t="str">
        <x:v>Nike</x:v>
      </x:c>
      <x:c r="AA59" s="30" t="str">
        <x:v>Ponta de Lança</x:v>
      </x:c>
      <x:c r="AB59" s="30" t="str">
        <x:v>Segundo Avançado | Extremo Esquerdo</x:v>
      </x:c>
      <x:c r="AC59" s="38" t="n">
        <x:v>38</x:v>
      </x:c>
      <x:c r="AD59" s="38" t="n">
        <x:v>40</x:v>
      </x:c>
      <x:c r="AE59" s="40" t="n">
        <x:f>IF(OR(AC59="",AD59="",AD59=0),"",AC59/AD59)</x:f>
        <x:v>0.95</x:v>
      </x:c>
      <x:c r="AF59" s="38" t="n">
        <x:f>IF(OR(AC59="",AD59=""),"",AC59-AD59)</x:f>
        <x:v>-2</x:v>
      </x:c>
      <x:c r="AG59" s="32" t="n">
        <x:v>45270</x:v>
      </x:c>
      <x:c r="AH59" s="32" t="n">
        <x:v>46167</x:v>
      </x:c>
      <x:c r="AI59" s="30" t="str">
        <x:v>Imagem fornecida pelo usuário</x:v>
      </x:c>
      <x:c r="AJ59" s="32" t="n">
        <x:v>46220</x:v>
      </x:c>
    </x:row>
    <x:row r="60">
      <x:c r="A60" s="30" t="str">
        <x:v>William Gomes</x:v>
      </x:c>
      <x:c r="B60" s="30" t="str">
        <x:v>William Gomes Carvalho Santos</x:v>
      </x:c>
      <x:c r="C60" s="30" t="str">
        <x:v>Ponta-direita</x:v>
      </x:c>
      <x:c r="D60" s="30" t="str">
        <x:v>Ponta-esquerda</x:v>
      </x:c>
      <x:c r="E60" s="30" t="str">
        <x:v>FC Porto</x:v>
      </x:c>
      <x:c r="F60" s="30" t="str">
        <x:v>Observação</x:v>
      </x:c>
      <x:c r="G60" s="30" t="str">
        <x:v>Promessa 2030</x:v>
      </x:c>
      <x:c r="H60" s="30" t="n">
        <x:v>20</x:v>
      </x:c>
      <x:c r="I60" s="30" t="n">
        <x:f>IF(H60="","",H60+4)</x:f>
        <x:v>24</x:v>
      </x:c>
      <x:c r="J60" s="36" t="n">
        <x:v>0</x:v>
      </x:c>
      <x:c r="K60" s="36" t="n">
        <x:v>0</x:v>
      </x:c>
      <x:c r="L60" s="36" t="n">
        <x:f>IF(COUNT(J60:K60)=0,"",AVERAGE(J60:K60))</x:f>
        <x:v>0</x:v>
      </x:c>
      <x:c r="M60" s="30" t="str"/>
      <x:c r="N60" s="30" t="str"/>
      <x:c r="O60" s="30" t="str"/>
      <x:c r="P60" s="32" t="n">
        <x:v>38791</x:v>
      </x:c>
      <x:c r="Q60" s="30" t="str">
        <x:v>Aracaju, Brasil</x:v>
      </x:c>
      <x:c r="R60" s="34" t="n">
        <x:v>1.71</x:v>
      </x:c>
      <x:c r="S60" s="30" t="str">
        <x:v>Esquerdo</x:v>
      </x:c>
      <x:c r="T60" s="30" t="str">
        <x:v>Brasil</x:v>
      </x:c>
      <x:c r="U60" s="30" t="str">
        <x:v>Talents Sports</x:v>
      </x:c>
      <x:c r="V60" s="32" t="n">
        <x:v>45688</x:v>
      </x:c>
      <x:c r="W60" s="32" t="n">
        <x:v>47299</x:v>
      </x:c>
      <x:c r="X60" s="30"/>
      <x:c r="Y60" s="32"/>
      <x:c r="Z60" s="30"/>
      <x:c r="AA60" s="30" t="str">
        <x:v>Extremo Direito</x:v>
      </x:c>
      <x:c r="AB60" s="30" t="str">
        <x:v>Extremo Esquerdo</x:v>
      </x:c>
      <x:c r="AC60" s="38" t="n">
        <x:v>25</x:v>
      </x:c>
      <x:c r="AD60" s="38" t="n">
        <x:v>25</x:v>
      </x:c>
      <x:c r="AE60" s="40" t="n">
        <x:f>IF(OR(AC60="",AD60="",AD60=0),"",AC60/AD60)</x:f>
        <x:v>1</x:v>
      </x:c>
      <x:c r="AF60" s="38" t="n">
        <x:f>IF(OR(AC60="",AD60=""),"",AC60-AD60)</x:f>
        <x:v>0</x:v>
      </x:c>
      <x:c r="AG60" s="32" t="n">
        <x:v>46169</x:v>
      </x:c>
      <x:c r="AH60" s="32" t="n">
        <x:v>46169</x:v>
      </x:c>
      <x:c r="AI60" s="30" t="str">
        <x:v>Imagem fornecida pelo usuário</x:v>
      </x:c>
      <x:c r="AJ60" s="32" t="n">
        <x:v>46220</x:v>
      </x:c>
    </x:row>
    <x:row r="61">
      <x:c r="A61" s="30" t="str">
        <x:v>Éder Militão</x:v>
      </x:c>
      <x:c r="B61" s="30" t="str">
        <x:v>Éder Gabriel Militão</x:v>
      </x:c>
      <x:c r="C61" s="30" t="str">
        <x:v>Zagueiro</x:v>
      </x:c>
      <x:c r="D61" s="30" t="str">
        <x:v>Lateral-direito</x:v>
      </x:c>
      <x:c r="E61" s="30" t="str">
        <x:v>Real Madrid CF</x:v>
      </x:c>
      <x:c r="F61" s="30" t="str">
        <x:v>Observação</x:v>
      </x:c>
      <x:c r="G61" s="30" t="str">
        <x:v>Observação</x:v>
      </x:c>
      <x:c r="H61" s="30" t="n">
        <x:v>28</x:v>
      </x:c>
      <x:c r="I61" s="30" t="n">
        <x:f>IF(H61="","",H61+4)</x:f>
        <x:v>32</x:v>
      </x:c>
      <x:c r="J61" s="36" t="n">
        <x:v>0</x:v>
      </x:c>
      <x:c r="K61" s="36" t="n">
        <x:v>0</x:v>
      </x:c>
      <x:c r="L61" s="36" t="n">
        <x:f>IF(COUNT(J61:K61)=0,"",AVERAGE(J61:K61))</x:f>
        <x:v>0</x:v>
      </x:c>
      <x:c r="M61" s="30" t="str"/>
      <x:c r="N61" s="30" t="str"/>
      <x:c r="O61" s="30" t="str"/>
      <x:c r="P61" s="32" t="n">
        <x:v>35813</x:v>
      </x:c>
      <x:c r="Q61" s="30" t="str">
        <x:v>Sertãozinho, Brasil</x:v>
      </x:c>
      <x:c r="R61" s="34" t="n">
        <x:v>1.86</x:v>
      </x:c>
      <x:c r="S61" s="30" t="str">
        <x:v>Direito</x:v>
      </x:c>
      <x:c r="T61" s="30" t="str">
        <x:v>Brasil | Espanha</x:v>
      </x:c>
      <x:c r="U61" s="30" t="str">
        <x:v>UJ Football Talent</x:v>
      </x:c>
      <x:c r="V61" s="32" t="n">
        <x:v>43647</x:v>
      </x:c>
      <x:c r="W61" s="32" t="n">
        <x:v>46934</x:v>
      </x:c>
      <x:c r="X61" s="30"/>
      <x:c r="Y61" s="32" t="n">
        <x:v>45314</x:v>
      </x:c>
      <x:c r="Z61" s="30" t="str">
        <x:v>adidas</x:v>
      </x:c>
      <x:c r="AA61" s="30" t="str">
        <x:v>Defesa Central</x:v>
      </x:c>
      <x:c r="AB61" s="30" t="str">
        <x:v>Lateral Direito</x:v>
      </x:c>
      <x:c r="AC61" s="38" t="n">
        <x:v>20</x:v>
      </x:c>
      <x:c r="AD61" s="38" t="n">
        <x:v>70</x:v>
      </x:c>
      <x:c r="AE61" s="40" t="n">
        <x:f>IF(OR(AC61="",AD61="",AD61=0),"",AC61/AD61)</x:f>
        <x:v>0.2857142857142857</x:v>
      </x:c>
      <x:c r="AF61" s="38" t="n">
        <x:f>IF(OR(AC61="",AD61=""),"",AC61-AD61)</x:f>
        <x:v>-50</x:v>
      </x:c>
      <x:c r="AG61" s="32" t="n">
        <x:v>45007</x:v>
      </x:c>
      <x:c r="AH61" s="32" t="n">
        <x:v>46177</x:v>
      </x:c>
      <x:c r="AI61" s="30" t="str">
        <x:v>Imagem fornecida pelo usuário</x:v>
      </x:c>
      <x:c r="AJ61" s="32" t="n">
        <x:v>46220</x:v>
      </x:c>
    </x:row>
    <x:row r="62">
      <x:c r="A62" s="30" t="str">
        <x:v>Éderson</x:v>
      </x:c>
      <x:c r="B62" s="30" t="str">
        <x:v>Éderson José dos Santos Lourenço da Silva</x:v>
      </x:c>
      <x:c r="C62" s="30" t="str">
        <x:v>Mezzala direito</x:v>
      </x:c>
      <x:c r="D62" s="30" t="str">
        <x:v>Volante | Meia-armador</x:v>
      </x:c>
      <x:c r="E62" s="30" t="str">
        <x:v>Atalanta BC</x:v>
      </x:c>
      <x:c r="F62" s="30" t="str">
        <x:v>Observação</x:v>
      </x:c>
      <x:c r="G62" s="30" t="str">
        <x:v>Observação</x:v>
      </x:c>
      <x:c r="H62" s="30" t="n">
        <x:v>27</x:v>
      </x:c>
      <x:c r="I62" s="30" t="n">
        <x:f>IF(H62="","",H62+4)</x:f>
        <x:v>31</x:v>
      </x:c>
      <x:c r="J62" s="36" t="n">
        <x:v>0</x:v>
      </x:c>
      <x:c r="K62" s="36" t="n">
        <x:v>0</x:v>
      </x:c>
      <x:c r="L62" s="36" t="n">
        <x:f>IF(COUNT(J62:K62)=0,"",AVERAGE(J62:K62))</x:f>
        <x:v>0</x:v>
      </x:c>
      <x:c r="M62" s="30" t="str"/>
      <x:c r="N62" s="30" t="str"/>
      <x:c r="O62" s="30" t="str"/>
      <x:c r="P62" s="32" t="n">
        <x:v>36348</x:v>
      </x:c>
      <x:c r="Q62" s="30" t="str">
        <x:v>Campo Grande, Brasil</x:v>
      </x:c>
      <x:c r="R62" s="34" t="n">
        <x:v>1.83</x:v>
      </x:c>
      <x:c r="S62" s="30" t="str">
        <x:v>Direito</x:v>
      </x:c>
      <x:c r="T62" s="30" t="str">
        <x:v>Brasil</x:v>
      </x:c>
      <x:c r="U62" s="30" t="str">
        <x:v>LINK SPORTS</x:v>
      </x:c>
      <x:c r="V62" s="32" t="n">
        <x:v>44748</x:v>
      </x:c>
      <x:c r="W62" s="32" t="n">
        <x:v>48029</x:v>
      </x:c>
      <x:c r="X62" s="30"/>
      <x:c r="Y62" s="32" t="n">
        <x:v>46220</x:v>
      </x:c>
      <x:c r="Z62" s="30" t="str">
        <x:v>adidas</x:v>
      </x:c>
      <x:c r="AA62" s="30" t="str">
        <x:v>Médio Centro</x:v>
      </x:c>
      <x:c r="AB62" s="30" t="str">
        <x:v>Médio Defensivo | Médio Ofensivo</x:v>
      </x:c>
      <x:c r="AC62" s="38" t="n">
        <x:v>45</x:v>
      </x:c>
      <x:c r="AD62" s="38" t="n">
        <x:v>50</x:v>
      </x:c>
      <x:c r="AE62" s="40" t="n">
        <x:f>IF(OR(AC62="",AD62="",AD62=0),"",AC62/AD62)</x:f>
        <x:v>0.9</x:v>
      </x:c>
      <x:c r="AF62" s="38" t="n">
        <x:f>IF(OR(AC62="",AD62=""),"",AC62-AD62)</x:f>
        <x:v>-5</x:v>
      </x:c>
      <x:c r="AG62" s="32" t="n">
        <x:v>45643</x:v>
      </x:c>
      <x:c r="AH62" s="32" t="n">
        <x:v>46170</x:v>
      </x:c>
      <x:c r="AI62" s="30" t="str">
        <x:v>Imagem fornecida pelo usuário</x:v>
      </x:c>
      <x:c r="AJ62" s="32" t="n">
        <x:v>46220</x:v>
      </x:c>
    </x:row>
    <x:row r="63">
      <x:c r="A63" s="30" t="str">
        <x:v>Léo Jardim</x:v>
      </x:c>
      <x:c r="B63" s="30" t="str">
        <x:v>Léonardo César Jardim</x:v>
      </x:c>
      <x:c r="C63" s="30" t="str">
        <x:v>Goleiro</x:v>
      </x:c>
      <x:c r="D63" s="30" t="str"/>
      <x:c r="E63" s="30" t="str">
        <x:v>CR Vasco da Gama</x:v>
      </x:c>
      <x:c r="F63" s="30" t="str">
        <x:v>Observação</x:v>
      </x:c>
      <x:c r="G63" s="30" t="str">
        <x:v>Observação</x:v>
      </x:c>
      <x:c r="H63" s="30" t="n">
        <x:v>31</x:v>
      </x:c>
      <x:c r="I63" s="30" t="n">
        <x:f>IF(H63="","",H63+4)</x:f>
        <x:v>35</x:v>
      </x:c>
      <x:c r="J63" s="36" t="n">
        <x:v>0</x:v>
      </x:c>
      <x:c r="K63" s="36" t="n">
        <x:v>0</x:v>
      </x:c>
      <x:c r="L63" s="36" t="n">
        <x:f>IF(COUNT(J63:K63)=0,"",AVERAGE(J63:K63))</x:f>
        <x:v>0</x:v>
      </x:c>
      <x:c r="M63" s="30" t="str"/>
      <x:c r="N63" s="30" t="str"/>
      <x:c r="O63" s="30" t="str"/>
      <x:c r="P63" s="32" t="n">
        <x:v>34778</x:v>
      </x:c>
      <x:c r="Q63" s="30" t="str">
        <x:v>Ribeirão Preto, Brasil</x:v>
      </x:c>
      <x:c r="R63" s="34" t="n">
        <x:v>1.88</x:v>
      </x:c>
      <x:c r="S63" s="30" t="str">
        <x:v>Direito</x:v>
      </x:c>
      <x:c r="T63" s="30" t="str">
        <x:v>Brasil | Itália</x:v>
      </x:c>
      <x:c r="U63" s="30" t="str">
        <x:v>Talents Sports</x:v>
      </x:c>
      <x:c r="V63" s="32" t="n">
        <x:v>44953</x:v>
      </x:c>
      <x:c r="W63" s="32" t="n">
        <x:v>47848</x:v>
      </x:c>
      <x:c r="X63" s="30"/>
      <x:c r="Y63" s="32" t="n">
        <x:v>45848</x:v>
      </x:c>
      <x:c r="Z63" s="30" t="str">
        <x:v>Nike</x:v>
      </x:c>
      <x:c r="AA63" s="30" t="str">
        <x:v>Guarda-redes</x:v>
      </x:c>
      <x:c r="AB63" s="30" t="str"/>
      <x:c r="AC63" s="38" t="n">
        <x:v>7</x:v>
      </x:c>
      <x:c r="AD63" s="38" t="n">
        <x:v>7</x:v>
      </x:c>
      <x:c r="AE63" s="40" t="n">
        <x:f>IF(OR(AC63="",AD63="",AD63=0),"",AC63/AD63)</x:f>
        <x:v>1</x:v>
      </x:c>
      <x:c r="AF63" s="38" t="n">
        <x:f>IF(OR(AC63="",AD63=""),"",AC63-AD63)</x:f>
        <x:v>0</x:v>
      </x:c>
      <x:c r="AG63" s="32" t="n">
        <x:v>45634</x:v>
      </x:c>
      <x:c r="AH63" s="32" t="n">
        <x:v>46167</x:v>
      </x:c>
      <x:c r="AI63" s="30" t="str">
        <x:v>Imagem fornecida pelo usuário</x:v>
      </x:c>
      <x:c r="AJ63" s="32" t="n">
        <x:v>46223</x:v>
      </x:c>
    </x:row>
    <x:row r="64">
      <x:c r="A64" s="30" t="str">
        <x:v>Carlos Augusto</x:v>
      </x:c>
      <x:c r="B64" s="30" t="str">
        <x:v>Carlos Augusto Zopolato Neves</x:v>
      </x:c>
      <x:c r="C64" s="30" t="str">
        <x:v>Lateral-esquerdo</x:v>
      </x:c>
      <x:c r="D64" s="30" t="str">
        <x:v>Meia-esquerda | Zagueiro</x:v>
      </x:c>
      <x:c r="E64" s="30" t="str">
        <x:v>Inter de Milão</x:v>
      </x:c>
      <x:c r="F64" s="30" t="str">
        <x:v>Observação</x:v>
      </x:c>
      <x:c r="G64" s="30" t="str">
        <x:v>Observação</x:v>
      </x:c>
      <x:c r="H64" s="30" t="n">
        <x:v>27</x:v>
      </x:c>
      <x:c r="I64" s="30" t="n">
        <x:f>IF(H64="","",H64+4)</x:f>
        <x:v>31</x:v>
      </x:c>
      <x:c r="J64" s="36" t="n">
        <x:v>0</x:v>
      </x:c>
      <x:c r="K64" s="36" t="n">
        <x:v>0</x:v>
      </x:c>
      <x:c r="L64" s="36" t="n">
        <x:f>IF(COUNT(J64:K64)=0,"",AVERAGE(J64:K64))</x:f>
        <x:v>0</x:v>
      </x:c>
      <x:c r="M64" s="30" t="str"/>
      <x:c r="N64" s="30" t="str"/>
      <x:c r="O64" s="30" t="str"/>
      <x:c r="P64" s="32" t="n">
        <x:v>36167</x:v>
      </x:c>
      <x:c r="Q64" s="30" t="str">
        <x:v>Campinas, Brasil</x:v>
      </x:c>
      <x:c r="R64" s="34" t="n">
        <x:v>1.84</x:v>
      </x:c>
      <x:c r="S64" s="30" t="str">
        <x:v>Esquerdo</x:v>
      </x:c>
      <x:c r="T64" s="30" t="str">
        <x:v>Brasil | Itália</x:v>
      </x:c>
      <x:c r="U64" s="30" t="str">
        <x:v>GR Sports</x:v>
      </x:c>
      <x:c r="V64" s="32" t="n">
        <x:v>45474</x:v>
      </x:c>
      <x:c r="W64" s="32" t="n">
        <x:v>46934</x:v>
      </x:c>
      <x:c r="X64" s="30"/>
      <x:c r="Y64" s="32"/>
      <x:c r="Z64" s="30"/>
      <x:c r="AA64" s="30" t="str">
        <x:v>Lateral Esquerdo</x:v>
      </x:c>
      <x:c r="AB64" s="30" t="str">
        <x:v>Médio Esquerdo | Defesa Central</x:v>
      </x:c>
      <x:c r="AC64" s="38" t="n">
        <x:v>23</x:v>
      </x:c>
      <x:c r="AD64" s="38" t="n">
        <x:v>26</x:v>
      </x:c>
      <x:c r="AE64" s="40" t="n">
        <x:f>IF(OR(AC64="",AD64="",AD64=0),"",AC64/AD64)</x:f>
        <x:v>0.8846153846153846</x:v>
      </x:c>
      <x:c r="AF64" s="38" t="n">
        <x:f>IF(OR(AC64="",AD64=""),"",AC64-AD64)</x:f>
        <x:v>-3</x:v>
      </x:c>
      <x:c r="AG64" s="32" t="n">
        <x:v>45824</x:v>
      </x:c>
      <x:c r="AH64" s="32" t="n">
        <x:v>46170</x:v>
      </x:c>
      <x:c r="AI64" s="30" t="str">
        <x:v>Imagem fornecida pelo usuário</x:v>
      </x:c>
      <x:c r="AJ64" s="32" t="n">
        <x:v>46223</x:v>
      </x:c>
    </x:row>
    <x:row r="65">
      <x:c r="A65" s="30" t="str">
        <x:v>Cuiabano</x:v>
      </x:c>
      <x:c r="B65" s="30" t="str">
        <x:v>Luis Eduardo Soares da Silva</x:v>
      </x:c>
      <x:c r="C65" s="30" t="str">
        <x:v>Lateral-esquerdo</x:v>
      </x:c>
      <x:c r="D65" s="30" t="str">
        <x:v>Meia-esquerda | Ponta-esquerda</x:v>
      </x:c>
      <x:c r="E65" s="30" t="str">
        <x:v>CR Vasco da Gama</x:v>
      </x:c>
      <x:c r="F65" s="30" t="str">
        <x:v>Observação</x:v>
      </x:c>
      <x:c r="G65" s="30" t="str">
        <x:v>Observação</x:v>
      </x:c>
      <x:c r="H65" s="30" t="n">
        <x:v>23</x:v>
      </x:c>
      <x:c r="I65" s="30" t="n">
        <x:f>IF(H65="","",H65+4)</x:f>
        <x:v>27</x:v>
      </x:c>
      <x:c r="J65" s="36" t="n">
        <x:v>0</x:v>
      </x:c>
      <x:c r="K65" s="36" t="n">
        <x:v>0</x:v>
      </x:c>
      <x:c r="L65" s="36" t="n">
        <x:f>IF(COUNT(J65:K65)=0,"",AVERAGE(J65:K65))</x:f>
        <x:v>0</x:v>
      </x:c>
      <x:c r="M65" s="30" t="str"/>
      <x:c r="N65" s="30" t="str"/>
      <x:c r="O65" s="30" t="str"/>
      <x:c r="P65" s="32" t="n">
        <x:v>37668</x:v>
      </x:c>
      <x:c r="Q65" s="30" t="str">
        <x:v>Cuiabá, Brasil</x:v>
      </x:c>
      <x:c r="R65" s="34" t="n">
        <x:v>1.79</x:v>
      </x:c>
      <x:c r="S65" s="30" t="str">
        <x:v>Esquerdo</x:v>
      </x:c>
      <x:c r="T65" s="30" t="str">
        <x:v>Brasil</x:v>
      </x:c>
      <x:c r="U65" s="30" t="str">
        <x:v>Bertolucci Sports</x:v>
      </x:c>
      <x:c r="V65" s="32" t="n">
        <x:v>46058</x:v>
      </x:c>
      <x:c r="W65" s="32" t="n">
        <x:v>46387</x:v>
      </x:c>
      <x:c r="X65" s="30" t="str">
        <x:v>Opção de compra</x:v>
      </x:c>
      <x:c r="Y65" s="32"/>
      <x:c r="Z65" s="30"/>
      <x:c r="AA65" s="30" t="str">
        <x:v>Lateral Esquerdo</x:v>
      </x:c>
      <x:c r="AB65" s="30" t="str">
        <x:v>Médio Esquerdo | Extremo Esquerdo</x:v>
      </x:c>
      <x:c r="AC65" s="38" t="n">
        <x:v>10</x:v>
      </x:c>
      <x:c r="AD65" s="38" t="n">
        <x:v>10</x:v>
      </x:c>
      <x:c r="AE65" s="40" t="n">
        <x:f>IF(OR(AC65="",AD65="",AD65=0),"",AC65/AD65)</x:f>
        <x:v>1</x:v>
      </x:c>
      <x:c r="AF65" s="38" t="n">
        <x:f>IF(OR(AC65="",AD65=""),"",AC65-AD65)</x:f>
        <x:v>0</x:v>
      </x:c>
      <x:c r="AG65" s="32" t="n">
        <x:v>46167</x:v>
      </x:c>
      <x:c r="AH65" s="32" t="n">
        <x:v>46167</x:v>
      </x:c>
      <x:c r="AI65" s="30" t="str">
        <x:v>Imagem fornecida pelo usuário</x:v>
      </x:c>
      <x:c r="AJ65" s="32" t="n">
        <x:v>46223</x:v>
      </x:c>
    </x:row>
    <x:row r="66">
      <x:c r="A66" s="30" t="str">
        <x:v>Léo Pereira</x:v>
      </x:c>
      <x:c r="B66" s="30" t="str">
        <x:v>Leonardo Pereira</x:v>
      </x:c>
      <x:c r="C66" s="30" t="str">
        <x:v>Zagueiro</x:v>
      </x:c>
      <x:c r="D66" s="30" t="str"/>
      <x:c r="E66" s="30" t="str">
        <x:v>CR Flamengo</x:v>
      </x:c>
      <x:c r="F66" s="30" t="str">
        <x:v>Observação</x:v>
      </x:c>
      <x:c r="G66" s="30" t="str">
        <x:v>Observação</x:v>
      </x:c>
      <x:c r="H66" s="30" t="n">
        <x:v>30</x:v>
      </x:c>
      <x:c r="I66" s="30" t="n">
        <x:f>IF(H66="","",H66+4)</x:f>
        <x:v>34</x:v>
      </x:c>
      <x:c r="J66" s="36" t="n">
        <x:v>0</x:v>
      </x:c>
      <x:c r="K66" s="36" t="n">
        <x:v>0</x:v>
      </x:c>
      <x:c r="L66" s="36" t="n">
        <x:f>IF(COUNT(J66:K66)=0,"",AVERAGE(J66:K66))</x:f>
        <x:v>0</x:v>
      </x:c>
      <x:c r="M66" s="30" t="str"/>
      <x:c r="N66" s="30" t="str"/>
      <x:c r="O66" s="30" t="str"/>
      <x:c r="P66" s="32" t="n">
        <x:v>35095</x:v>
      </x:c>
      <x:c r="Q66" s="30" t="str">
        <x:v>Curitiba, Brasil</x:v>
      </x:c>
      <x:c r="R66" s="34" t="n">
        <x:v>1.89</x:v>
      </x:c>
      <x:c r="S66" s="30" t="str">
        <x:v>Esquerdo</x:v>
      </x:c>
      <x:c r="T66" s="30" t="str">
        <x:v>Brasil</x:v>
      </x:c>
      <x:c r="U66" s="30" t="str">
        <x:v>R13 Fussball</x:v>
      </x:c>
      <x:c r="V66" s="32" t="n">
        <x:v>43861</x:v>
      </x:c>
      <x:c r="W66" s="32" t="n">
        <x:v>46752</x:v>
      </x:c>
      <x:c r="X66" s="30"/>
      <x:c r="Y66" s="32" t="n">
        <x:v>44981</x:v>
      </x:c>
      <x:c r="Z66" s="30" t="str">
        <x:v>Nike</x:v>
      </x:c>
      <x:c r="AA66" s="30" t="str">
        <x:v>Defesa Central</x:v>
      </x:c>
      <x:c r="AB66" s="30" t="str"/>
      <x:c r="AC66" s="38" t="n">
        <x:v>12</x:v>
      </x:c>
      <x:c r="AD66" s="38" t="n">
        <x:v>12</x:v>
      </x:c>
      <x:c r="AE66" s="40" t="n">
        <x:f>IF(OR(AC66="",AD66="",AD66=0),"",AC66/AD66)</x:f>
        <x:v>1</x:v>
      </x:c>
      <x:c r="AF66" s="38" t="n">
        <x:f>IF(OR(AC66="",AD66=""),"",AC66-AD66)</x:f>
        <x:v>0</x:v>
      </x:c>
      <x:c r="AG66" s="32" t="n">
        <x:v>46167</x:v>
      </x:c>
      <x:c r="AH66" s="32" t="n">
        <x:v>46167</x:v>
      </x:c>
      <x:c r="AI66" s="30" t="str">
        <x:v>Imagem fornecida pelo usuário</x:v>
      </x:c>
      <x:c r="AJ66" s="32" t="n">
        <x:v>46223</x:v>
      </x:c>
    </x:row>
    <x:row r="67">
      <x:c r="A67" s="30" t="str">
        <x:v>Dodô</x:v>
      </x:c>
      <x:c r="B67" s="30" t="str">
        <x:v>Domilson Cordeiro dos Santos</x:v>
      </x:c>
      <x:c r="C67" s="30" t="str">
        <x:v>Lateral-direito</x:v>
      </x:c>
      <x:c r="D67" s="30" t="str">
        <x:v>Meia-direita</x:v>
      </x:c>
      <x:c r="E67" s="30" t="str">
        <x:v>ACF Fiorentina</x:v>
      </x:c>
      <x:c r="F67" s="30" t="str">
        <x:v>Observação</x:v>
      </x:c>
      <x:c r="G67" s="30" t="str">
        <x:v>Observação</x:v>
      </x:c>
      <x:c r="H67" s="30" t="n">
        <x:v>27</x:v>
      </x:c>
      <x:c r="I67" s="30" t="n">
        <x:f>IF(H67="","",H67+4)</x:f>
        <x:v>31</x:v>
      </x:c>
      <x:c r="J67" s="36" t="n">
        <x:v>0</x:v>
      </x:c>
      <x:c r="K67" s="36" t="n">
        <x:v>0</x:v>
      </x:c>
      <x:c r="L67" s="36" t="n">
        <x:f>IF(COUNT(J67:K67)=0,"",AVERAGE(J67:K67))</x:f>
        <x:v>0</x:v>
      </x:c>
      <x:c r="M67" s="30" t="str"/>
      <x:c r="N67" s="30" t="str"/>
      <x:c r="O67" s="30" t="str"/>
      <x:c r="P67" s="32" t="n">
        <x:v>36116</x:v>
      </x:c>
      <x:c r="Q67" s="30" t="str">
        <x:v>Taubaté, Brasil</x:v>
      </x:c>
      <x:c r="R67" s="34" t="n">
        <x:v>1.66</x:v>
      </x:c>
      <x:c r="S67" s="30" t="str">
        <x:v>Direito</x:v>
      </x:c>
      <x:c r="T67" s="30" t="str">
        <x:v>Brasil</x:v>
      </x:c>
      <x:c r="U67" s="30" t="str">
        <x:v>Bertolucci Sports</x:v>
      </x:c>
      <x:c r="V67" s="32" t="n">
        <x:v>44764</x:v>
      </x:c>
      <x:c r="W67" s="32" t="n">
        <x:v>46568</x:v>
      </x:c>
      <x:c r="X67" s="30"/>
      <x:c r="Y67" s="32"/>
      <x:c r="Z67" s="30" t="str">
        <x:v>adidas</x:v>
      </x:c>
      <x:c r="AA67" s="30" t="str">
        <x:v>Lateral Direito</x:v>
      </x:c>
      <x:c r="AB67" s="30" t="str">
        <x:v>Médio Direito</x:v>
      </x:c>
      <x:c r="AC67" s="38" t="n">
        <x:v>16</x:v>
      </x:c>
      <x:c r="AD67" s="38" t="n">
        <x:v>24</x:v>
      </x:c>
      <x:c r="AE67" s="40" t="n">
        <x:f>IF(OR(AC67="",AD67="",AD67=0),"",AC67/AD67)</x:f>
        <x:v>0.6666666666666666</x:v>
      </x:c>
      <x:c r="AF67" s="38" t="n">
        <x:f>IF(OR(AC67="",AD67=""),"",AC67-AD67)</x:f>
        <x:v>-8</x:v>
      </x:c>
      <x:c r="AG67" s="32" t="n">
        <x:v>45824</x:v>
      </x:c>
      <x:c r="AH67" s="32" t="n">
        <x:v>46170</x:v>
      </x:c>
      <x:c r="AI67" s="30" t="str">
        <x:v>Imagem fornecida pelo usuário</x:v>
      </x:c>
      <x:c r="AJ67" s="32" t="n">
        <x:v>46223</x:v>
      </x:c>
    </x:row>
    <x:row r="68">
      <x:c r="A68" s="30" t="str">
        <x:v>Gerson</x:v>
      </x:c>
      <x:c r="B68" s="30" t="str">
        <x:v>Gerson Santos da Silva</x:v>
      </x:c>
      <x:c r="C68" s="30" t="str">
        <x:v>Mezzala direito</x:v>
      </x:c>
      <x:c r="D68" s="30" t="str">
        <x:v>Meia-armador | Meia-direita</x:v>
      </x:c>
      <x:c r="E68" s="30" t="str">
        <x:v>Cruzeiro EC</x:v>
      </x:c>
      <x:c r="F68" s="30" t="str">
        <x:v>Observação</x:v>
      </x:c>
      <x:c r="G68" s="30" t="str">
        <x:v>Observação</x:v>
      </x:c>
      <x:c r="H68" s="30" t="n">
        <x:v>29</x:v>
      </x:c>
      <x:c r="I68" s="30" t="n">
        <x:f>IF(H68="","",H68+4)</x:f>
        <x:v>33</x:v>
      </x:c>
      <x:c r="J68" s="36" t="n">
        <x:v>0</x:v>
      </x:c>
      <x:c r="K68" s="36" t="n">
        <x:v>0</x:v>
      </x:c>
      <x:c r="L68" s="36" t="n">
        <x:f>IF(COUNT(J68:K68)=0,"",AVERAGE(J68:K68))</x:f>
        <x:v>0</x:v>
      </x:c>
      <x:c r="M68" s="30" t="str"/>
      <x:c r="N68" s="30" t="str"/>
      <x:c r="O68" s="30" t="str"/>
      <x:c r="P68" s="32" t="n">
        <x:v>35570</x:v>
      </x:c>
      <x:c r="Q68" s="30" t="str">
        <x:v>Belford Roxo, Brasil</x:v>
      </x:c>
      <x:c r="R68" s="34" t="n">
        <x:v>1.84</x:v>
      </x:c>
      <x:c r="S68" s="30" t="str">
        <x:v>Esquerdo</x:v>
      </x:c>
      <x:c r="T68" s="30" t="str">
        <x:v>Brasil</x:v>
      </x:c>
      <x:c r="U68" s="30" t="str">
        <x:v>Carlos Leite</x:v>
      </x:c>
      <x:c r="V68" s="32" t="n">
        <x:v>46032</x:v>
      </x:c>
      <x:c r="W68" s="32" t="n">
        <x:v>47848</x:v>
      </x:c>
      <x:c r="X68" s="30"/>
      <x:c r="Y68" s="32"/>
      <x:c r="Z68" s="30" t="str">
        <x:v>Nike</x:v>
      </x:c>
      <x:c r="AA68" s="30" t="str">
        <x:v>Médio Centro</x:v>
      </x:c>
      <x:c r="AB68" s="30" t="str">
        <x:v>Médio Ofensivo | Médio Direito</x:v>
      </x:c>
      <x:c r="AC68" s="38" t="n">
        <x:v>18</x:v>
      </x:c>
      <x:c r="AD68" s="38" t="n">
        <x:v>25</x:v>
      </x:c>
      <x:c r="AE68" s="40" t="n">
        <x:f>IF(OR(AC68="",AD68="",AD68=0),"",AC68/AD68)</x:f>
        <x:v>0.72</x:v>
      </x:c>
      <x:c r="AF68" s="38" t="n">
        <x:f>IF(OR(AC68="",AD68=""),"",AC68-AD68)</x:f>
        <x:v>-7</x:v>
      </x:c>
      <x:c r="AG68" s="32" t="n">
        <x:v>45743</x:v>
      </x:c>
      <x:c r="AH68" s="32" t="n">
        <x:v>46167</x:v>
      </x:c>
      <x:c r="AI68" s="30" t="str">
        <x:v>Imagem fornecida pelo usuário</x:v>
      </x:c>
      <x:c r="AJ68" s="32" t="n">
        <x:v>46223</x:v>
      </x:c>
    </x:row>
    <x:row r="69">
      <x:c r="A69" s="30" t="str">
        <x:v>Gabriel Sara</x:v>
      </x:c>
      <x:c r="B69" s="30" t="str">
        <x:v>Gabriel Davi Gomes Sara</x:v>
      </x:c>
      <x:c r="C69" s="30" t="str">
        <x:v>Mezzala direito</x:v>
      </x:c>
      <x:c r="D69" s="30" t="str">
        <x:v>Meia-armador | Volante</x:v>
      </x:c>
      <x:c r="E69" s="30" t="str">
        <x:v>Galatasaray</x:v>
      </x:c>
      <x:c r="F69" s="30" t="str">
        <x:v>Observação</x:v>
      </x:c>
      <x:c r="G69" s="30" t="str">
        <x:v>Observação</x:v>
      </x:c>
      <x:c r="H69" s="30" t="n">
        <x:v>27</x:v>
      </x:c>
      <x:c r="I69" s="30" t="n">
        <x:f>IF(H69="","",H69+4)</x:f>
        <x:v>31</x:v>
      </x:c>
      <x:c r="J69" s="36" t="n">
        <x:v>0</x:v>
      </x:c>
      <x:c r="K69" s="36" t="n">
        <x:v>0</x:v>
      </x:c>
      <x:c r="L69" s="36" t="n">
        <x:f>IF(COUNT(J69:K69)=0,"",AVERAGE(J69:K69))</x:f>
        <x:v>0</x:v>
      </x:c>
      <x:c r="M69" s="30" t="str"/>
      <x:c r="N69" s="30" t="str"/>
      <x:c r="O69" s="30" t="str"/>
      <x:c r="P69" s="32" t="n">
        <x:v>36337</x:v>
      </x:c>
      <x:c r="Q69" s="30" t="str">
        <x:v>Joinville, Brasil</x:v>
      </x:c>
      <x:c r="R69" s="34" t="n">
        <x:v>1.77</x:v>
      </x:c>
      <x:c r="S69" s="30" t="str">
        <x:v>Esquerdo</x:v>
      </x:c>
      <x:c r="T69" s="30" t="str">
        <x:v>Brasil</x:v>
      </x:c>
      <x:c r="U69" s="30" t="str">
        <x:v>Carlos Leite</x:v>
      </x:c>
      <x:c r="V69" s="32" t="n">
        <x:v>45508</x:v>
      </x:c>
      <x:c r="W69" s="32" t="n">
        <x:v>47299</x:v>
      </x:c>
      <x:c r="X69" s="30"/>
      <x:c r="Y69" s="32"/>
      <x:c r="Z69" s="30" t="str">
        <x:v>adidas</x:v>
      </x:c>
      <x:c r="AA69" s="30" t="str">
        <x:v>Médio Centro</x:v>
      </x:c>
      <x:c r="AB69" s="30" t="str">
        <x:v>Médio Ofensivo | Médio Defensivo</x:v>
      </x:c>
      <x:c r="AC69" s="38" t="n">
        <x:v>27</x:v>
      </x:c>
      <x:c r="AD69" s="38" t="n">
        <x:v>27</x:v>
      </x:c>
      <x:c r="AE69" s="40" t="n">
        <x:f>IF(OR(AC69="",AD69="",AD69=0),"",AC69/AD69)</x:f>
        <x:v>1</x:v>
      </x:c>
      <x:c r="AF69" s="38" t="n">
        <x:f>IF(OR(AC69="",AD69=""),"",AC69-AD69)</x:f>
        <x:v>0</x:v>
      </x:c>
      <x:c r="AG69" s="32" t="n">
        <x:v>46162</x:v>
      </x:c>
      <x:c r="AH69" s="32" t="n">
        <x:v>46162</x:v>
      </x:c>
      <x:c r="AI69" s="30" t="str">
        <x:v>Imagem fornecida pelo usuário</x:v>
      </x:c>
      <x:c r="AJ69" s="32" t="n">
        <x:v>46223</x:v>
      </x:c>
    </x:row>
    <x:row r="70">
      <x:c r="A70" s="30" t="str">
        <x:v>Lucas Paquetá</x:v>
      </x:c>
      <x:c r="B70" s="30" t="str">
        <x:v>Lucas Tolentino Coelho de Lima</x:v>
      </x:c>
      <x:c r="C70" s="30" t="str">
        <x:v>Meia-armador</x:v>
      </x:c>
      <x:c r="D70" s="30" t="str">
        <x:v>Mezzala direito | Meia-esquerda</x:v>
      </x:c>
      <x:c r="E70" s="30" t="str">
        <x:v>CR Flamengo</x:v>
      </x:c>
      <x:c r="F70" s="30" t="str">
        <x:v>Observação</x:v>
      </x:c>
      <x:c r="G70" s="30" t="str">
        <x:v>Observação</x:v>
      </x:c>
      <x:c r="H70" s="30" t="n">
        <x:v>28</x:v>
      </x:c>
      <x:c r="I70" s="30" t="n">
        <x:f>IF(H70="","",H70+4)</x:f>
        <x:v>32</x:v>
      </x:c>
      <x:c r="J70" s="36" t="n">
        <x:v>0</x:v>
      </x:c>
      <x:c r="K70" s="36" t="n">
        <x:v>0</x:v>
      </x:c>
      <x:c r="L70" s="36" t="n">
        <x:f>IF(COUNT(J70:K70)=0,"",AVERAGE(J70:K70))</x:f>
        <x:v>0</x:v>
      </x:c>
      <x:c r="M70" s="30" t="str"/>
      <x:c r="N70" s="30" t="str"/>
      <x:c r="O70" s="30" t="str"/>
      <x:c r="P70" s="32" t="n">
        <x:v>35669</x:v>
      </x:c>
      <x:c r="Q70" s="30" t="str">
        <x:v>Rio de Janeiro, Brasil</x:v>
      </x:c>
      <x:c r="R70" s="34" t="n">
        <x:v>1.83</x:v>
      </x:c>
      <x:c r="S70" s="30" t="str">
        <x:v>Esquerdo</x:v>
      </x:c>
      <x:c r="T70" s="30" t="str">
        <x:v>Brasil | Portugal</x:v>
      </x:c>
      <x:c r="U70" s="30" t="str">
        <x:v>Roc Nation Sports</x:v>
      </x:c>
      <x:c r="V70" s="32" t="n">
        <x:v>46050</x:v>
      </x:c>
      <x:c r="W70" s="32" t="n">
        <x:v>47848</x:v>
      </x:c>
      <x:c r="X70" s="30"/>
      <x:c r="Y70" s="32"/>
      <x:c r="Z70" s="30" t="str">
        <x:v>Nike</x:v>
      </x:c>
      <x:c r="AA70" s="30" t="str">
        <x:v>Médio Ofensivo</x:v>
      </x:c>
      <x:c r="AB70" s="30" t="str">
        <x:v>Médio Centro | Médio Esquerdo</x:v>
      </x:c>
      <x:c r="AC70" s="38" t="n">
        <x:v>32</x:v>
      </x:c>
      <x:c r="AD70" s="38" t="n">
        <x:v>65</x:v>
      </x:c>
      <x:c r="AE70" s="40" t="n">
        <x:f>IF(OR(AC70="",AD70="",AD70=0),"",AC70/AD70)</x:f>
        <x:v>0.49230769230769234</x:v>
      </x:c>
      <x:c r="AF70" s="38" t="n">
        <x:f>IF(OR(AC70="",AD70=""),"",AC70-AD70)</x:f>
        <x:v>-33</x:v>
      </x:c>
      <x:c r="AG70" s="32" t="n">
        <x:v>45207</x:v>
      </x:c>
      <x:c r="AH70" s="32" t="n">
        <x:v>46167</x:v>
      </x:c>
      <x:c r="AI70" s="30" t="str">
        <x:v>Imagem fornecida pelo usuário</x:v>
      </x:c>
      <x:c r="AJ70" s="32" t="n">
        <x:v>46223</x:v>
      </x:c>
    </x:row>
    <x:row r="71">
      <x:c r="A71" s="30" t="str">
        <x:v>Marcos Leonardo</x:v>
      </x:c>
      <x:c r="B71" s="30" t="str">
        <x:v>Marcos Leonardo Santos Almeida</x:v>
      </x:c>
      <x:c r="C71" s="30" t="str">
        <x:v>Centroavante</x:v>
      </x:c>
      <x:c r="D71" s="30" t="str">
        <x:v>Segundo atacante | Meia-armador</x:v>
      </x:c>
      <x:c r="E71" s="30" t="str">
        <x:v>AFC Ajax</x:v>
      </x:c>
      <x:c r="F71" s="30" t="str">
        <x:v>Observação</x:v>
      </x:c>
      <x:c r="G71" s="30" t="str">
        <x:v>Observação</x:v>
      </x:c>
      <x:c r="H71" s="30" t="n">
        <x:v>23</x:v>
      </x:c>
      <x:c r="I71" s="30" t="n">
        <x:f>IF(H71="","",H71+4)</x:f>
        <x:v>27</x:v>
      </x:c>
      <x:c r="J71" s="36" t="n">
        <x:v>0</x:v>
      </x:c>
      <x:c r="K71" s="36" t="n">
        <x:v>0</x:v>
      </x:c>
      <x:c r="L71" s="36" t="n">
        <x:f>IF(COUNT(J71:K71)=0,"",AVERAGE(J71:K71))</x:f>
        <x:v>0</x:v>
      </x:c>
      <x:c r="M71" s="30" t="str"/>
      <x:c r="N71" s="30" t="str"/>
      <x:c r="O71" s="30" t="str"/>
      <x:c r="P71" s="32" t="n">
        <x:v>37743</x:v>
      </x:c>
      <x:c r="Q71" s="30" t="str">
        <x:v>Itapetinga, Brasil</x:v>
      </x:c>
      <x:c r="R71" s="34" t="n">
        <x:v>1.77</x:v>
      </x:c>
      <x:c r="S71" s="30" t="str">
        <x:v>Direito</x:v>
      </x:c>
      <x:c r="T71" s="30" t="str">
        <x:v>Brasil</x:v>
      </x:c>
      <x:c r="U71" s="30" t="str">
        <x:v>Dodici Sports BR</x:v>
      </x:c>
      <x:c r="V71" s="32" t="n">
        <x:v>46220</x:v>
      </x:c>
      <x:c r="W71" s="32" t="n">
        <x:v>48029</x:v>
      </x:c>
      <x:c r="X71" s="30"/>
      <x:c r="Y71" s="32"/>
      <x:c r="Z71" s="30" t="str">
        <x:v>Nike</x:v>
      </x:c>
      <x:c r="AA71" s="30" t="str">
        <x:v>Ponta de Lança</x:v>
      </x:c>
      <x:c r="AB71" s="30" t="str">
        <x:v>Segundo Avançado | Médio Ofensivo</x:v>
      </x:c>
      <x:c r="AC71" s="38" t="n">
        <x:v>20</x:v>
      </x:c>
      <x:c r="AD71" s="38" t="n">
        <x:v>25</x:v>
      </x:c>
      <x:c r="AE71" s="40" t="n">
        <x:f>IF(OR(AC71="",AD71="",AD71=0),"",AC71/AD71)</x:f>
        <x:v>0.8</x:v>
      </x:c>
      <x:c r="AF71" s="38" t="n">
        <x:f>IF(OR(AC71="",AD71=""),"",AC71-AD71)</x:f>
        <x:v>-5</x:v>
      </x:c>
      <x:c r="AG71" s="32" t="n">
        <x:v>45270</x:v>
      </x:c>
      <x:c r="AH71" s="32" t="n">
        <x:v>46176</x:v>
      </x:c>
      <x:c r="AI71" s="30" t="str">
        <x:v>Imagem fornecida pelo usuário</x:v>
      </x:c>
      <x:c r="AJ71" s="32" t="n">
        <x:v>46223</x:v>
      </x:c>
    </x:row>
    <x:row r="72">
      <x:c r="A72" s="30" t="str">
        <x:v>Kaio Jorge</x:v>
      </x:c>
      <x:c r="B72" s="30" t="str">
        <x:v>Kaio Jorge Pinto Ramos</x:v>
      </x:c>
      <x:c r="C72" s="30" t="str">
        <x:v>Centroavante</x:v>
      </x:c>
      <x:c r="D72" s="30" t="str"/>
      <x:c r="E72" s="30" t="str">
        <x:v>Cruzeiro EC</x:v>
      </x:c>
      <x:c r="F72" s="30" t="str">
        <x:v>Observação</x:v>
      </x:c>
      <x:c r="G72" s="30" t="str">
        <x:v>Observação</x:v>
      </x:c>
      <x:c r="H72" s="30" t="n">
        <x:v>24</x:v>
      </x:c>
      <x:c r="I72" s="30" t="n">
        <x:f>IF(H72="","",H72+4)</x:f>
        <x:v>28</x:v>
      </x:c>
      <x:c r="J72" s="36" t="n">
        <x:v>0</x:v>
      </x:c>
      <x:c r="K72" s="36" t="n">
        <x:v>0</x:v>
      </x:c>
      <x:c r="L72" s="36" t="n">
        <x:f>IF(COUNT(J72:K72)=0,"",AVERAGE(J72:K72))</x:f>
        <x:v>0</x:v>
      </x:c>
      <x:c r="M72" s="30" t="str"/>
      <x:c r="N72" s="30" t="str"/>
      <x:c r="O72" s="30" t="str"/>
      <x:c r="P72" s="32" t="n">
        <x:v>37280</x:v>
      </x:c>
      <x:c r="Q72" s="30" t="str">
        <x:v>Olinda, Brasil</x:v>
      </x:c>
      <x:c r="R72" s="34" t="n">
        <x:v>1.82</x:v>
      </x:c>
      <x:c r="S72" s="30" t="str">
        <x:v>Direito</x:v>
      </x:c>
      <x:c r="T72" s="30" t="str">
        <x:v>Brasil</x:v>
      </x:c>
      <x:c r="U72" s="30" t="str">
        <x:v>Bertolucci Sports</x:v>
      </x:c>
      <x:c r="V72" s="32" t="n">
        <x:v>45483</x:v>
      </x:c>
      <x:c r="W72" s="32" t="n">
        <x:v>47848</x:v>
      </x:c>
      <x:c r="X72" s="30"/>
      <x:c r="Y72" s="32" t="n">
        <x:v>46034</x:v>
      </x:c>
      <x:c r="Z72" s="30" t="str">
        <x:v>Puma</x:v>
      </x:c>
      <x:c r="AA72" s="30" t="str">
        <x:v>Ponta de Lança</x:v>
      </x:c>
      <x:c r="AB72" s="30" t="str"/>
      <x:c r="AC72" s="38" t="n">
        <x:v>25</x:v>
      </x:c>
      <x:c r="AD72" s="38" t="n">
        <x:v>26</x:v>
      </x:c>
      <x:c r="AE72" s="40" t="n">
        <x:f>IF(OR(AC72="",AD72="",AD72=0),"",AC72/AD72)</x:f>
        <x:v>0.9615384615384616</x:v>
      </x:c>
      <x:c r="AF72" s="38" t="n">
        <x:f>IF(OR(AC72="",AD72=""),"",AC72-AD72)</x:f>
        <x:v>-1</x:v>
      </x:c>
      <x:c r="AG72" s="32" t="n">
        <x:v>46092</x:v>
      </x:c>
      <x:c r="AH72" s="32" t="n">
        <x:v>46167</x:v>
      </x:c>
      <x:c r="AI72" s="30" t="str">
        <x:v>Imagem fornecida pelo usuário</x:v>
      </x:c>
      <x:c r="AJ72" s="32" t="n">
        <x:v>46223</x:v>
      </x:c>
    </x:row>
    <x:row r="73">
      <x:c r="A73" s="30" t="str">
        <x:v>Sávio</x:v>
      </x:c>
      <x:c r="B73" s="30" t="str">
        <x:v>Sávio Moreira de Oliveira</x:v>
      </x:c>
      <x:c r="C73" s="30" t="str">
        <x:v>Ponta-esquerda</x:v>
      </x:c>
      <x:c r="D73" s="30" t="str">
        <x:v>Ponta-direita | Meia-armador</x:v>
      </x:c>
      <x:c r="E73" s="30" t="str">
        <x:v>Manchester City FC</x:v>
      </x:c>
      <x:c r="F73" s="30" t="str">
        <x:v>Observação</x:v>
      </x:c>
      <x:c r="G73" s="30" t="str">
        <x:v>Observação</x:v>
      </x:c>
      <x:c r="H73" s="30" t="n">
        <x:v>22</x:v>
      </x:c>
      <x:c r="I73" s="30" t="n">
        <x:f>IF(H73="","",H73+4)</x:f>
        <x:v>26</x:v>
      </x:c>
      <x:c r="J73" s="36" t="n">
        <x:v>0</x:v>
      </x:c>
      <x:c r="K73" s="36" t="n">
        <x:v>0</x:v>
      </x:c>
      <x:c r="L73" s="36" t="n">
        <x:f>IF(COUNT(J73:K73)=0,"",AVERAGE(J73:K73))</x:f>
        <x:v>0</x:v>
      </x:c>
      <x:c r="M73" s="30" t="str"/>
      <x:c r="N73" s="30" t="str"/>
      <x:c r="O73" s="30" t="str"/>
      <x:c r="P73" s="32" t="n">
        <x:v>38087</x:v>
      </x:c>
      <x:c r="Q73" s="30" t="str">
        <x:v>São Mateus, Brasil</x:v>
      </x:c>
      <x:c r="R73" s="34" t="n">
        <x:v>1.76</x:v>
      </x:c>
      <x:c r="S73" s="30" t="str">
        <x:v>Esquerdo</x:v>
      </x:c>
      <x:c r="T73" s="30" t="str">
        <x:v>Brasil</x:v>
      </x:c>
      <x:c r="U73" s="30" t="str">
        <x:v>Promanager</x:v>
      </x:c>
      <x:c r="V73" s="32" t="n">
        <x:v>45491</x:v>
      </x:c>
      <x:c r="W73" s="32" t="n">
        <x:v>48029</x:v>
      </x:c>
      <x:c r="X73" s="30"/>
      <x:c r="Y73" s="32" t="n">
        <x:v>45933</x:v>
      </x:c>
      <x:c r="Z73" s="30" t="str">
        <x:v>Nike</x:v>
      </x:c>
      <x:c r="AA73" s="30" t="str">
        <x:v>Extremo Esquerdo</x:v>
      </x:c>
      <x:c r="AB73" s="30" t="str">
        <x:v>Extremo Direito | Médio Ofensivo</x:v>
      </x:c>
      <x:c r="AC73" s="38" t="n">
        <x:v>35</x:v>
      </x:c>
      <x:c r="AD73" s="38" t="n">
        <x:v>55</x:v>
      </x:c>
      <x:c r="AE73" s="40" t="n">
        <x:f>IF(OR(AC73="",AD73="",AD73=0),"",AC73/AD73)</x:f>
        <x:v>0.6363636363636364</x:v>
      </x:c>
      <x:c r="AF73" s="38" t="n">
        <x:f>IF(OR(AC73="",AD73=""),"",AC73-AD73)</x:f>
        <x:v>-20</x:v>
      </x:c>
      <x:c r="AG73" s="32" t="n">
        <x:v>45641</x:v>
      </x:c>
      <x:c r="AH73" s="32" t="n">
        <x:v>46175</x:v>
      </x:c>
      <x:c r="AI73" s="30" t="str">
        <x:v>Imagem fornecida pelo usuário</x:v>
      </x:c>
      <x:c r="AJ73" s="32" t="n">
        <x:v>46223</x:v>
      </x:c>
    </x:row>
    <x:row r="74">
      <x:c r="A74" s="30" t="str">
        <x:v>Henrique Menke</x:v>
      </x:c>
      <x:c r="B74" s="30" t="str">
        <x:v>Henrique Menke Lopes</x:v>
      </x:c>
      <x:c r="C74" s="30" t="str">
        <x:v>Goleiro</x:v>
      </x:c>
      <x:c r="D74" s="30" t="str"/>
      <x:c r="E74" s="30" t="str">
        <x:v>SC Internacional</x:v>
      </x:c>
      <x:c r="F74" s="30" t="str">
        <x:v>Observação</x:v>
      </x:c>
      <x:c r="G74" s="30" t="str">
        <x:v>Observação</x:v>
      </x:c>
      <x:c r="H74" s="30" t="n">
        <x:v>19</x:v>
      </x:c>
      <x:c r="I74" s="30" t="n">
        <x:f>IF(H74="","",H74+4)</x:f>
        <x:v>23</x:v>
      </x:c>
      <x:c r="J74" s="36" t="n">
        <x:v>0</x:v>
      </x:c>
      <x:c r="K74" s="36" t="n">
        <x:v>0</x:v>
      </x:c>
      <x:c r="L74" s="36" t="n">
        <x:f>IF(COUNT(J74:K74)=0,"",AVERAGE(J74:K74))</x:f>
        <x:v>0</x:v>
      </x:c>
      <x:c r="M74" s="30" t="str"/>
      <x:c r="N74" s="30" t="str"/>
      <x:c r="O74" s="30" t="str"/>
      <x:c r="P74" s="32" t="n">
        <x:v>39094</x:v>
      </x:c>
      <x:c r="Q74" s="30" t="str">
        <x:v>Balneário Camboriú, Brasil</x:v>
      </x:c>
      <x:c r="R74" s="34" t="n">
        <x:v>1.9</x:v>
      </x:c>
      <x:c r="S74" s="30" t="str">
        <x:v>Direito</x:v>
      </x:c>
      <x:c r="T74" s="30" t="str">
        <x:v>Brasil</x:v>
      </x:c>
      <x:c r="U74" s="30" t="str">
        <x:v>N29</x:v>
      </x:c>
      <x:c r="V74" s="32"/>
      <x:c r="W74" s="32"/>
      <x:c r="X74" s="30"/>
      <x:c r="Y74" s="32"/>
      <x:c r="Z74" s="30"/>
      <x:c r="AA74" s="30" t="str">
        <x:v>Guarda-redes</x:v>
      </x:c>
      <x:c r="AB74" s="30" t="str"/>
      <x:c r="AC74" s="38" t="n">
        <x:v>1.5</x:v>
      </x:c>
      <x:c r="AD74" s="38" t="n">
        <x:v>1.5</x:v>
      </x:c>
      <x:c r="AE74" s="40" t="n">
        <x:f>IF(OR(AC74="",AD74="",AD74=0),"",AC74/AD74)</x:f>
        <x:v>1</x:v>
      </x:c>
      <x:c r="AF74" s="38" t="n">
        <x:f>IF(OR(AC74="",AD74=""),"",AC74-AD74)</x:f>
        <x:v>0</x:v>
      </x:c>
      <x:c r="AG74" s="32" t="n">
        <x:v>46170</x:v>
      </x:c>
      <x:c r="AH74" s="32" t="n">
        <x:v>46170</x:v>
      </x:c>
      <x:c r="AI74" s="30" t="str">
        <x:v>Imagem fornecida pelo usuário</x:v>
      </x:c>
      <x:c r="AJ74" s="32" t="n">
        <x:v>46223</x:v>
      </x:c>
    </x:row>
    <x:row r="75">
      <x:c r="A75" s="30" t="str">
        <x:v>Vitor Reis</x:v>
      </x:c>
      <x:c r="B75" s="30" t="str">
        <x:v>Vitor de Oliveira Nunes dos Reis</x:v>
      </x:c>
      <x:c r="C75" s="30" t="str">
        <x:v>Zagueiro</x:v>
      </x:c>
      <x:c r="D75" s="30" t="str"/>
      <x:c r="E75" s="30" t="str">
        <x:v>Manchester City FC</x:v>
      </x:c>
      <x:c r="F75" s="30" t="str">
        <x:v>Observação</x:v>
      </x:c>
      <x:c r="G75" s="30" t="str">
        <x:v>Observação</x:v>
      </x:c>
      <x:c r="H75" s="30" t="n">
        <x:v>20</x:v>
      </x:c>
      <x:c r="I75" s="30" t="n">
        <x:f>IF(H75="","",H75+4)</x:f>
        <x:v>24</x:v>
      </x:c>
      <x:c r="J75" s="36" t="n">
        <x:v>0</x:v>
      </x:c>
      <x:c r="K75" s="36" t="n">
        <x:v>0</x:v>
      </x:c>
      <x:c r="L75" s="36" t="n">
        <x:f>IF(COUNT(J75:K75)=0,"",AVERAGE(J75:K75))</x:f>
        <x:v>0</x:v>
      </x:c>
      <x:c r="M75" s="30" t="str"/>
      <x:c r="N75" s="30" t="str"/>
      <x:c r="O75" s="30" t="str"/>
      <x:c r="P75" s="32" t="n">
        <x:v>38729</x:v>
      </x:c>
      <x:c r="Q75" s="30" t="str">
        <x:v>São José dos Campos, Brasil</x:v>
      </x:c>
      <x:c r="R75" s="34" t="n">
        <x:v>1.86</x:v>
      </x:c>
      <x:c r="S75" s="30" t="str">
        <x:v>Direito</x:v>
      </x:c>
      <x:c r="T75" s="30" t="str">
        <x:v>Brasil</x:v>
      </x:c>
      <x:c r="U75" s="30" t="str">
        <x:v>P&amp;P Sport ...</x:v>
      </x:c>
      <x:c r="V75" s="32" t="n">
        <x:v>45678</x:v>
      </x:c>
      <x:c r="W75" s="32" t="n">
        <x:v>47299</x:v>
      </x:c>
      <x:c r="X75" s="30"/>
      <x:c r="Y75" s="32"/>
      <x:c r="Z75" s="30"/>
      <x:c r="AA75" s="30" t="str">
        <x:v>Defesa Central</x:v>
      </x:c>
      <x:c r="AB75" s="30" t="str"/>
      <x:c r="AC75" s="38" t="n">
        <x:v>30</x:v>
      </x:c>
      <x:c r="AD75" s="38" t="n">
        <x:v>30</x:v>
      </x:c>
      <x:c r="AE75" s="40" t="n">
        <x:f>IF(OR(AC75="",AD75="",AD75=0),"",AC75/AD75)</x:f>
        <x:v>1</x:v>
      </x:c>
      <x:c r="AF75" s="38" t="n">
        <x:f>IF(OR(AC75="",AD75=""),"",AC75-AD75)</x:f>
        <x:v>0</x:v>
      </x:c>
      <x:c r="AG75" s="32" t="n">
        <x:v>45733</x:v>
      </x:c>
      <x:c r="AH75" s="32" t="n">
        <x:v>46177</x:v>
      </x:c>
      <x:c r="AI75" s="30" t="str">
        <x:v>Imagem fornecida pelo usuário</x:v>
      </x:c>
      <x:c r="AJ75" s="32" t="n">
        <x:v>46223</x:v>
      </x:c>
    </x:row>
    <x:row r="76">
      <x:c r="A76" s="30" t="str">
        <x:v>Igor Felisberto</x:v>
      </x:c>
      <x:c r="B76" s="30" t="str">
        <x:v>Igor Teixeira Felisberto</x:v>
      </x:c>
      <x:c r="C76" s="30" t="str">
        <x:v>Lateral-direito</x:v>
      </x:c>
      <x:c r="D76" s="30" t="str"/>
      <x:c r="E76" s="30" t="str">
        <x:v>São Paulo FC Sub-20</x:v>
      </x:c>
      <x:c r="F76" s="30" t="str">
        <x:v>Observação</x:v>
      </x:c>
      <x:c r="G76" s="30" t="str">
        <x:v>Observação</x:v>
      </x:c>
      <x:c r="H76" s="30" t="n">
        <x:v>19</x:v>
      </x:c>
      <x:c r="I76" s="30" t="n">
        <x:f>IF(H76="","",H76+4)</x:f>
        <x:v>23</x:v>
      </x:c>
      <x:c r="J76" s="36" t="n">
        <x:v>0</x:v>
      </x:c>
      <x:c r="K76" s="36" t="n">
        <x:v>0</x:v>
      </x:c>
      <x:c r="L76" s="36" t="n">
        <x:f>IF(COUNT(J76:K76)=0,"",AVERAGE(J76:K76))</x:f>
        <x:v>0</x:v>
      </x:c>
      <x:c r="M76" s="30" t="str"/>
      <x:c r="N76" s="30" t="str"/>
      <x:c r="O76" s="30" t="str"/>
      <x:c r="P76" s="32" t="n">
        <x:v>39148</x:v>
      </x:c>
      <x:c r="Q76" s="30" t="str">
        <x:v>Içara, Brasil</x:v>
      </x:c>
      <x:c r="R76" s="34" t="n">
        <x:v>1.75</x:v>
      </x:c>
      <x:c r="S76" s="30" t="str">
        <x:v>Direito</x:v>
      </x:c>
      <x:c r="T76" s="30" t="str">
        <x:v>Brasil</x:v>
      </x:c>
      <x:c r="U76" s="30" t="str">
        <x:v>Ventitré</x:v>
      </x:c>
      <x:c r="V76" s="32" t="n">
        <x:v>45292</x:v>
      </x:c>
      <x:c r="W76" s="32" t="n">
        <x:v>47208</x:v>
      </x:c>
      <x:c r="X76" s="30"/>
      <x:c r="Y76" s="32" t="n">
        <x:v>45806</x:v>
      </x:c>
      <x:c r="Z76" s="30" t="str">
        <x:v>adidas</x:v>
      </x:c>
      <x:c r="AA76" s="30" t="str">
        <x:v>Lateral Direito</x:v>
      </x:c>
      <x:c r="AB76" s="30" t="str"/>
      <x:c r="AC76" s="38"/>
      <x:c r="AD76" s="38"/>
      <x:c r="AE76" s="40" t="str">
        <x:f>IF(OR(AC76="",AD76="",AD76=0),"",AC76/AD76)</x:f>
      </x:c>
      <x:c r="AF76" s="38" t="str">
        <x:f>IF(OR(AC76="",AD76=""),"",AC76-AD76)</x:f>
      </x:c>
      <x:c r="AG76" s="32"/>
      <x:c r="AH76" s="32"/>
      <x:c r="AI76" s="30" t="str">
        <x:v>Imagem fornecida pelo usuário</x:v>
      </x:c>
      <x:c r="AJ76" s="32" t="n">
        <x:v>46223</x:v>
      </x:c>
    </x:row>
    <x:row r="77">
      <x:c r="A77" s="30" t="str">
        <x:v>Zé Lucas</x:v>
      </x:c>
      <x:c r="B77" s="30" t="str">
        <x:v>José Lucas Gomes da Silva</x:v>
      </x:c>
      <x:c r="C77" s="30" t="str">
        <x:v>Volante</x:v>
      </x:c>
      <x:c r="D77" s="30" t="str">
        <x:v>Mezzala direito</x:v>
      </x:c>
      <x:c r="E77" s="30" t="str">
        <x:v>SC Recife</x:v>
      </x:c>
      <x:c r="F77" s="30" t="str">
        <x:v>Observação</x:v>
      </x:c>
      <x:c r="G77" s="30" t="str">
        <x:v>Observação</x:v>
      </x:c>
      <x:c r="H77" s="30" t="n">
        <x:v>18</x:v>
      </x:c>
      <x:c r="I77" s="30" t="n">
        <x:f>IF(H77="","",H77+4)</x:f>
        <x:v>22</x:v>
      </x:c>
      <x:c r="J77" s="36" t="n">
        <x:v>0</x:v>
      </x:c>
      <x:c r="K77" s="36" t="n">
        <x:v>0</x:v>
      </x:c>
      <x:c r="L77" s="36" t="n">
        <x:f>IF(COUNT(J77:K77)=0,"",AVERAGE(J77:K77))</x:f>
        <x:v>0</x:v>
      </x:c>
      <x:c r="M77" s="30" t="str"/>
      <x:c r="N77" s="30" t="str"/>
      <x:c r="O77" s="30" t="str"/>
      <x:c r="P77" s="32" t="n">
        <x:v>39530</x:v>
      </x:c>
      <x:c r="Q77" s="30" t="str">
        <x:v>Vitória de Santo Antão, Brasil</x:v>
      </x:c>
      <x:c r="R77" s="34" t="n">
        <x:v>1.74</x:v>
      </x:c>
      <x:c r="S77" s="30" t="str">
        <x:v>Direito</x:v>
      </x:c>
      <x:c r="T77" s="30" t="str">
        <x:v>Brasil</x:v>
      </x:c>
      <x:c r="U77" s="30" t="str">
        <x:v>CAD</x:v>
      </x:c>
      <x:c r="V77" s="32" t="n">
        <x:v>45658</x:v>
      </x:c>
      <x:c r="W77" s="32" t="n">
        <x:v>46873</x:v>
      </x:c>
      <x:c r="X77" s="30"/>
      <x:c r="Y77" s="32" t="n">
        <x:v>45769</x:v>
      </x:c>
      <x:c r="Z77" s="30"/>
      <x:c r="AA77" s="30" t="str">
        <x:v>Médio Defensivo</x:v>
      </x:c>
      <x:c r="AB77" s="30" t="str">
        <x:v>Médio Centro</x:v>
      </x:c>
      <x:c r="AC77" s="38" t="n">
        <x:v>8</x:v>
      </x:c>
      <x:c r="AD77" s="38" t="n">
        <x:v>8</x:v>
      </x:c>
      <x:c r="AE77" s="40" t="n">
        <x:f>IF(OR(AC77="",AD77="",AD77=0),"",AC77/AD77)</x:f>
        <x:v>1</x:v>
      </x:c>
      <x:c r="AF77" s="38" t="n">
        <x:f>IF(OR(AC77="",AD77=""),"",AC77-AD77)</x:f>
        <x:v>0</x:v>
      </x:c>
      <x:c r="AG77" s="32" t="n">
        <x:v>46000</x:v>
      </x:c>
      <x:c r="AH77" s="32" t="n">
        <x:v>46160</x:v>
      </x:c>
      <x:c r="AI77" s="30" t="str">
        <x:v>Imagem fornecida pelo usuário</x:v>
      </x:c>
      <x:c r="AJ77" s="32" t="n">
        <x:v>46223</x:v>
      </x:c>
    </x:row>
    <x:row r="78">
      <x:c r="A78" s="30" t="str">
        <x:v>Lucca</x:v>
      </x:c>
      <x:c r="B78" s="30" t="str">
        <x:v>Lucca Marques Alencar</x:v>
      </x:c>
      <x:c r="C78" s="30" t="str">
        <x:v>Ponta-esquerda</x:v>
      </x:c>
      <x:c r="D78" s="30" t="str">
        <x:v>Meia-armador | Ponta-direita</x:v>
      </x:c>
      <x:c r="E78" s="30" t="str">
        <x:v>São Paulo FC</x:v>
      </x:c>
      <x:c r="F78" s="30" t="str">
        <x:v>Observação</x:v>
      </x:c>
      <x:c r="G78" s="30" t="str">
        <x:v>Observação</x:v>
      </x:c>
      <x:c r="H78" s="30" t="n">
        <x:v>19</x:v>
      </x:c>
      <x:c r="I78" s="30" t="n">
        <x:f>IF(H78="","",H78+4)</x:f>
        <x:v>23</x:v>
      </x:c>
      <x:c r="J78" s="36" t="n">
        <x:v>0</x:v>
      </x:c>
      <x:c r="K78" s="36" t="n">
        <x:v>0</x:v>
      </x:c>
      <x:c r="L78" s="36" t="n">
        <x:f>IF(COUNT(J78:K78)=0,"",AVERAGE(J78:K78))</x:f>
        <x:v>0</x:v>
      </x:c>
      <x:c r="M78" s="30" t="str"/>
      <x:c r="N78" s="30" t="str"/>
      <x:c r="O78" s="30" t="str"/>
      <x:c r="P78" s="32" t="n">
        <x:v>39247</x:v>
      </x:c>
      <x:c r="Q78" s="30" t="str">
        <x:v>São Paulo, Brasil</x:v>
      </x:c>
      <x:c r="R78" s="34" t="n">
        <x:v>1.72</x:v>
      </x:c>
      <x:c r="S78" s="30" t="str">
        <x:v>Direito</x:v>
      </x:c>
      <x:c r="T78" s="30" t="str">
        <x:v>Brasil</x:v>
      </x:c>
      <x:c r="U78" s="30" t="str">
        <x:v>Dodici Sports BR</x:v>
      </x:c>
      <x:c r="V78" s="32" t="n">
        <x:v>45748</x:v>
      </x:c>
      <x:c r="W78" s="32" t="n">
        <x:v>46873</x:v>
      </x:c>
      <x:c r="X78" s="30"/>
      <x:c r="Y78" s="32" t="n">
        <x:v>45799</x:v>
      </x:c>
      <x:c r="Z78" s="30"/>
      <x:c r="AA78" s="30" t="str">
        <x:v>Extremo Esquerdo</x:v>
      </x:c>
      <x:c r="AB78" s="30" t="str">
        <x:v>Médio Ofensivo | Extremo Direito</x:v>
      </x:c>
      <x:c r="AC78" s="38" t="n">
        <x:v>3</x:v>
      </x:c>
      <x:c r="AD78" s="38" t="n">
        <x:v>3</x:v>
      </x:c>
      <x:c r="AE78" s="40" t="n">
        <x:f>IF(OR(AC78="",AD78="",AD78=0),"",AC78/AD78)</x:f>
        <x:v>1</x:v>
      </x:c>
      <x:c r="AF78" s="38" t="n">
        <x:f>IF(OR(AC78="",AD78=""),"",AC78-AD78)</x:f>
        <x:v>0</x:v>
      </x:c>
      <x:c r="AG78" s="32" t="n">
        <x:v>46092</x:v>
      </x:c>
      <x:c r="AH78" s="32" t="n">
        <x:v>46167</x:v>
      </x:c>
      <x:c r="AI78" s="30" t="str">
        <x:v>Imagem fornecida pelo usuário</x:v>
      </x:c>
      <x:c r="AJ78" s="32" t="n">
        <x:v>46223</x:v>
      </x:c>
    </x:row>
    <x:row r="79">
      <x:c r="A79" s="30" t="str">
        <x:v>Riquelme Fillipi</x:v>
      </x:c>
      <x:c r="B79" s="30" t="str">
        <x:v>Riquelme Fillipi Marinho de Souza</x:v>
      </x:c>
      <x:c r="C79" s="30" t="str">
        <x:v>Ponta-esquerda</x:v>
      </x:c>
      <x:c r="D79" s="30" t="str">
        <x:v>Ponta-direita</x:v>
      </x:c>
      <x:c r="E79" s="30" t="str">
        <x:v>SE Palmeiras Sub-20</x:v>
      </x:c>
      <x:c r="F79" s="30" t="str">
        <x:v>Observação</x:v>
      </x:c>
      <x:c r="G79" s="30" t="str">
        <x:v>Observação</x:v>
      </x:c>
      <x:c r="H79" s="30" t="n">
        <x:v>19</x:v>
      </x:c>
      <x:c r="I79" s="30" t="n">
        <x:f>IF(H79="","",H79+4)</x:f>
        <x:v>23</x:v>
      </x:c>
      <x:c r="J79" s="36" t="n">
        <x:v>0</x:v>
      </x:c>
      <x:c r="K79" s="36" t="n">
        <x:v>0</x:v>
      </x:c>
      <x:c r="L79" s="36" t="n">
        <x:f>IF(COUNT(J79:K79)=0,"",AVERAGE(J79:K79))</x:f>
        <x:v>0</x:v>
      </x:c>
      <x:c r="M79" s="30" t="str"/>
      <x:c r="N79" s="30" t="str"/>
      <x:c r="O79" s="30" t="str"/>
      <x:c r="P79" s="32" t="n">
        <x:v>38975</x:v>
      </x:c>
      <x:c r="Q79" s="30" t="str">
        <x:v>Santo André, Brasil</x:v>
      </x:c>
      <x:c r="R79" s="34" t="n">
        <x:v>1.76</x:v>
      </x:c>
      <x:c r="S79" s="30" t="str">
        <x:v>Direito</x:v>
      </x:c>
      <x:c r="T79" s="30" t="str">
        <x:v>Brasil</x:v>
      </x:c>
      <x:c r="U79" s="30" t="str">
        <x:v>Websoccer do Brasil ...</x:v>
      </x:c>
      <x:c r="V79" s="32" t="n">
        <x:v>45292</x:v>
      </x:c>
      <x:c r="W79" s="32" t="n">
        <x:v>47483</x:v>
      </x:c>
      <x:c r="X79" s="30"/>
      <x:c r="Y79" s="32" t="n">
        <x:v>45870</x:v>
      </x:c>
      <x:c r="Z79" s="30"/>
      <x:c r="AA79" s="30" t="str">
        <x:v>Extremo Esquerdo</x:v>
      </x:c>
      <x:c r="AB79" s="30" t="str">
        <x:v>Extremo Direito</x:v>
      </x:c>
      <x:c r="AC79" s="38" t="n">
        <x:v>1</x:v>
      </x:c>
      <x:c r="AD79" s="38" t="n">
        <x:v>1</x:v>
      </x:c>
      <x:c r="AE79" s="40" t="n">
        <x:f>IF(OR(AC79="",AD79="",AD79=0),"",AC79/AD79)</x:f>
        <x:v>1</x:v>
      </x:c>
      <x:c r="AF79" s="38" t="n">
        <x:f>IF(OR(AC79="",AD79=""),"",AC79-AD79)</x:f>
        <x:v>0</x:v>
      </x:c>
      <x:c r="AG79" s="32" t="n">
        <x:v>46092</x:v>
      </x:c>
      <x:c r="AH79" s="32" t="n">
        <x:v>46167</x:v>
      </x:c>
      <x:c r="AI79" s="30" t="str">
        <x:v>Imagem fornecida pelo usuário</x:v>
      </x:c>
      <x:c r="AJ79" s="32" t="n">
        <x:v>46223</x:v>
      </x:c>
    </x:row>
    <x:row r="80">
      <x:c r="A80" s="30" t="str">
        <x:v>Pedrinho</x:v>
      </x:c>
      <x:c r="B80" s="30" t="str">
        <x:v>Pedro Henrique Silva dos Santos</x:v>
      </x:c>
      <x:c r="C80" s="30" t="str">
        <x:v>Ponta-esquerda</x:v>
      </x:c>
      <x:c r="D80" s="30" t="str">
        <x:v>Ponta-direita | Meia-armador</x:v>
      </x:c>
      <x:c r="E80" s="30" t="str">
        <x:v>Zenit São Petersburgo</x:v>
      </x:c>
      <x:c r="F80" s="30" t="str">
        <x:v>Observação</x:v>
      </x:c>
      <x:c r="G80" s="30" t="str">
        <x:v>Observação</x:v>
      </x:c>
      <x:c r="H80" s="30" t="n">
        <x:v>20</x:v>
      </x:c>
      <x:c r="I80" s="30" t="n">
        <x:f>IF(H80="","",H80+4)</x:f>
        <x:v>24</x:v>
      </x:c>
      <x:c r="J80" s="36" t="n">
        <x:v>0</x:v>
      </x:c>
      <x:c r="K80" s="36" t="n">
        <x:v>0</x:v>
      </x:c>
      <x:c r="L80" s="36" t="n">
        <x:f>IF(COUNT(J80:K80)=0,"",AVERAGE(J80:K80))</x:f>
        <x:v>0</x:v>
      </x:c>
      <x:c r="M80" s="30" t="str"/>
      <x:c r="N80" s="30" t="str"/>
      <x:c r="O80" s="30" t="str"/>
      <x:c r="P80" s="32" t="n">
        <x:v>38753</x:v>
      </x:c>
      <x:c r="Q80" s="30" t="str">
        <x:v>São Paulo, Brasil</x:v>
      </x:c>
      <x:c r="R80" s="34" t="n">
        <x:v>1.7</x:v>
      </x:c>
      <x:c r="S80" s="30" t="str">
        <x:v>Direito</x:v>
      </x:c>
      <x:c r="T80" s="30" t="str">
        <x:v>Brasil</x:v>
      </x:c>
      <x:c r="U80" s="30" t="str">
        <x:v>Bertolucci Sports</x:v>
      </x:c>
      <x:c r="V80" s="32" t="n">
        <x:v>45327</x:v>
      </x:c>
      <x:c r="W80" s="32" t="n">
        <x:v>47664</x:v>
      </x:c>
      <x:c r="X80" s="30"/>
      <x:c r="Y80" s="32" t="n">
        <x:v>46049</x:v>
      </x:c>
      <x:c r="Z80" s="30" t="str">
        <x:v>adidas</x:v>
      </x:c>
      <x:c r="AA80" s="30" t="str">
        <x:v>Extremo Esquerdo</x:v>
      </x:c>
      <x:c r="AB80" s="30" t="str">
        <x:v>Extremo Direito | Médio Ofensivo</x:v>
      </x:c>
      <x:c r="AC80" s="38" t="n">
        <x:v>20</x:v>
      </x:c>
      <x:c r="AD80" s="38" t="n">
        <x:v>20</x:v>
      </x:c>
      <x:c r="AE80" s="40" t="n">
        <x:f>IF(OR(AC80="",AD80="",AD80=0),"",AC80/AD80)</x:f>
        <x:v>1</x:v>
      </x:c>
      <x:c r="AF80" s="38" t="n">
        <x:f>IF(OR(AC80="",AD80=""),"",AC80-AD80)</x:f>
        <x:v>0</x:v>
      </x:c>
      <x:c r="AG80" s="32" t="n">
        <x:v>46167</x:v>
      </x:c>
      <x:c r="AH80" s="32" t="n">
        <x:v>46167</x:v>
      </x:c>
      <x:c r="AI80" s="30" t="str">
        <x:v>Imagem fornecida pelo usuário</x:v>
      </x:c>
      <x:c r="AJ80" s="32" t="n">
        <x:v>46223</x:v>
      </x:c>
    </x:row>
    <x:row r="81">
      <x:c r="A81" t="str">
        <x:v>Pedro Cobra</x:v>
      </x:c>
      <x:c r="B81" t="str">
        <x:v>Pedro Cobra Rodrigues</x:v>
      </x:c>
      <x:c r="C81" t="str">
        <x:v>Goleiro</x:v>
      </x:c>
      <x:c r="D81"/>
      <x:c r="E81" t="str">
        <x:v>Atlético Mineiro</x:v>
      </x:c>
      <x:c r="F81" t="str">
        <x:v>Observação</x:v>
      </x:c>
      <x:c r="G81" t="str">
        <x:v>Observação</x:v>
      </x:c>
      <x:c r="H81" t="n">
        <x:v>20</x:v>
      </x:c>
      <x:c r="I81" t="n">
        <x:f>IF(H81="","",H81+4)</x:f>
        <x:v>24</x:v>
      </x:c>
      <x:c r="J81" t="n">
        <x:v>0</x:v>
      </x:c>
      <x:c r="K81" t="n">
        <x:v>0</x:v>
      </x:c>
      <x:c r="L81" t="n">
        <x:f>IF(COUNT(J81:K81)=0,"",AVERAGE(J81:K81))</x:f>
        <x:v>0</x:v>
      </x:c>
      <x:c r="M81"/>
      <x:c r="N81"/>
      <x:c r="O81"/>
      <x:c r="P81" t="n">
        <x:v>38852</x:v>
      </x:c>
      <x:c r="Q81" t="str">
        <x:v>Goiânia, Brasil</x:v>
      </x:c>
      <x:c r="R81" t="n">
        <x:v>1.93</x:v>
      </x:c>
      <x:c r="S81" t="str">
        <x:v>Direito</x:v>
      </x:c>
      <x:c r="T81" t="str">
        <x:v>Brasil</x:v>
      </x:c>
      <x:c r="U81" t="str">
        <x:v>Bertolucci Sports</x:v>
      </x:c>
      <x:c r="V81" t="n">
        <x:v>46023</x:v>
      </x:c>
      <x:c r="W81" t="n">
        <x:v>47848</x:v>
      </x:c>
      <x:c r="X81"/>
      <x:c r="Y81" t="n">
        <x:v>45922</x:v>
      </x:c>
      <x:c r="Z81" t="str">
        <x:v>adidas</x:v>
      </x:c>
      <x:c r="AA81" t="str">
        <x:v>Guarda-redes</x:v>
      </x:c>
      <x:c r="AB81"/>
      <x:c r="AC81" t="n">
        <x:v>0.6</x:v>
      </x:c>
      <x:c r="AD81" t="n">
        <x:v>0.6</x:v>
      </x:c>
      <x:c r="AE81" t="n">
        <x:f>IF(OR(AC81="",AD81="",AD81=0),"",AC81/AD81)</x:f>
        <x:v>1</x:v>
      </x:c>
      <x:c r="AF81" t="n">
        <x:f>IF(OR(AC81="",AD81=""),"",AC81-AD81)</x:f>
        <x:v>0</x:v>
      </x:c>
      <x:c r="AG81" t="n">
        <x:v>45924</x:v>
      </x:c>
      <x:c r="AH81" t="n">
        <x:v>46167</x:v>
      </x:c>
      <x:c r="AI81" t="str">
        <x:v>Imagem fornecida pelo usuário</x:v>
      </x:c>
      <x:c r="AJ81" t="n">
        <x:v>46223</x:v>
      </x:c>
    </x:row>
    <x:row r="82">
      <x:c r="A82" t="str">
        <x:v>Pedro Gabriel</x:v>
      </x:c>
      <x:c r="B82" t="str">
        <x:v>Pedro Gabriel Crisostomo Pinheiro</x:v>
      </x:c>
      <x:c r="C82" t="str">
        <x:v>Lateral-esquerdo</x:v>
      </x:c>
      <x:c r="D82" t="str">
        <x:v>Meia-esquerda</x:v>
      </x:c>
      <x:c r="E82" t="str">
        <x:v>Grêmio FBPA</x:v>
      </x:c>
      <x:c r="F82" t="str">
        <x:v>Observação</x:v>
      </x:c>
      <x:c r="G82" t="str">
        <x:v>Observação</x:v>
      </x:c>
      <x:c r="H82" t="n">
        <x:v>19</x:v>
      </x:c>
      <x:c r="I82" t="n">
        <x:f>IF(H82="","",H82+4)</x:f>
        <x:v>23</x:v>
      </x:c>
      <x:c r="J82" t="n">
        <x:v>0</x:v>
      </x:c>
      <x:c r="K82" t="n">
        <x:v>0</x:v>
      </x:c>
      <x:c r="L82" t="n">
        <x:f>IF(COUNT(J82:K82)=0,"",AVERAGE(J82:K82))</x:f>
        <x:v>0</x:v>
      </x:c>
      <x:c r="M82"/>
      <x:c r="N82"/>
      <x:c r="O82"/>
      <x:c r="P82" t="n">
        <x:v>39239</x:v>
      </x:c>
      <x:c r="Q82" t="str">
        <x:v>Fortaleza, Brasil</x:v>
      </x:c>
      <x:c r="R82"/>
      <x:c r="S82" t="str">
        <x:v>Esquerdo</x:v>
      </x:c>
      <x:c r="T82" t="str">
        <x:v>Brasil</x:v>
      </x:c>
      <x:c r="U82" t="str">
        <x:v>PabloBueno360</x:v>
      </x:c>
      <x:c r="V82" t="n">
        <x:v>46023</x:v>
      </x:c>
      <x:c r="W82" t="n">
        <x:v>47118</x:v>
      </x:c>
      <x:c r="X82"/>
      <x:c r="Y82" t="n">
        <x:v>46119</x:v>
      </x:c>
      <x:c r="Z82"/>
      <x:c r="AA82" t="str">
        <x:v>Lateral Esquerdo</x:v>
      </x:c>
      <x:c r="AB82" t="str">
        <x:v>Médio Esquerdo</x:v>
      </x:c>
      <x:c r="AC82" t="n">
        <x:v>2</x:v>
      </x:c>
      <x:c r="AD82" t="n">
        <x:v>2</x:v>
      </x:c>
      <x:c r="AE82" t="n">
        <x:f>IF(OR(AC82="",AD82="",AD82=0),"",AC82/AD82)</x:f>
        <x:v>1</x:v>
      </x:c>
      <x:c r="AF82" t="n">
        <x:f>IF(OR(AC82="",AD82=""),"",AC82-AD82)</x:f>
        <x:v>0</x:v>
      </x:c>
      <x:c r="AG82" t="n">
        <x:v>46167</x:v>
      </x:c>
      <x:c r="AH82" t="n">
        <x:v>46167</x:v>
      </x:c>
      <x:c r="AI82" t="str">
        <x:v>Imagem fornecida pelo usuário</x:v>
      </x:c>
      <x:c r="AJ82" t="n">
        <x:v>46223</x:v>
      </x:c>
    </x:row>
    <x:row r="83">
      <x:c r="A83" t="str">
        <x:v>Arthur Dias</x:v>
      </x:c>
      <x:c r="B83" t="str">
        <x:v>Arthur dos Santos Barbosa Dias</x:v>
      </x:c>
      <x:c r="C83" t="str">
        <x:v>Zagueiro</x:v>
      </x:c>
      <x:c r="D83" t="str">
        <x:v>Lateral-esquerdo</x:v>
      </x:c>
      <x:c r="E83" t="str">
        <x:v>Club Athletico Paranaense</x:v>
      </x:c>
      <x:c r="F83" t="str">
        <x:v>Observação</x:v>
      </x:c>
      <x:c r="G83" t="str">
        <x:v>Observação</x:v>
      </x:c>
      <x:c r="H83" t="n">
        <x:v>19</x:v>
      </x:c>
      <x:c r="I83" t="n">
        <x:f>IF(H83="","",H83+4)</x:f>
        <x:v>23</x:v>
      </x:c>
      <x:c r="J83" t="n">
        <x:v>0</x:v>
      </x:c>
      <x:c r="K83" t="n">
        <x:v>0</x:v>
      </x:c>
      <x:c r="L83" t="n">
        <x:f>IF(COUNT(J83:K83)=0,"",AVERAGE(J83:K83))</x:f>
        <x:v>0</x:v>
      </x:c>
      <x:c r="M83"/>
      <x:c r="N83"/>
      <x:c r="O83"/>
      <x:c r="P83" t="n">
        <x:v>39182</x:v>
      </x:c>
      <x:c r="Q83" t="str">
        <x:v>Campo Grande, Brasil</x:v>
      </x:c>
      <x:c r="R83" t="n">
        <x:v>1.88</x:v>
      </x:c>
      <x:c r="S83" t="str">
        <x:v>Esquerdo</x:v>
      </x:c>
      <x:c r="T83" t="str">
        <x:v>Brasil</x:v>
      </x:c>
      <x:c r="U83" t="str">
        <x:v>Duf's Mkt</x:v>
      </x:c>
      <x:c r="V83" t="n">
        <x:v>46023</x:v>
      </x:c>
      <x:c r="W83" t="n">
        <x:v>47118</x:v>
      </x:c>
      <x:c r="X83"/>
      <x:c r="Y83" t="n">
        <x:v>45905</x:v>
      </x:c>
      <x:c r="Z83"/>
      <x:c r="AA83" t="str">
        <x:v>Defesa Central</x:v>
      </x:c>
      <x:c r="AB83" t="str">
        <x:v>Lateral Esquerdo</x:v>
      </x:c>
      <x:c r="AC83" t="n">
        <x:v>3</x:v>
      </x:c>
      <x:c r="AD83" t="n">
        <x:v>3</x:v>
      </x:c>
      <x:c r="AE83" t="n">
        <x:f>IF(OR(AC83="",AD83="",AD83=0),"",AC83/AD83)</x:f>
        <x:v>1</x:v>
      </x:c>
      <x:c r="AF83" t="n">
        <x:f>IF(OR(AC83="",AD83=""),"",AC83-AD83)</x:f>
        <x:v>0</x:v>
      </x:c>
      <x:c r="AG83" t="n">
        <x:v>46167</x:v>
      </x:c>
      <x:c r="AH83" t="n">
        <x:v>46167</x:v>
      </x:c>
      <x:c r="AI83" t="str">
        <x:v>Imagem fornecida pelo usuário</x:v>
      </x:c>
      <x:c r="AJ83" t="n">
        <x:v>46223</x:v>
      </x:c>
    </x:row>
    <x:row r="84">
      <x:c r="A84" t="str">
        <x:v>João Pedro Chermont</x:v>
      </x:c>
      <x:c r="B84" t="str">
        <x:v>João Pedro Chermont Crema</x:v>
      </x:c>
      <x:c r="C84" t="str">
        <x:v>Lateral-direito</x:v>
      </x:c>
      <x:c r="D84" t="str">
        <x:v>Meia-direita</x:v>
      </x:c>
      <x:c r="E84" t="str">
        <x:v>Coritiba Foot Ball Club</x:v>
      </x:c>
      <x:c r="F84" t="str">
        <x:v>Observação</x:v>
      </x:c>
      <x:c r="G84" t="str">
        <x:v>Observação</x:v>
      </x:c>
      <x:c r="H84" t="n">
        <x:v>20</x:v>
      </x:c>
      <x:c r="I84" t="n">
        <x:f>IF(H84="","",H84+4)</x:f>
        <x:v>24</x:v>
      </x:c>
      <x:c r="J84" t="n">
        <x:v>0</x:v>
      </x:c>
      <x:c r="K84" t="n">
        <x:v>0</x:v>
      </x:c>
      <x:c r="L84" t="n">
        <x:f>IF(COUNT(J84:K84)=0,"",AVERAGE(J84:K84))</x:f>
        <x:v>0</x:v>
      </x:c>
      <x:c r="M84"/>
      <x:c r="N84"/>
      <x:c r="O84"/>
      <x:c r="P84" t="n">
        <x:v>38735</x:v>
      </x:c>
      <x:c r="Q84" t="str">
        <x:v>Bauru, Brasil</x:v>
      </x:c>
      <x:c r="R84" t="n">
        <x:v>1.81</x:v>
      </x:c>
      <x:c r="S84" t="str">
        <x:v>Direito</x:v>
      </x:c>
      <x:c r="T84" t="str">
        <x:v>Brasil</x:v>
      </x:c>
      <x:c r="U84" t="str">
        <x:v>Bertolucci Sports</x:v>
      </x:c>
      <x:c r="V84" t="n">
        <x:v>46076</x:v>
      </x:c>
      <x:c r="W84" t="n">
        <x:v>46387</x:v>
      </x:c>
      <x:c r="X84"/>
      <x:c r="Y84"/>
      <x:c r="Z84"/>
      <x:c r="AA84" t="str">
        <x:v>Lateral Direito</x:v>
      </x:c>
      <x:c r="AB84" t="str">
        <x:v>Médio Direito</x:v>
      </x:c>
      <x:c r="AC84" t="n">
        <x:v>4</x:v>
      </x:c>
      <x:c r="AD84" t="n">
        <x:v>4</x:v>
      </x:c>
      <x:c r="AE84" t="n">
        <x:f>IF(OR(AC84="",AD84="",AD84=0),"",AC84/AD84)</x:f>
        <x:v>1</x:v>
      </x:c>
      <x:c r="AF84" t="n">
        <x:f>IF(OR(AC84="",AD84=""),"",AC84-AD84)</x:f>
        <x:v>0</x:v>
      </x:c>
      <x:c r="AG84" t="n">
        <x:v>46167</x:v>
      </x:c>
      <x:c r="AH84" t="n">
        <x:v>46167</x:v>
      </x:c>
      <x:c r="AI84" t="str">
        <x:v>Imagem fornecida pelo usuário</x:v>
      </x:c>
      <x:c r="AJ84" t="n">
        <x:v>46223</x:v>
      </x:c>
    </x:row>
    <x:row r="85">
      <x:c r="A85" t="str">
        <x:v>Rayan Lucas</x:v>
      </x:c>
      <x:c r="B85" t="str">
        <x:v>Rayan Lucas Marques de Souza</x:v>
      </x:c>
      <x:c r="C85" t="str">
        <x:v>Volante</x:v>
      </x:c>
      <x:c r="D85" t="str">
        <x:v>Mezzala direito</x:v>
      </x:c>
      <x:c r="E85" t="str">
        <x:v>CR Flamengo Sub-20</x:v>
      </x:c>
      <x:c r="F85" t="str">
        <x:v>Observação</x:v>
      </x:c>
      <x:c r="G85" t="str">
        <x:v>Observação</x:v>
      </x:c>
      <x:c r="H85" t="n">
        <x:v>21</x:v>
      </x:c>
      <x:c r="I85" t="n">
        <x:f>IF(H85="","",H85+4)</x:f>
        <x:v>25</x:v>
      </x:c>
      <x:c r="J85" t="n">
        <x:v>0</x:v>
      </x:c>
      <x:c r="K85" t="n">
        <x:v>0</x:v>
      </x:c>
      <x:c r="L85" t="n">
        <x:f>IF(COUNT(J85:K85)=0,"",AVERAGE(J85:K85))</x:f>
        <x:v>0</x:v>
      </x:c>
      <x:c r="M85"/>
      <x:c r="N85"/>
      <x:c r="O85"/>
      <x:c r="P85" t="n">
        <x:v>38355</x:v>
      </x:c>
      <x:c r="Q85" t="str">
        <x:v>Rio de Janeiro, Brasil</x:v>
      </x:c>
      <x:c r="R85" t="n">
        <x:v>1.85</x:v>
      </x:c>
      <x:c r="S85" t="str">
        <x:v>Direito</x:v>
      </x:c>
      <x:c r="T85" t="str">
        <x:v>Brasil</x:v>
      </x:c>
      <x:c r="U85" t="str">
        <x:v>Roc Nation Sports</x:v>
      </x:c>
      <x:c r="V85" t="n">
        <x:v>44927</x:v>
      </x:c>
      <x:c r="W85" t="n">
        <x:v>47055</x:v>
      </x:c>
      <x:c r="X85"/>
      <x:c r="Y85" t="n">
        <x:v>45246</x:v>
      </x:c>
      <x:c r="Z85"/>
      <x:c r="AA85" t="str">
        <x:v>Médio Defensivo</x:v>
      </x:c>
      <x:c r="AB85" t="str">
        <x:v>Médio Centro</x:v>
      </x:c>
      <x:c r="AC85" t="n">
        <x:v>0.9</x:v>
      </x:c>
      <x:c r="AD85" t="n">
        <x:v>0.9</x:v>
      </x:c>
      <x:c r="AE85" t="n">
        <x:f>IF(OR(AC85="",AD85="",AD85=0),"",AC85/AD85)</x:f>
        <x:v>1</x:v>
      </x:c>
      <x:c r="AF85" t="n">
        <x:f>IF(OR(AC85="",AD85=""),"",AC85-AD85)</x:f>
        <x:v>0</x:v>
      </x:c>
      <x:c r="AG85" t="n">
        <x:v>46196</x:v>
      </x:c>
      <x:c r="AH85" t="n">
        <x:v>46196</x:v>
      </x:c>
      <x:c r="AI85" t="str">
        <x:v>Imagem fornecida pelo usuário</x:v>
      </x:c>
      <x:c r="AJ85" t="n">
        <x:v>46223</x:v>
      </x:c>
    </x:row>
    <x:row r="86">
      <x:c r="A86" t="str">
        <x:v>Riquelme Felipe</x:v>
      </x:c>
      <x:c r="B86" t="str">
        <x:v>Riquelme Felipe Silva de Almeida</x:v>
      </x:c>
      <x:c r="C86" t="str">
        <x:v>Ponta-direita</x:v>
      </x:c>
      <x:c r="D86" t="str">
        <x:v>Ponta-esquerda | Meia-armador</x:v>
      </x:c>
      <x:c r="E86" t="str">
        <x:v>Fluminense FC</x:v>
      </x:c>
      <x:c r="F86" t="str">
        <x:v>Observação</x:v>
      </x:c>
      <x:c r="G86" t="str">
        <x:v>Observação</x:v>
      </x:c>
      <x:c r="H86" t="n">
        <x:v>19</x:v>
      </x:c>
      <x:c r="I86" t="n">
        <x:f>IF(H86="","",H86+4)</x:f>
        <x:v>23</x:v>
      </x:c>
      <x:c r="J86" t="n">
        <x:v>0</x:v>
      </x:c>
      <x:c r="K86" t="n">
        <x:v>0</x:v>
      </x:c>
      <x:c r="L86" t="n">
        <x:f>IF(COUNT(J86:K86)=0,"",AVERAGE(J86:K86))</x:f>
        <x:v>0</x:v>
      </x:c>
      <x:c r="M86"/>
      <x:c r="N86"/>
      <x:c r="O86"/>
      <x:c r="P86" t="n">
        <x:v>39154</x:v>
      </x:c>
      <x:c r="Q86" t="str">
        <x:v>Araçatuba, Brasil</x:v>
      </x:c>
      <x:c r="R86" t="n">
        <x:v>1.75</x:v>
      </x:c>
      <x:c r="S86" t="str">
        <x:v>Esquerdo</x:v>
      </x:c>
      <x:c r="T86" t="str">
        <x:v>Brasil</x:v>
      </x:c>
      <x:c r="U86" t="str">
        <x:v>LINK SPORTS</x:v>
      </x:c>
      <x:c r="V86" t="n">
        <x:v>45668</x:v>
      </x:c>
      <x:c r="W86" t="n">
        <x:v>47726</x:v>
      </x:c>
      <x:c r="X86"/>
      <x:c r="Y86" t="n">
        <x:v>45906</x:v>
      </x:c>
      <x:c r="Z86"/>
      <x:c r="AA86" t="str">
        <x:v>Extremo Direito</x:v>
      </x:c>
      <x:c r="AB86" t="str">
        <x:v>Extremo Esquerdo | Médio Ofensivo</x:v>
      </x:c>
      <x:c r="AC86" t="n">
        <x:v>6</x:v>
      </x:c>
      <x:c r="AD86" t="n">
        <x:v>6</x:v>
      </x:c>
      <x:c r="AE86" t="n">
        <x:f>IF(OR(AC86="",AD86="",AD86=0),"",AC86/AD86)</x:f>
        <x:v>1</x:v>
      </x:c>
      <x:c r="AF86" t="n">
        <x:f>IF(OR(AC86="",AD86=""),"",AC86-AD86)</x:f>
        <x:v>0</x:v>
      </x:c>
      <x:c r="AG86" t="n">
        <x:v>45743</x:v>
      </x:c>
      <x:c r="AH86" t="n">
        <x:v>46167</x:v>
      </x:c>
      <x:c r="AI86" t="str">
        <x:v>Imagem fornecida pelo usuário</x:v>
      </x:c>
      <x:c r="AJ86" t="n">
        <x:v>46223</x:v>
      </x:c>
    </x:row>
    <x:row r="87">
      <x:c r="A87" t="str">
        <x:v>Abner Vinícius</x:v>
      </x:c>
      <x:c r="B87" t="str">
        <x:v>Abner Vinícius da Silva Santos</x:v>
      </x:c>
      <x:c r="C87" t="str">
        <x:v>Lateral-esquerdo</x:v>
      </x:c>
      <x:c r="D87" t="str">
        <x:v>Meia-esquerda</x:v>
      </x:c>
      <x:c r="E87" t="str">
        <x:v>Olympique Lyon</x:v>
      </x:c>
      <x:c r="F87" t="str">
        <x:v>Observação</x:v>
      </x:c>
      <x:c r="G87" t="str">
        <x:v>Observação</x:v>
      </x:c>
      <x:c r="H87" t="n">
        <x:v>26</x:v>
      </x:c>
      <x:c r="I87" t="n">
        <x:f>IF(H87="","",H87+4)</x:f>
        <x:v>30</x:v>
      </x:c>
      <x:c r="J87" t="n">
        <x:v>0</x:v>
      </x:c>
      <x:c r="K87" t="n">
        <x:v>0</x:v>
      </x:c>
      <x:c r="L87" t="n">
        <x:f>IF(COUNT(J87:K87)=0,"",AVERAGE(J87:K87))</x:f>
        <x:v>0</x:v>
      </x:c>
      <x:c r="M87"/>
      <x:c r="N87"/>
      <x:c r="O87"/>
      <x:c r="P87" t="n">
        <x:v>36673</x:v>
      </x:c>
      <x:c r="Q87" t="str">
        <x:v>Presidente Prudente, Brasil</x:v>
      </x:c>
      <x:c r="R87" t="n">
        <x:v>1.81</x:v>
      </x:c>
      <x:c r="S87" t="str">
        <x:v>Esquerdo</x:v>
      </x:c>
      <x:c r="T87" t="str">
        <x:v>Brasil</x:v>
      </x:c>
      <x:c r="U87" t="str">
        <x:v>ADM Esporte</x:v>
      </x:c>
      <x:c r="V87" t="n">
        <x:v>45478</x:v>
      </x:c>
      <x:c r="W87" t="n">
        <x:v>47299</x:v>
      </x:c>
      <x:c r="X87"/>
      <x:c r="Y87"/>
      <x:c r="Z87"/>
      <x:c r="AA87" t="str">
        <x:v>Lateral Esquerdo</x:v>
      </x:c>
      <x:c r="AB87" t="str">
        <x:v>Médio Esquerdo</x:v>
      </x:c>
      <x:c r="AC87" t="n">
        <x:v>10</x:v>
      </x:c>
      <x:c r="AD87" t="n">
        <x:v>10</x:v>
      </x:c>
      <x:c r="AE87" t="n">
        <x:f>IF(OR(AC87="",AD87="",AD87=0),"",AC87/AD87)</x:f>
        <x:v>1</x:v>
      </x:c>
      <x:c r="AF87" t="n">
        <x:f>IF(OR(AC87="",AD87=""),"",AC87-AD87)</x:f>
        <x:v>0</x:v>
      </x:c>
      <x:c r="AG87" t="n">
        <x:v>46107</x:v>
      </x:c>
      <x:c r="AH87" t="n">
        <x:v>46173</x:v>
      </x:c>
      <x:c r="AI87" t="str">
        <x:v>Imagem fornecida pelo usuário</x:v>
      </x:c>
      <x:c r="AJ87" t="n">
        <x:v>46223</x:v>
      </x:c>
    </x:row>
    <x:row r="88">
      <x:c r="A88" t="str">
        <x:v>Lucas Piton</x:v>
      </x:c>
      <x:c r="B88" t="str">
        <x:v>Lucas Piton Crivellaro</x:v>
      </x:c>
      <x:c r="C88" t="str">
        <x:v>Lateral-esquerdo</x:v>
      </x:c>
      <x:c r="D88" t="str">
        <x:v>Meia-esquerda</x:v>
      </x:c>
      <x:c r="E88" t="str">
        <x:v>CR Vasco da Gama</x:v>
      </x:c>
      <x:c r="F88" t="str">
        <x:v>Observação</x:v>
      </x:c>
      <x:c r="G88" t="str">
        <x:v>Observação</x:v>
      </x:c>
      <x:c r="H88" t="n">
        <x:v>25</x:v>
      </x:c>
      <x:c r="I88" t="n">
        <x:f>IF(H88="","",H88+4)</x:f>
        <x:v>29</x:v>
      </x:c>
      <x:c r="J88" t="n">
        <x:v>0</x:v>
      </x:c>
      <x:c r="K88" t="n">
        <x:v>0</x:v>
      </x:c>
      <x:c r="L88" t="n">
        <x:f>IF(COUNT(J88:K88)=0,"",AVERAGE(J88:K88))</x:f>
        <x:v>0</x:v>
      </x:c>
      <x:c r="M88"/>
      <x:c r="N88"/>
      <x:c r="O88"/>
      <x:c r="P88" t="n">
        <x:v>36808</x:v>
      </x:c>
      <x:c r="Q88" t="str">
        <x:v>Jundiaí, Brasil</x:v>
      </x:c>
      <x:c r="R88" t="n">
        <x:v>1.75</x:v>
      </x:c>
      <x:c r="S88" t="str">
        <x:v>Esquerdo</x:v>
      </x:c>
      <x:c r="T88" t="str">
        <x:v>Itália | Brasil</x:v>
      </x:c>
      <x:c r="U88" t="str">
        <x:v>Gilvan Costa</x:v>
      </x:c>
      <x:c r="V88" t="n">
        <x:v>44927</x:v>
      </x:c>
      <x:c r="W88" t="n">
        <x:v>47118</x:v>
      </x:c>
      <x:c r="X88"/>
      <x:c r="Y88" t="n">
        <x:v>45351</x:v>
      </x:c>
      <x:c r="Z88" t="str">
        <x:v>Puma</x:v>
      </x:c>
      <x:c r="AA88" t="str">
        <x:v>Lateral Esquerdo</x:v>
      </x:c>
      <x:c r="AB88" t="str">
        <x:v>Médio Esquerdo</x:v>
      </x:c>
      <x:c r="AC88" t="n">
        <x:v>6</x:v>
      </x:c>
      <x:c r="AD88" t="n">
        <x:v>8</x:v>
      </x:c>
      <x:c r="AE88" t="n">
        <x:f>IF(OR(AC88="",AD88="",AD88=0),"",AC88/AD88)</x:f>
        <x:v>0.75</x:v>
      </x:c>
      <x:c r="AF88" t="n">
        <x:f>IF(OR(AC88="",AD88=""),"",AC88-AD88)</x:f>
        <x:v>-2</x:v>
      </x:c>
      <x:c r="AG88" t="n">
        <x:v>45561</x:v>
      </x:c>
      <x:c r="AH88" t="n">
        <x:v>46167</x:v>
      </x:c>
      <x:c r="AI88" t="str">
        <x:v>Imagem fornecida pelo usuário</x:v>
      </x:c>
      <x:c r="AJ88" t="n">
        <x:v>46223</x:v>
      </x:c>
    </x:row>
    <x:row r="89">
      <x:c r="A89" t="str">
        <x:v>Ângelo</x:v>
      </x:c>
      <x:c r="B89" t="str">
        <x:v>Ângelo Gabriel Borges Damaceno</x:v>
      </x:c>
      <x:c r="C89" t="str">
        <x:v>Ponta-direita</x:v>
      </x:c>
      <x:c r="D89" t="str">
        <x:v>Mezzala direito | Meia-armador</x:v>
      </x:c>
      <x:c r="E89" t="str">
        <x:v>Al-Nassr FC</x:v>
      </x:c>
      <x:c r="F89" t="str">
        <x:v>Observação</x:v>
      </x:c>
      <x:c r="G89" t="str">
        <x:v>Observação</x:v>
      </x:c>
      <x:c r="H89" t="n">
        <x:v>21</x:v>
      </x:c>
      <x:c r="I89" t="n">
        <x:f>IF(H89="","",H89+4)</x:f>
        <x:v>25</x:v>
      </x:c>
      <x:c r="J89" t="n">
        <x:v>0</x:v>
      </x:c>
      <x:c r="K89" t="n">
        <x:v>0</x:v>
      </x:c>
      <x:c r="L89" t="n">
        <x:f>IF(COUNT(J89:K89)=0,"",AVERAGE(J89:K89))</x:f>
        <x:v>0</x:v>
      </x:c>
      <x:c r="M89"/>
      <x:c r="N89"/>
      <x:c r="O89"/>
      <x:c r="P89" t="n">
        <x:v>38342</x:v>
      </x:c>
      <x:c r="Q89" t="str">
        <x:v>Brasília, Brasil</x:v>
      </x:c>
      <x:c r="R89" t="n">
        <x:v>1.8</x:v>
      </x:c>
      <x:c r="S89" t="str">
        <x:v>Esquerdo</x:v>
      </x:c>
      <x:c r="T89" t="str">
        <x:v>Brasil</x:v>
      </x:c>
      <x:c r="U89" t="str">
        <x:v>Bertolucci Sports</x:v>
      </x:c>
      <x:c r="V89" t="n">
        <x:v>45537</x:v>
      </x:c>
      <x:c r="W89" t="n">
        <x:v>47299</x:v>
      </x:c>
      <x:c r="X89"/>
      <x:c r="Y89"/>
      <x:c r="Z89" t="str">
        <x:v>adidas</x:v>
      </x:c>
      <x:c r="AA89" t="str">
        <x:v>Extremo Direito</x:v>
      </x:c>
      <x:c r="AB89" t="str">
        <x:v>Médio Centro | Médio Ofensivo</x:v>
      </x:c>
      <x:c r="AC89" t="n">
        <x:v>15</x:v>
      </x:c>
      <x:c r="AD89" t="n">
        <x:v>15</x:v>
      </x:c>
      <x:c r="AE89" t="n">
        <x:f>IF(OR(AC89="",AD89="",AD89=0),"",AC89/AD89)</x:f>
        <x:v>1</x:v>
      </x:c>
      <x:c r="AF89" t="n">
        <x:f>IF(OR(AC89="",AD89=""),"",AC89-AD89)</x:f>
        <x:v>0</x:v>
      </x:c>
      <x:c r="AG89" t="n">
        <x:v>45214</x:v>
      </x:c>
      <x:c r="AH89" t="n">
        <x:v>46176</x:v>
      </x:c>
      <x:c r="AI89" t="str">
        <x:v>Imagem fornecida pelo usuário</x:v>
      </x:c>
      <x:c r="AJ89" t="n">
        <x:v>46223</x:v>
      </x:c>
    </x:row>
  </x:sheetData>
  <x:conditionalFormatting sqref="A1:AJ80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c9984a204242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3" hidden="0" customWidth="1"/>
    <x:col min="4" max="4" width="13" hidden="0" customWidth="1"/>
    <x:col min="5" max="5" width="20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8" hidden="0" customWidth="1"/>
    <x:col min="16" max="16" width="14" hidden="0" customWidth="1"/>
    <x:col min="17" max="17" width="34" hidden="0" customWidth="1"/>
    <x:col min="18" max="18" width="34" hidden="0" customWidth="1"/>
    <x:col min="19" max="19" width="34" hidden="0" customWidth="1"/>
    <x:col min="20" max="20" width="34" hidden="0" customWidth="1"/>
  </x:cols>
  <x:sheetData>
    <x:row r="1" ht="34" customHeight="1">
      <x:c r="A1" s="13" t="str">
        <x:v>Atleta</x:v>
      </x:c>
      <x:c r="B1" s="13" t="str">
        <x:v>Ano</x:v>
      </x:c>
      <x:c r="C1" s="13" t="str">
        <x:v>Trimestre</x:v>
      </x:c>
      <x:c r="D1" s="13" t="str">
        <x:v>Data de referência</x:v>
      </x:c>
      <x:c r="E1" s="13" t="str">
        <x:v>Posição</x:v>
      </x:c>
      <x:c r="F1" s="13" t="str">
        <x:v>Clube</x:v>
      </x:c>
      <x:c r="G1" s="13" t="str">
        <x:v>Capacidade atual — Vini</x:v>
      </x:c>
      <x:c r="H1" s="13" t="str">
        <x:v>Potencial — Vini</x:v>
      </x:c>
      <x:c r="I1" s="13" t="str">
        <x:v>Capacidade atual — Beto</x:v>
      </x:c>
      <x:c r="J1" s="13" t="str">
        <x:v>Potencial — Beto</x:v>
      </x:c>
      <x:c r="K1" s="13" t="str">
        <x:v>Média da capacidade atual</x:v>
      </x:c>
      <x:c r="L1" s="13" t="str">
        <x:v>Média do potencial</x:v>
      </x:c>
      <x:c r="M1" s="13" t="str">
        <x:v>Margem de evolução</x:v>
      </x:c>
      <x:c r="N1" s="13" t="str">
        <x:v>Variação da capacidade atual vs. trimestre anterior</x:v>
      </x:c>
      <x:c r="O1" s="13" t="str">
        <x:v>Status de condição</x:v>
      </x:c>
      <x:c r="P1" s="13" t="str">
        <x:v>Jogos observados</x:v>
      </x:c>
      <x:c r="Q1" s="13" t="str">
        <x:v>Observações do Vini</x:v>
      </x:c>
      <x:c r="R1" s="13" t="str">
        <x:v>Observações do Beto</x:v>
      </x:c>
      <x:c r="S1" s="13" t="str">
        <x:v>Síntese da conversa Vini &amp; Beto</x:v>
      </x:c>
      <x:c r="T1" s="13" t="str">
        <x:v>Próxima ação / ponto de atenção</x:v>
      </x:c>
    </x:row>
    <x:row r="2">
      <x:c r="A2" s="42" t="str">
        <x:v>Alisson</x:v>
      </x:c>
      <x:c r="B2" s="42" t="n">
        <x:v>2026</x:v>
      </x:c>
      <x:c r="C2" s="42" t="str">
        <x:v>T1</x:v>
      </x:c>
      <x:c r="D2" s="44" t="n">
        <x:v>46112</x:v>
      </x:c>
      <x:c r="E2" s="42" t="str">
        <x:v>Goleiro</x:v>
      </x:c>
      <x:c r="F2" s="42" t="str">
        <x:v>Liverpool FC</x:v>
      </x:c>
      <x:c r="G2" s="46"/>
      <x:c r="H2" s="46"/>
      <x:c r="I2" s="46"/>
      <x:c r="J2" s="46"/>
      <x:c r="K2" s="46" t="str">
        <x:f>IF(COUNT(G2,I2)=0,"",AVERAGE(G2,I2))</x:f>
      </x:c>
      <x:c r="L2" s="46" t="str">
        <x:f>IF(COUNT(H2,J2)=0,"",AVERAGE(H2,J2))</x:f>
      </x:c>
      <x:c r="M2" s="46" t="str">
        <x:f>IF(OR(K2="",L2=""),"",L2-K2)</x:f>
      </x:c>
      <x:c r="N2" s="46" t="str">
        <x:f>IF(OR(K2="",A1&lt;&gt;A2,K1=""),"",K2-K1)</x:f>
      </x:c>
      <x:c r="O2" s="42" t="str">
        <x:v>Sem informação</x:v>
      </x:c>
      <x:c r="P2" s="42"/>
      <x:c r="Q2" s="42" t="str"/>
      <x:c r="R2" s="42" t="str"/>
      <x:c r="S2" s="42" t="str"/>
      <x:c r="T2" s="42" t="str"/>
    </x:row>
    <x:row r="3">
      <x:c r="A3" s="42" t="str">
        <x:v>Alisson</x:v>
      </x:c>
      <x:c r="B3" s="42" t="n">
        <x:v>2026</x:v>
      </x:c>
      <x:c r="C3" s="42" t="str">
        <x:v>T2</x:v>
      </x:c>
      <x:c r="D3" s="44" t="n">
        <x:v>46203</x:v>
      </x:c>
      <x:c r="E3" s="42" t="str">
        <x:v>Goleiro</x:v>
      </x:c>
      <x:c r="F3" s="42" t="str">
        <x:v>Liverpool FC</x:v>
      </x:c>
      <x:c r="G3" s="46" t="n">
        <x:v>7.5</x:v>
      </x:c>
      <x:c r="H3" s="46" t="n">
        <x:v>6.5</x:v>
      </x:c>
      <x:c r="I3" s="46" t="n">
        <x:v>7.5</x:v>
      </x:c>
      <x:c r="J3" s="46" t="n">
        <x:v>6.5</x:v>
      </x:c>
      <x:c r="K3" s="46" t="n">
        <x:f>IF(COUNT(G3,I3)=0,"",AVERAGE(G3,I3))</x:f>
        <x:v>7.5</x:v>
      </x:c>
      <x:c r="L3" s="46" t="n">
        <x:f>IF(COUNT(H3,J3)=0,"",AVERAGE(H3,J3))</x:f>
        <x:v>6.5</x:v>
      </x:c>
      <x:c r="M3" s="46" t="n">
        <x:f>IF(OR(K3="",L3=""),"",L3-K3)</x:f>
        <x:v>-1</x:v>
      </x:c>
      <x:c r="N3" s="46" t="str">
        <x:f>IF(OR(K3="",A2&lt;&gt;A3,K2=""),"",K3-K2)</x:f>
      </x:c>
      <x:c r="O3" s="42" t="str">
        <x:v>Sem informação</x:v>
      </x:c>
      <x:c r="P3" s="42"/>
      <x:c r="Q3" s="42" t="str">
        <x:v>O problema do Brasil nunca esteve no gol e o Alisson é o motivo. Ainda pode jogar outra Copa se mantiver o cuidado físico e números de jogos importantes.</x:v>
      </x:c>
      <x:c r="R3" s="42" t="str">
        <x:v>Top 5 melhores goleiros do mundo HOJE</x:v>
      </x:c>
      <x:c r="S3" s="42" t="str"/>
      <x:c r="T3" s="42" t="str"/>
    </x:row>
    <x:row r="4">
      <x:c r="A4" s="42" t="str">
        <x:v>Alisson</x:v>
      </x:c>
      <x:c r="B4" s="42" t="n">
        <x:v>2026</x:v>
      </x:c>
      <x:c r="C4" s="42" t="str">
        <x:v>T3</x:v>
      </x:c>
      <x:c r="D4" s="44" t="n">
        <x:v>46295</x:v>
      </x:c>
      <x:c r="E4" s="42" t="str">
        <x:v>Goleiro</x:v>
      </x:c>
      <x:c r="F4" s="42" t="str">
        <x:v>Liverpool FC</x:v>
      </x:c>
      <x:c r="G4" s="46"/>
      <x:c r="H4" s="46"/>
      <x:c r="I4" s="46"/>
      <x:c r="J4" s="46"/>
      <x:c r="K4" s="46" t="str">
        <x:f>IF(COUNT(G4,I4)=0,"",AVERAGE(G4,I4))</x:f>
      </x:c>
      <x:c r="L4" s="46" t="str">
        <x:f>IF(COUNT(H4,J4)=0,"",AVERAGE(H4,J4))</x:f>
      </x:c>
      <x:c r="M4" s="46" t="str">
        <x:f>IF(OR(K4="",L4=""),"",L4-K4)</x:f>
      </x:c>
      <x:c r="N4" s="46" t="str">
        <x:f>IF(OR(K4="",A3&lt;&gt;A4,K3=""),"",K4-K3)</x:f>
      </x:c>
      <x:c r="O4" s="42" t="str">
        <x:v>Sem informação</x:v>
      </x:c>
      <x:c r="P4" s="42"/>
      <x:c r="Q4" s="42" t="str"/>
      <x:c r="R4" s="42" t="str"/>
      <x:c r="S4" s="42" t="str"/>
      <x:c r="T4" s="42" t="str"/>
    </x:row>
    <x:row r="5">
      <x:c r="A5" s="42" t="str">
        <x:v>Alisson</x:v>
      </x:c>
      <x:c r="B5" s="42" t="n">
        <x:v>2026</x:v>
      </x:c>
      <x:c r="C5" s="42" t="str">
        <x:v>T4</x:v>
      </x:c>
      <x:c r="D5" s="44" t="n">
        <x:v>46387</x:v>
      </x:c>
      <x:c r="E5" s="42" t="str">
        <x:v>Goleiro</x:v>
      </x:c>
      <x:c r="F5" s="42" t="str">
        <x:v>Liverpool FC</x:v>
      </x:c>
      <x:c r="G5" s="46"/>
      <x:c r="H5" s="46"/>
      <x:c r="I5" s="46"/>
      <x:c r="J5" s="46"/>
      <x:c r="K5" s="46" t="str">
        <x:f>IF(COUNT(G5,I5)=0,"",AVERAGE(G5,I5))</x:f>
      </x:c>
      <x:c r="L5" s="46" t="str">
        <x:f>IF(COUNT(H5,J5)=0,"",AVERAGE(H5,J5))</x:f>
      </x:c>
      <x:c r="M5" s="46" t="str">
        <x:f>IF(OR(K5="",L5=""),"",L5-K5)</x:f>
      </x:c>
      <x:c r="N5" s="46" t="str">
        <x:f>IF(OR(K5="",A4&lt;&gt;A5,K4=""),"",K5-K4)</x:f>
      </x:c>
      <x:c r="O5" s="42" t="str">
        <x:v>Sem informação</x:v>
      </x:c>
      <x:c r="P5" s="42"/>
      <x:c r="Q5" s="42" t="str"/>
      <x:c r="R5" s="42" t="str"/>
      <x:c r="S5" s="42" t="str"/>
      <x:c r="T5" s="42" t="str"/>
    </x:row>
    <x:row r="6">
      <x:c r="A6" s="42" t="str">
        <x:v>Alisson</x:v>
      </x:c>
      <x:c r="B6" s="42" t="n">
        <x:v>2027</x:v>
      </x:c>
      <x:c r="C6" s="42" t="str">
        <x:v>T1</x:v>
      </x:c>
      <x:c r="D6" s="44" t="n">
        <x:v>46477</x:v>
      </x:c>
      <x:c r="E6" s="42" t="str">
        <x:v>Goleiro</x:v>
      </x:c>
      <x:c r="F6" s="42" t="str">
        <x:v>Liverpool FC</x:v>
      </x:c>
      <x:c r="G6" s="46"/>
      <x:c r="H6" s="46"/>
      <x:c r="I6" s="46"/>
      <x:c r="J6" s="46"/>
      <x:c r="K6" s="46" t="str">
        <x:f>IF(COUNT(G6,I6)=0,"",AVERAGE(G6,I6))</x:f>
      </x:c>
      <x:c r="L6" s="46" t="str">
        <x:f>IF(COUNT(H6,J6)=0,"",AVERAGE(H6,J6))</x:f>
      </x:c>
      <x:c r="M6" s="46" t="str">
        <x:f>IF(OR(K6="",L6=""),"",L6-K6)</x:f>
      </x:c>
      <x:c r="N6" s="46" t="str">
        <x:f>IF(OR(K6="",A5&lt;&gt;A6,K5=""),"",K6-K5)</x:f>
      </x:c>
      <x:c r="O6" s="42" t="str">
        <x:v>Sem informação</x:v>
      </x:c>
      <x:c r="P6" s="42"/>
      <x:c r="Q6" s="42" t="str"/>
      <x:c r="R6" s="42" t="str"/>
      <x:c r="S6" s="42" t="str"/>
      <x:c r="T6" s="42" t="str"/>
    </x:row>
    <x:row r="7">
      <x:c r="A7" s="42" t="str">
        <x:v>Alisson</x:v>
      </x:c>
      <x:c r="B7" s="42" t="n">
        <x:v>2027</x:v>
      </x:c>
      <x:c r="C7" s="42" t="str">
        <x:v>T2</x:v>
      </x:c>
      <x:c r="D7" s="44" t="n">
        <x:v>46568</x:v>
      </x:c>
      <x:c r="E7" s="42" t="str">
        <x:v>Goleiro</x:v>
      </x:c>
      <x:c r="F7" s="42" t="str">
        <x:v>Liverpool FC</x:v>
      </x:c>
      <x:c r="G7" s="46"/>
      <x:c r="H7" s="46"/>
      <x:c r="I7" s="46"/>
      <x:c r="J7" s="46"/>
      <x:c r="K7" s="46" t="str">
        <x:f>IF(COUNT(G7,I7)=0,"",AVERAGE(G7,I7))</x:f>
      </x:c>
      <x:c r="L7" s="46" t="str">
        <x:f>IF(COUNT(H7,J7)=0,"",AVERAGE(H7,J7))</x:f>
      </x:c>
      <x:c r="M7" s="46" t="str">
        <x:f>IF(OR(K7="",L7=""),"",L7-K7)</x:f>
      </x:c>
      <x:c r="N7" s="46" t="str">
        <x:f>IF(OR(K7="",A6&lt;&gt;A7,K6=""),"",K7-K6)</x:f>
      </x:c>
      <x:c r="O7" s="42" t="str">
        <x:v>Sem informação</x:v>
      </x:c>
      <x:c r="P7" s="42"/>
      <x:c r="Q7" s="42" t="str"/>
      <x:c r="R7" s="42" t="str"/>
      <x:c r="S7" s="42" t="str"/>
      <x:c r="T7" s="42" t="str"/>
    </x:row>
    <x:row r="8">
      <x:c r="A8" s="42" t="str">
        <x:v>Alisson</x:v>
      </x:c>
      <x:c r="B8" s="42" t="n">
        <x:v>2027</x:v>
      </x:c>
      <x:c r="C8" s="42" t="str">
        <x:v>T3</x:v>
      </x:c>
      <x:c r="D8" s="44" t="n">
        <x:v>46660</x:v>
      </x:c>
      <x:c r="E8" s="42" t="str">
        <x:v>Goleiro</x:v>
      </x:c>
      <x:c r="F8" s="42" t="str">
        <x:v>Liverpool FC</x:v>
      </x:c>
      <x:c r="G8" s="46"/>
      <x:c r="H8" s="46"/>
      <x:c r="I8" s="46"/>
      <x:c r="J8" s="46"/>
      <x:c r="K8" s="46" t="str">
        <x:f>IF(COUNT(G8,I8)=0,"",AVERAGE(G8,I8))</x:f>
      </x:c>
      <x:c r="L8" s="46" t="str">
        <x:f>IF(COUNT(H8,J8)=0,"",AVERAGE(H8,J8))</x:f>
      </x:c>
      <x:c r="M8" s="46" t="str">
        <x:f>IF(OR(K8="",L8=""),"",L8-K8)</x:f>
      </x:c>
      <x:c r="N8" s="46" t="str">
        <x:f>IF(OR(K8="",A7&lt;&gt;A8,K7=""),"",K8-K7)</x:f>
      </x:c>
      <x:c r="O8" s="42" t="str">
        <x:v>Sem informação</x:v>
      </x:c>
      <x:c r="P8" s="42"/>
      <x:c r="Q8" s="42" t="str"/>
      <x:c r="R8" s="42" t="str"/>
      <x:c r="S8" s="42" t="str"/>
      <x:c r="T8" s="42" t="str"/>
    </x:row>
    <x:row r="9">
      <x:c r="A9" s="42" t="str">
        <x:v>Alisson</x:v>
      </x:c>
      <x:c r="B9" s="42" t="n">
        <x:v>2027</x:v>
      </x:c>
      <x:c r="C9" s="42" t="str">
        <x:v>T4</x:v>
      </x:c>
      <x:c r="D9" s="44" t="n">
        <x:v>46752</x:v>
      </x:c>
      <x:c r="E9" s="42" t="str">
        <x:v>Goleiro</x:v>
      </x:c>
      <x:c r="F9" s="42" t="str">
        <x:v>Liverpool FC</x:v>
      </x:c>
      <x:c r="G9" s="46"/>
      <x:c r="H9" s="46"/>
      <x:c r="I9" s="46"/>
      <x:c r="J9" s="46"/>
      <x:c r="K9" s="46" t="str">
        <x:f>IF(COUNT(G9,I9)=0,"",AVERAGE(G9,I9))</x:f>
      </x:c>
      <x:c r="L9" s="46" t="str">
        <x:f>IF(COUNT(H9,J9)=0,"",AVERAGE(H9,J9))</x:f>
      </x:c>
      <x:c r="M9" s="46" t="str">
        <x:f>IF(OR(K9="",L9=""),"",L9-K9)</x:f>
      </x:c>
      <x:c r="N9" s="46" t="str">
        <x:f>IF(OR(K9="",A8&lt;&gt;A9,K8=""),"",K9-K8)</x:f>
      </x:c>
      <x:c r="O9" s="42" t="str">
        <x:v>Sem informação</x:v>
      </x:c>
      <x:c r="P9" s="42"/>
      <x:c r="Q9" s="42" t="str"/>
      <x:c r="R9" s="42" t="str"/>
      <x:c r="S9" s="42" t="str"/>
      <x:c r="T9" s="42" t="str"/>
    </x:row>
    <x:row r="10">
      <x:c r="A10" s="42" t="str">
        <x:v>Alisson</x:v>
      </x:c>
      <x:c r="B10" s="42" t="n">
        <x:v>2028</x:v>
      </x:c>
      <x:c r="C10" s="42" t="str">
        <x:v>T1</x:v>
      </x:c>
      <x:c r="D10" s="44" t="n">
        <x:v>46843</x:v>
      </x:c>
      <x:c r="E10" s="42" t="str">
        <x:v>Goleiro</x:v>
      </x:c>
      <x:c r="F10" s="42" t="str">
        <x:v>Liverpool FC</x:v>
      </x:c>
      <x:c r="G10" s="46"/>
      <x:c r="H10" s="46"/>
      <x:c r="I10" s="46"/>
      <x:c r="J10" s="46"/>
      <x:c r="K10" s="46" t="str">
        <x:f>IF(COUNT(G10,I10)=0,"",AVERAGE(G10,I10))</x:f>
      </x:c>
      <x:c r="L10" s="46" t="str">
        <x:f>IF(COUNT(H10,J10)=0,"",AVERAGE(H10,J10))</x:f>
      </x:c>
      <x:c r="M10" s="46" t="str">
        <x:f>IF(OR(K10="",L10=""),"",L10-K10)</x:f>
      </x:c>
      <x:c r="N10" s="46" t="str">
        <x:f>IF(OR(K10="",A9&lt;&gt;A10,K9=""),"",K10-K9)</x:f>
      </x:c>
      <x:c r="O10" s="42" t="str">
        <x:v>Sem informação</x:v>
      </x:c>
      <x:c r="P10" s="42"/>
      <x:c r="Q10" s="42" t="str"/>
      <x:c r="R10" s="42" t="str"/>
      <x:c r="S10" s="42" t="str"/>
      <x:c r="T10" s="42" t="str"/>
    </x:row>
    <x:row r="11">
      <x:c r="A11" s="42" t="str">
        <x:v>Alisson</x:v>
      </x:c>
      <x:c r="B11" s="42" t="n">
        <x:v>2028</x:v>
      </x:c>
      <x:c r="C11" s="42" t="str">
        <x:v>T2</x:v>
      </x:c>
      <x:c r="D11" s="44" t="n">
        <x:v>46934</x:v>
      </x:c>
      <x:c r="E11" s="42" t="str">
        <x:v>Goleiro</x:v>
      </x:c>
      <x:c r="F11" s="42" t="str">
        <x:v>Liverpool FC</x:v>
      </x:c>
      <x:c r="G11" s="46"/>
      <x:c r="H11" s="46"/>
      <x:c r="I11" s="46"/>
      <x:c r="J11" s="46"/>
      <x:c r="K11" s="46" t="str">
        <x:f>IF(COUNT(G11,I11)=0,"",AVERAGE(G11,I11))</x:f>
      </x:c>
      <x:c r="L11" s="46" t="str">
        <x:f>IF(COUNT(H11,J11)=0,"",AVERAGE(H11,J11))</x:f>
      </x:c>
      <x:c r="M11" s="46" t="str">
        <x:f>IF(OR(K11="",L11=""),"",L11-K11)</x:f>
      </x:c>
      <x:c r="N11" s="46" t="str">
        <x:f>IF(OR(K11="",A10&lt;&gt;A11,K10=""),"",K11-K10)</x:f>
      </x:c>
      <x:c r="O11" s="42" t="str">
        <x:v>Sem informação</x:v>
      </x:c>
      <x:c r="P11" s="42"/>
      <x:c r="Q11" s="42" t="str"/>
      <x:c r="R11" s="42" t="str"/>
      <x:c r="S11" s="42" t="str"/>
      <x:c r="T11" s="42" t="str"/>
    </x:row>
    <x:row r="12">
      <x:c r="A12" s="42" t="str">
        <x:v>Alisson</x:v>
      </x:c>
      <x:c r="B12" s="42" t="n">
        <x:v>2028</x:v>
      </x:c>
      <x:c r="C12" s="42" t="str">
        <x:v>T3</x:v>
      </x:c>
      <x:c r="D12" s="44" t="n">
        <x:v>47026</x:v>
      </x:c>
      <x:c r="E12" s="42" t="str">
        <x:v>Goleiro</x:v>
      </x:c>
      <x:c r="F12" s="42" t="str">
        <x:v>Liverpool FC</x:v>
      </x:c>
      <x:c r="G12" s="46"/>
      <x:c r="H12" s="46"/>
      <x:c r="I12" s="46"/>
      <x:c r="J12" s="46"/>
      <x:c r="K12" s="46" t="str">
        <x:f>IF(COUNT(G12,I12)=0,"",AVERAGE(G12,I12))</x:f>
      </x:c>
      <x:c r="L12" s="46" t="str">
        <x:f>IF(COUNT(H12,J12)=0,"",AVERAGE(H12,J12))</x:f>
      </x:c>
      <x:c r="M12" s="46" t="str">
        <x:f>IF(OR(K12="",L12=""),"",L12-K12)</x:f>
      </x:c>
      <x:c r="N12" s="46" t="str">
        <x:f>IF(OR(K12="",A11&lt;&gt;A12,K11=""),"",K12-K11)</x:f>
      </x:c>
      <x:c r="O12" s="42" t="str">
        <x:v>Sem informação</x:v>
      </x:c>
      <x:c r="P12" s="42"/>
      <x:c r="Q12" s="42" t="str"/>
      <x:c r="R12" s="42" t="str"/>
      <x:c r="S12" s="42" t="str"/>
      <x:c r="T12" s="42" t="str"/>
    </x:row>
    <x:row r="13">
      <x:c r="A13" s="42" t="str">
        <x:v>Alisson</x:v>
      </x:c>
      <x:c r="B13" s="42" t="n">
        <x:v>2028</x:v>
      </x:c>
      <x:c r="C13" s="42" t="str">
        <x:v>T4</x:v>
      </x:c>
      <x:c r="D13" s="44" t="n">
        <x:v>47118</x:v>
      </x:c>
      <x:c r="E13" s="42" t="str">
        <x:v>Goleiro</x:v>
      </x:c>
      <x:c r="F13" s="42" t="str">
        <x:v>Liverpool FC</x:v>
      </x:c>
      <x:c r="G13" s="46"/>
      <x:c r="H13" s="46"/>
      <x:c r="I13" s="46"/>
      <x:c r="J13" s="46"/>
      <x:c r="K13" s="46" t="str">
        <x:f>IF(COUNT(G13,I13)=0,"",AVERAGE(G13,I13))</x:f>
      </x:c>
      <x:c r="L13" s="46" t="str">
        <x:f>IF(COUNT(H13,J13)=0,"",AVERAGE(H13,J13))</x:f>
      </x:c>
      <x:c r="M13" s="46" t="str">
        <x:f>IF(OR(K13="",L13=""),"",L13-K13)</x:f>
      </x:c>
      <x:c r="N13" s="46" t="str">
        <x:f>IF(OR(K13="",A12&lt;&gt;A13,K12=""),"",K13-K12)</x:f>
      </x:c>
      <x:c r="O13" s="42" t="str">
        <x:v>Sem informação</x:v>
      </x:c>
      <x:c r="P13" s="42"/>
      <x:c r="Q13" s="42" t="str"/>
      <x:c r="R13" s="42" t="str"/>
      <x:c r="S13" s="42" t="str"/>
      <x:c r="T13" s="42" t="str"/>
    </x:row>
    <x:row r="14">
      <x:c r="A14" s="42" t="str">
        <x:v>Alisson</x:v>
      </x:c>
      <x:c r="B14" s="42" t="n">
        <x:v>2029</x:v>
      </x:c>
      <x:c r="C14" s="42" t="str">
        <x:v>T1</x:v>
      </x:c>
      <x:c r="D14" s="44" t="n">
        <x:v>47208</x:v>
      </x:c>
      <x:c r="E14" s="42" t="str">
        <x:v>Goleiro</x:v>
      </x:c>
      <x:c r="F14" s="42" t="str">
        <x:v>Liverpool FC</x:v>
      </x:c>
      <x:c r="G14" s="46"/>
      <x:c r="H14" s="46"/>
      <x:c r="I14" s="46"/>
      <x:c r="J14" s="46"/>
      <x:c r="K14" s="46" t="str">
        <x:f>IF(COUNT(G14,I14)=0,"",AVERAGE(G14,I14))</x:f>
      </x:c>
      <x:c r="L14" s="46" t="str">
        <x:f>IF(COUNT(H14,J14)=0,"",AVERAGE(H14,J14))</x:f>
      </x:c>
      <x:c r="M14" s="46" t="str">
        <x:f>IF(OR(K14="",L14=""),"",L14-K14)</x:f>
      </x:c>
      <x:c r="N14" s="46" t="str">
        <x:f>IF(OR(K14="",A13&lt;&gt;A14,K13=""),"",K14-K13)</x:f>
      </x:c>
      <x:c r="O14" s="42" t="str">
        <x:v>Sem informação</x:v>
      </x:c>
      <x:c r="P14" s="42"/>
      <x:c r="Q14" s="42" t="str"/>
      <x:c r="R14" s="42" t="str"/>
      <x:c r="S14" s="42" t="str"/>
      <x:c r="T14" s="42" t="str"/>
    </x:row>
    <x:row r="15">
      <x:c r="A15" s="42" t="str">
        <x:v>Alisson</x:v>
      </x:c>
      <x:c r="B15" s="42" t="n">
        <x:v>2029</x:v>
      </x:c>
      <x:c r="C15" s="42" t="str">
        <x:v>T2</x:v>
      </x:c>
      <x:c r="D15" s="44" t="n">
        <x:v>47299</x:v>
      </x:c>
      <x:c r="E15" s="42" t="str">
        <x:v>Goleiro</x:v>
      </x:c>
      <x:c r="F15" s="42" t="str">
        <x:v>Liverpool FC</x:v>
      </x:c>
      <x:c r="G15" s="46"/>
      <x:c r="H15" s="46"/>
      <x:c r="I15" s="46"/>
      <x:c r="J15" s="46"/>
      <x:c r="K15" s="46" t="str">
        <x:f>IF(COUNT(G15,I15)=0,"",AVERAGE(G15,I15))</x:f>
      </x:c>
      <x:c r="L15" s="46" t="str">
        <x:f>IF(COUNT(H15,J15)=0,"",AVERAGE(H15,J15))</x:f>
      </x:c>
      <x:c r="M15" s="46" t="str">
        <x:f>IF(OR(K15="",L15=""),"",L15-K15)</x:f>
      </x:c>
      <x:c r="N15" s="46" t="str">
        <x:f>IF(OR(K15="",A14&lt;&gt;A15,K14=""),"",K15-K14)</x:f>
      </x:c>
      <x:c r="O15" s="42" t="str">
        <x:v>Sem informação</x:v>
      </x:c>
      <x:c r="P15" s="42"/>
      <x:c r="Q15" s="42" t="str"/>
      <x:c r="R15" s="42" t="str"/>
      <x:c r="S15" s="42" t="str"/>
      <x:c r="T15" s="42" t="str"/>
    </x:row>
    <x:row r="16">
      <x:c r="A16" s="42" t="str">
        <x:v>Alisson</x:v>
      </x:c>
      <x:c r="B16" s="42" t="n">
        <x:v>2029</x:v>
      </x:c>
      <x:c r="C16" s="42" t="str">
        <x:v>T3</x:v>
      </x:c>
      <x:c r="D16" s="44" t="n">
        <x:v>47391</x:v>
      </x:c>
      <x:c r="E16" s="42" t="str">
        <x:v>Goleiro</x:v>
      </x:c>
      <x:c r="F16" s="42" t="str">
        <x:v>Liverpool FC</x:v>
      </x:c>
      <x:c r="G16" s="46"/>
      <x:c r="H16" s="46"/>
      <x:c r="I16" s="46"/>
      <x:c r="J16" s="46"/>
      <x:c r="K16" s="46" t="str">
        <x:f>IF(COUNT(G16,I16)=0,"",AVERAGE(G16,I16))</x:f>
      </x:c>
      <x:c r="L16" s="46" t="str">
        <x:f>IF(COUNT(H16,J16)=0,"",AVERAGE(H16,J16))</x:f>
      </x:c>
      <x:c r="M16" s="46" t="str">
        <x:f>IF(OR(K16="",L16=""),"",L16-K16)</x:f>
      </x:c>
      <x:c r="N16" s="46" t="str">
        <x:f>IF(OR(K16="",A15&lt;&gt;A16,K15=""),"",K16-K15)</x:f>
      </x:c>
      <x:c r="O16" s="42" t="str">
        <x:v>Sem informação</x:v>
      </x:c>
      <x:c r="P16" s="42"/>
      <x:c r="Q16" s="42" t="str"/>
      <x:c r="R16" s="42" t="str"/>
      <x:c r="S16" s="42" t="str"/>
      <x:c r="T16" s="42" t="str"/>
    </x:row>
    <x:row r="17">
      <x:c r="A17" s="42" t="str">
        <x:v>Alisson</x:v>
      </x:c>
      <x:c r="B17" s="42" t="n">
        <x:v>2029</x:v>
      </x:c>
      <x:c r="C17" s="42" t="str">
        <x:v>T4</x:v>
      </x:c>
      <x:c r="D17" s="44" t="n">
        <x:v>47483</x:v>
      </x:c>
      <x:c r="E17" s="42" t="str">
        <x:v>Goleiro</x:v>
      </x:c>
      <x:c r="F17" s="42" t="str">
        <x:v>Liverpool FC</x:v>
      </x:c>
      <x:c r="G17" s="46"/>
      <x:c r="H17" s="46"/>
      <x:c r="I17" s="46"/>
      <x:c r="J17" s="46"/>
      <x:c r="K17" s="46" t="str">
        <x:f>IF(COUNT(G17,I17)=0,"",AVERAGE(G17,I17))</x:f>
      </x:c>
      <x:c r="L17" s="46" t="str">
        <x:f>IF(COUNT(H17,J17)=0,"",AVERAGE(H17,J17))</x:f>
      </x:c>
      <x:c r="M17" s="46" t="str">
        <x:f>IF(OR(K17="",L17=""),"",L17-K17)</x:f>
      </x:c>
      <x:c r="N17" s="46" t="str">
        <x:f>IF(OR(K17="",A16&lt;&gt;A17,K16=""),"",K17-K16)</x:f>
      </x:c>
      <x:c r="O17" s="42" t="str">
        <x:v>Sem informação</x:v>
      </x:c>
      <x:c r="P17" s="42"/>
      <x:c r="Q17" s="42" t="str"/>
      <x:c r="R17" s="42" t="str"/>
      <x:c r="S17" s="42" t="str"/>
      <x:c r="T17" s="42" t="str"/>
    </x:row>
    <x:row r="18">
      <x:c r="A18" s="42" t="str">
        <x:v>Alisson</x:v>
      </x:c>
      <x:c r="B18" s="42" t="n">
        <x:v>2030</x:v>
      </x:c>
      <x:c r="C18" s="42" t="str">
        <x:v>T1</x:v>
      </x:c>
      <x:c r="D18" s="44" t="n">
        <x:v>47573</x:v>
      </x:c>
      <x:c r="E18" s="42" t="str">
        <x:v>Goleiro</x:v>
      </x:c>
      <x:c r="F18" s="42" t="str">
        <x:v>Liverpool FC</x:v>
      </x:c>
      <x:c r="G18" s="46"/>
      <x:c r="H18" s="46"/>
      <x:c r="I18" s="46"/>
      <x:c r="J18" s="46"/>
      <x:c r="K18" s="46" t="str">
        <x:f>IF(COUNT(G18,I18)=0,"",AVERAGE(G18,I18))</x:f>
      </x:c>
      <x:c r="L18" s="46" t="str">
        <x:f>IF(COUNT(H18,J18)=0,"",AVERAGE(H18,J18))</x:f>
      </x:c>
      <x:c r="M18" s="46" t="str">
        <x:f>IF(OR(K18="",L18=""),"",L18-K18)</x:f>
      </x:c>
      <x:c r="N18" s="46" t="str">
        <x:f>IF(OR(K18="",A17&lt;&gt;A18,K17=""),"",K18-K17)</x:f>
      </x:c>
      <x:c r="O18" s="42" t="str">
        <x:v>Sem informação</x:v>
      </x:c>
      <x:c r="P18" s="42"/>
      <x:c r="Q18" s="42" t="str"/>
      <x:c r="R18" s="42" t="str"/>
      <x:c r="S18" s="42" t="str"/>
      <x:c r="T18" s="42" t="str"/>
    </x:row>
    <x:row r="19">
      <x:c r="A19" s="42" t="str">
        <x:v>Alisson</x:v>
      </x:c>
      <x:c r="B19" s="42" t="n">
        <x:v>2030</x:v>
      </x:c>
      <x:c r="C19" s="42" t="str">
        <x:v>T2</x:v>
      </x:c>
      <x:c r="D19" s="44" t="n">
        <x:v>47664</x:v>
      </x:c>
      <x:c r="E19" s="42" t="str">
        <x:v>Goleiro</x:v>
      </x:c>
      <x:c r="F19" s="42" t="str">
        <x:v>Liverpool FC</x:v>
      </x:c>
      <x:c r="G19" s="46"/>
      <x:c r="H19" s="46"/>
      <x:c r="I19" s="46"/>
      <x:c r="J19" s="46"/>
      <x:c r="K19" s="46" t="str">
        <x:f>IF(COUNT(G19,I19)=0,"",AVERAGE(G19,I19))</x:f>
      </x:c>
      <x:c r="L19" s="46" t="str">
        <x:f>IF(COUNT(H19,J19)=0,"",AVERAGE(H19,J19))</x:f>
      </x:c>
      <x:c r="M19" s="46" t="str">
        <x:f>IF(OR(K19="",L19=""),"",L19-K19)</x:f>
      </x:c>
      <x:c r="N19" s="46" t="str">
        <x:f>IF(OR(K19="",A18&lt;&gt;A19,K18=""),"",K19-K18)</x:f>
      </x:c>
      <x:c r="O19" s="42" t="str">
        <x:v>Sem informação</x:v>
      </x:c>
      <x:c r="P19" s="42"/>
      <x:c r="Q19" s="42" t="str"/>
      <x:c r="R19" s="42" t="str"/>
      <x:c r="S19" s="42" t="str"/>
      <x:c r="T19" s="42" t="str"/>
    </x:row>
    <x:row r="20">
      <x:c r="A20" s="42" t="str">
        <x:v>Alisson</x:v>
      </x:c>
      <x:c r="B20" s="42" t="n">
        <x:v>2030</x:v>
      </x:c>
      <x:c r="C20" s="42" t="str">
        <x:v>T3</x:v>
      </x:c>
      <x:c r="D20" s="44" t="n">
        <x:v>47756</x:v>
      </x:c>
      <x:c r="E20" s="42" t="str">
        <x:v>Goleiro</x:v>
      </x:c>
      <x:c r="F20" s="42" t="str">
        <x:v>Liverpool FC</x:v>
      </x:c>
      <x:c r="G20" s="46"/>
      <x:c r="H20" s="46"/>
      <x:c r="I20" s="46"/>
      <x:c r="J20" s="46"/>
      <x:c r="K20" s="46" t="str">
        <x:f>IF(COUNT(G20,I20)=0,"",AVERAGE(G20,I20))</x:f>
      </x:c>
      <x:c r="L20" s="46" t="str">
        <x:f>IF(COUNT(H20,J20)=0,"",AVERAGE(H20,J20))</x:f>
      </x:c>
      <x:c r="M20" s="46" t="str">
        <x:f>IF(OR(K20="",L20=""),"",L20-K20)</x:f>
      </x:c>
      <x:c r="N20" s="46" t="str">
        <x:f>IF(OR(K20="",A19&lt;&gt;A20,K19=""),"",K20-K19)</x:f>
      </x:c>
      <x:c r="O20" s="42" t="str">
        <x:v>Sem informação</x:v>
      </x:c>
      <x:c r="P20" s="42"/>
      <x:c r="Q20" s="42" t="str"/>
      <x:c r="R20" s="42" t="str"/>
      <x:c r="S20" s="42" t="str"/>
      <x:c r="T20" s="42" t="str"/>
    </x:row>
    <x:row r="21">
      <x:c r="A21" s="42" t="str">
        <x:v>Alisson</x:v>
      </x:c>
      <x:c r="B21" s="42" t="n">
        <x:v>2030</x:v>
      </x:c>
      <x:c r="C21" s="42" t="str">
        <x:v>T4</x:v>
      </x:c>
      <x:c r="D21" s="44" t="n">
        <x:v>47848</x:v>
      </x:c>
      <x:c r="E21" s="42" t="str">
        <x:v>Goleiro</x:v>
      </x:c>
      <x:c r="F21" s="42" t="str">
        <x:v>Liverpool FC</x:v>
      </x:c>
      <x:c r="G21" s="46"/>
      <x:c r="H21" s="46"/>
      <x:c r="I21" s="46"/>
      <x:c r="J21" s="46"/>
      <x:c r="K21" s="46" t="str">
        <x:f>IF(COUNT(G21,I21)=0,"",AVERAGE(G21,I21))</x:f>
      </x:c>
      <x:c r="L21" s="46" t="str">
        <x:f>IF(COUNT(H21,J21)=0,"",AVERAGE(H21,J21))</x:f>
      </x:c>
      <x:c r="M21" s="46" t="str">
        <x:f>IF(OR(K21="",L21=""),"",L21-K21)</x:f>
      </x:c>
      <x:c r="N21" s="46" t="str">
        <x:f>IF(OR(K21="",A20&lt;&gt;A21,K20=""),"",K21-K20)</x:f>
      </x:c>
      <x:c r="O21" s="42" t="str">
        <x:v>Sem informação</x:v>
      </x:c>
      <x:c r="P21" s="42"/>
      <x:c r="Q21" s="42" t="str"/>
      <x:c r="R21" s="42" t="str"/>
      <x:c r="S21" s="42" t="str"/>
      <x:c r="T21" s="42" t="str"/>
    </x:row>
    <x:row r="22">
      <x:c r="A22" s="42" t="str">
        <x:v>Allan</x:v>
      </x:c>
      <x:c r="B22" s="42" t="n">
        <x:v>2026</x:v>
      </x:c>
      <x:c r="C22" s="42" t="str">
        <x:v>T1</x:v>
      </x:c>
      <x:c r="D22" s="44" t="n">
        <x:v>46112</x:v>
      </x:c>
      <x:c r="E22" s="42" t="str">
        <x:v>Ponta-direita</x:v>
      </x:c>
      <x:c r="F22" s="42" t="str">
        <x:v>SE Palmeiras</x:v>
      </x:c>
      <x:c r="G22" s="46"/>
      <x:c r="H22" s="46"/>
      <x:c r="I22" s="46"/>
      <x:c r="J22" s="46"/>
      <x:c r="K22" s="46" t="str">
        <x:f>IF(COUNT(G22,I22)=0,"",AVERAGE(G22,I22))</x:f>
      </x:c>
      <x:c r="L22" s="46" t="str">
        <x:f>IF(COUNT(H22,J22)=0,"",AVERAGE(H22,J22))</x:f>
      </x:c>
      <x:c r="M22" s="46" t="str">
        <x:f>IF(OR(K22="",L22=""),"",L22-K22)</x:f>
      </x:c>
      <x:c r="N22" s="46" t="str">
        <x:f>IF(OR(K22="",A21&lt;&gt;A22,K21=""),"",K22-K21)</x:f>
      </x:c>
      <x:c r="O22" s="42" t="str">
        <x:v>Sem informação</x:v>
      </x:c>
      <x:c r="P22" s="42"/>
      <x:c r="Q22" s="42" t="str"/>
      <x:c r="R22" s="42" t="str"/>
      <x:c r="S22" s="42" t="str"/>
      <x:c r="T22" s="42" t="str"/>
    </x:row>
    <x:row r="23">
      <x:c r="A23" s="42" t="str">
        <x:v>Allan</x:v>
      </x:c>
      <x:c r="B23" s="42" t="n">
        <x:v>2026</x:v>
      </x:c>
      <x:c r="C23" s="42" t="str">
        <x:v>T2</x:v>
      </x:c>
      <x:c r="D23" s="44" t="n">
        <x:v>46203</x:v>
      </x:c>
      <x:c r="E23" s="42" t="str">
        <x:v>Ponta-direita</x:v>
      </x:c>
      <x:c r="F23" s="42" t="str">
        <x:v>SE Palmeiras</x:v>
      </x:c>
      <x:c r="G23" s="46" t="n">
        <x:v>5.5</x:v>
      </x:c>
      <x:c r="H23" s="46" t="n">
        <x:v>7.5</x:v>
      </x:c>
      <x:c r="I23" s="46" t="n">
        <x:v>6.5</x:v>
      </x:c>
      <x:c r="J23" s="46" t="n">
        <x:v>8</x:v>
      </x:c>
      <x:c r="K23" s="46" t="n">
        <x:f>IF(COUNT(G23,I23)=0,"",AVERAGE(G23,I23))</x:f>
        <x:v>6</x:v>
      </x:c>
      <x:c r="L23" s="46" t="n">
        <x:f>IF(COUNT(H23,J23)=0,"",AVERAGE(H23,J23))</x:f>
        <x:v>7.75</x:v>
      </x:c>
      <x:c r="M23" s="46" t="n">
        <x:f>IF(OR(K23="",L23=""),"",L23-K23)</x:f>
        <x:v>1.75</x:v>
      </x:c>
      <x:c r="N23" s="46" t="str">
        <x:f>IF(OR(K23="",A22&lt;&gt;A23,K22=""),"",K23-K22)</x:f>
      </x:c>
      <x:c r="O23" s="42" t="str">
        <x:v>Sem informação</x:v>
      </x:c>
      <x:c r="P23" s="42"/>
      <x:c r="Q23" s="42" t="str"/>
      <x:c r="R23" s="42" t="str"/>
      <x:c r="S23" s="42" t="str"/>
      <x:c r="T23" s="42" t="str"/>
    </x:row>
    <x:row r="24">
      <x:c r="A24" s="42" t="str">
        <x:v>Allan</x:v>
      </x:c>
      <x:c r="B24" s="42" t="n">
        <x:v>2026</x:v>
      </x:c>
      <x:c r="C24" s="42" t="str">
        <x:v>T3</x:v>
      </x:c>
      <x:c r="D24" s="44" t="n">
        <x:v>46295</x:v>
      </x:c>
      <x:c r="E24" s="42" t="str">
        <x:v>Ponta-direita</x:v>
      </x:c>
      <x:c r="F24" s="42" t="str">
        <x:v>SE Palmeiras</x:v>
      </x:c>
      <x:c r="G24" s="46"/>
      <x:c r="H24" s="46"/>
      <x:c r="I24" s="46"/>
      <x:c r="J24" s="46"/>
      <x:c r="K24" s="46" t="str">
        <x:f>IF(COUNT(G24,I24)=0,"",AVERAGE(G24,I24))</x:f>
      </x:c>
      <x:c r="L24" s="46" t="str">
        <x:f>IF(COUNT(H24,J24)=0,"",AVERAGE(H24,J24))</x:f>
      </x:c>
      <x:c r="M24" s="46" t="str">
        <x:f>IF(OR(K24="",L24=""),"",L24-K24)</x:f>
      </x:c>
      <x:c r="N24" s="46" t="str">
        <x:f>IF(OR(K24="",A23&lt;&gt;A24,K23=""),"",K24-K23)</x:f>
      </x:c>
      <x:c r="O24" s="42" t="str">
        <x:v>Sem informação</x:v>
      </x:c>
      <x:c r="P24" s="42"/>
      <x:c r="Q24" s="42" t="str"/>
      <x:c r="R24" s="42" t="str"/>
      <x:c r="S24" s="42" t="str"/>
      <x:c r="T24" s="42" t="str"/>
    </x:row>
    <x:row r="25">
      <x:c r="A25" s="42" t="str">
        <x:v>Allan</x:v>
      </x:c>
      <x:c r="B25" s="42" t="n">
        <x:v>2026</x:v>
      </x:c>
      <x:c r="C25" s="42" t="str">
        <x:v>T4</x:v>
      </x:c>
      <x:c r="D25" s="44" t="n">
        <x:v>46387</x:v>
      </x:c>
      <x:c r="E25" s="42" t="str">
        <x:v>Ponta-direita</x:v>
      </x:c>
      <x:c r="F25" s="42" t="str">
        <x:v>SE Palmeiras</x:v>
      </x:c>
      <x:c r="G25" s="46"/>
      <x:c r="H25" s="46"/>
      <x:c r="I25" s="46"/>
      <x:c r="J25" s="46"/>
      <x:c r="K25" s="46" t="str">
        <x:f>IF(COUNT(G25,I25)=0,"",AVERAGE(G25,I25))</x:f>
      </x:c>
      <x:c r="L25" s="46" t="str">
        <x:f>IF(COUNT(H25,J25)=0,"",AVERAGE(H25,J25))</x:f>
      </x:c>
      <x:c r="M25" s="46" t="str">
        <x:f>IF(OR(K25="",L25=""),"",L25-K25)</x:f>
      </x:c>
      <x:c r="N25" s="46" t="str">
        <x:f>IF(OR(K25="",A24&lt;&gt;A25,K24=""),"",K25-K24)</x:f>
      </x:c>
      <x:c r="O25" s="42" t="str">
        <x:v>Sem informação</x:v>
      </x:c>
      <x:c r="P25" s="42"/>
      <x:c r="Q25" s="42" t="str"/>
      <x:c r="R25" s="42" t="str"/>
      <x:c r="S25" s="42" t="str"/>
      <x:c r="T25" s="42" t="str"/>
    </x:row>
    <x:row r="26">
      <x:c r="A26" s="42" t="str">
        <x:v>Allan</x:v>
      </x:c>
      <x:c r="B26" s="42" t="n">
        <x:v>2027</x:v>
      </x:c>
      <x:c r="C26" s="42" t="str">
        <x:v>T1</x:v>
      </x:c>
      <x:c r="D26" s="44" t="n">
        <x:v>46477</x:v>
      </x:c>
      <x:c r="E26" s="42" t="str">
        <x:v>Ponta-direita</x:v>
      </x:c>
      <x:c r="F26" s="42" t="str">
        <x:v>SE Palmeiras</x:v>
      </x:c>
      <x:c r="G26" s="46"/>
      <x:c r="H26" s="46"/>
      <x:c r="I26" s="46"/>
      <x:c r="J26" s="46"/>
      <x:c r="K26" s="46" t="str">
        <x:f>IF(COUNT(G26,I26)=0,"",AVERAGE(G26,I26))</x:f>
      </x:c>
      <x:c r="L26" s="46" t="str">
        <x:f>IF(COUNT(H26,J26)=0,"",AVERAGE(H26,J26))</x:f>
      </x:c>
      <x:c r="M26" s="46" t="str">
        <x:f>IF(OR(K26="",L26=""),"",L26-K26)</x:f>
      </x:c>
      <x:c r="N26" s="46" t="str">
        <x:f>IF(OR(K26="",A25&lt;&gt;A26,K25=""),"",K26-K25)</x:f>
      </x:c>
      <x:c r="O26" s="42" t="str">
        <x:v>Sem informação</x:v>
      </x:c>
      <x:c r="P26" s="42"/>
      <x:c r="Q26" s="42" t="str"/>
      <x:c r="R26" s="42" t="str"/>
      <x:c r="S26" s="42" t="str"/>
      <x:c r="T26" s="42" t="str"/>
    </x:row>
    <x:row r="27">
      <x:c r="A27" s="42" t="str">
        <x:v>Allan</x:v>
      </x:c>
      <x:c r="B27" s="42" t="n">
        <x:v>2027</x:v>
      </x:c>
      <x:c r="C27" s="42" t="str">
        <x:v>T2</x:v>
      </x:c>
      <x:c r="D27" s="44" t="n">
        <x:v>46568</x:v>
      </x:c>
      <x:c r="E27" s="42" t="str">
        <x:v>Ponta-direita</x:v>
      </x:c>
      <x:c r="F27" s="42" t="str">
        <x:v>SE Palmeiras</x:v>
      </x:c>
      <x:c r="G27" s="46"/>
      <x:c r="H27" s="46"/>
      <x:c r="I27" s="46"/>
      <x:c r="J27" s="46"/>
      <x:c r="K27" s="46" t="str">
        <x:f>IF(COUNT(G27,I27)=0,"",AVERAGE(G27,I27))</x:f>
      </x:c>
      <x:c r="L27" s="46" t="str">
        <x:f>IF(COUNT(H27,J27)=0,"",AVERAGE(H27,J27))</x:f>
      </x:c>
      <x:c r="M27" s="46" t="str">
        <x:f>IF(OR(K27="",L27=""),"",L27-K27)</x:f>
      </x:c>
      <x:c r="N27" s="46" t="str">
        <x:f>IF(OR(K27="",A26&lt;&gt;A27,K26=""),"",K27-K26)</x:f>
      </x:c>
      <x:c r="O27" s="42" t="str">
        <x:v>Sem informação</x:v>
      </x:c>
      <x:c r="P27" s="42"/>
      <x:c r="Q27" s="42" t="str"/>
      <x:c r="R27" s="42" t="str"/>
      <x:c r="S27" s="42" t="str"/>
      <x:c r="T27" s="42" t="str"/>
    </x:row>
    <x:row r="28">
      <x:c r="A28" s="42" t="str">
        <x:v>Allan</x:v>
      </x:c>
      <x:c r="B28" s="42" t="n">
        <x:v>2027</x:v>
      </x:c>
      <x:c r="C28" s="42" t="str">
        <x:v>T3</x:v>
      </x:c>
      <x:c r="D28" s="44" t="n">
        <x:v>46660</x:v>
      </x:c>
      <x:c r="E28" s="42" t="str">
        <x:v>Ponta-direita</x:v>
      </x:c>
      <x:c r="F28" s="42" t="str">
        <x:v>SE Palmeiras</x:v>
      </x:c>
      <x:c r="G28" s="46"/>
      <x:c r="H28" s="46"/>
      <x:c r="I28" s="46"/>
      <x:c r="J28" s="46"/>
      <x:c r="K28" s="46" t="str">
        <x:f>IF(COUNT(G28,I28)=0,"",AVERAGE(G28,I28))</x:f>
      </x:c>
      <x:c r="L28" s="46" t="str">
        <x:f>IF(COUNT(H28,J28)=0,"",AVERAGE(H28,J28))</x:f>
      </x:c>
      <x:c r="M28" s="46" t="str">
        <x:f>IF(OR(K28="",L28=""),"",L28-K28)</x:f>
      </x:c>
      <x:c r="N28" s="46" t="str">
        <x:f>IF(OR(K28="",A27&lt;&gt;A28,K27=""),"",K28-K27)</x:f>
      </x:c>
      <x:c r="O28" s="42" t="str">
        <x:v>Sem informação</x:v>
      </x:c>
      <x:c r="P28" s="42"/>
      <x:c r="Q28" s="42" t="str"/>
      <x:c r="R28" s="42" t="str"/>
      <x:c r="S28" s="42" t="str"/>
      <x:c r="T28" s="42" t="str"/>
    </x:row>
    <x:row r="29">
      <x:c r="A29" s="42" t="str">
        <x:v>Allan</x:v>
      </x:c>
      <x:c r="B29" s="42" t="n">
        <x:v>2027</x:v>
      </x:c>
      <x:c r="C29" s="42" t="str">
        <x:v>T4</x:v>
      </x:c>
      <x:c r="D29" s="44" t="n">
        <x:v>46752</x:v>
      </x:c>
      <x:c r="E29" s="42" t="str">
        <x:v>Ponta-direita</x:v>
      </x:c>
      <x:c r="F29" s="42" t="str">
        <x:v>SE Palmeiras</x:v>
      </x:c>
      <x:c r="G29" s="46"/>
      <x:c r="H29" s="46"/>
      <x:c r="I29" s="46"/>
      <x:c r="J29" s="46"/>
      <x:c r="K29" s="46" t="str">
        <x:f>IF(COUNT(G29,I29)=0,"",AVERAGE(G29,I29))</x:f>
      </x:c>
      <x:c r="L29" s="46" t="str">
        <x:f>IF(COUNT(H29,J29)=0,"",AVERAGE(H29,J29))</x:f>
      </x:c>
      <x:c r="M29" s="46" t="str">
        <x:f>IF(OR(K29="",L29=""),"",L29-K29)</x:f>
      </x:c>
      <x:c r="N29" s="46" t="str">
        <x:f>IF(OR(K29="",A28&lt;&gt;A29,K28=""),"",K29-K28)</x:f>
      </x:c>
      <x:c r="O29" s="42" t="str">
        <x:v>Sem informação</x:v>
      </x:c>
      <x:c r="P29" s="42"/>
      <x:c r="Q29" s="42" t="str"/>
      <x:c r="R29" s="42" t="str"/>
      <x:c r="S29" s="42" t="str"/>
      <x:c r="T29" s="42" t="str"/>
    </x:row>
    <x:row r="30">
      <x:c r="A30" s="42" t="str">
        <x:v>Allan</x:v>
      </x:c>
      <x:c r="B30" s="42" t="n">
        <x:v>2028</x:v>
      </x:c>
      <x:c r="C30" s="42" t="str">
        <x:v>T1</x:v>
      </x:c>
      <x:c r="D30" s="44" t="n">
        <x:v>46843</x:v>
      </x:c>
      <x:c r="E30" s="42" t="str">
        <x:v>Ponta-direita</x:v>
      </x:c>
      <x:c r="F30" s="42" t="str">
        <x:v>SE Palmeiras</x:v>
      </x:c>
      <x:c r="G30" s="46"/>
      <x:c r="H30" s="46"/>
      <x:c r="I30" s="46"/>
      <x:c r="J30" s="46"/>
      <x:c r="K30" s="46" t="str">
        <x:f>IF(COUNT(G30,I30)=0,"",AVERAGE(G30,I30))</x:f>
      </x:c>
      <x:c r="L30" s="46" t="str">
        <x:f>IF(COUNT(H30,J30)=0,"",AVERAGE(H30,J30))</x:f>
      </x:c>
      <x:c r="M30" s="46" t="str">
        <x:f>IF(OR(K30="",L30=""),"",L30-K30)</x:f>
      </x:c>
      <x:c r="N30" s="46" t="str">
        <x:f>IF(OR(K30="",A29&lt;&gt;A30,K29=""),"",K30-K29)</x:f>
      </x:c>
      <x:c r="O30" s="42" t="str">
        <x:v>Sem informação</x:v>
      </x:c>
      <x:c r="P30" s="42"/>
      <x:c r="Q30" s="42" t="str"/>
      <x:c r="R30" s="42" t="str"/>
      <x:c r="S30" s="42" t="str"/>
      <x:c r="T30" s="42" t="str"/>
    </x:row>
    <x:row r="31">
      <x:c r="A31" s="42" t="str">
        <x:v>Allan</x:v>
      </x:c>
      <x:c r="B31" s="42" t="n">
        <x:v>2028</x:v>
      </x:c>
      <x:c r="C31" s="42" t="str">
        <x:v>T2</x:v>
      </x:c>
      <x:c r="D31" s="44" t="n">
        <x:v>46934</x:v>
      </x:c>
      <x:c r="E31" s="42" t="str">
        <x:v>Ponta-direita</x:v>
      </x:c>
      <x:c r="F31" s="42" t="str">
        <x:v>SE Palmeiras</x:v>
      </x:c>
      <x:c r="G31" s="46"/>
      <x:c r="H31" s="46"/>
      <x:c r="I31" s="46"/>
      <x:c r="J31" s="46"/>
      <x:c r="K31" s="46" t="str">
        <x:f>IF(COUNT(G31,I31)=0,"",AVERAGE(G31,I31))</x:f>
      </x:c>
      <x:c r="L31" s="46" t="str">
        <x:f>IF(COUNT(H31,J31)=0,"",AVERAGE(H31,J31))</x:f>
      </x:c>
      <x:c r="M31" s="46" t="str">
        <x:f>IF(OR(K31="",L31=""),"",L31-K31)</x:f>
      </x:c>
      <x:c r="N31" s="46" t="str">
        <x:f>IF(OR(K31="",A30&lt;&gt;A31,K30=""),"",K31-K30)</x:f>
      </x:c>
      <x:c r="O31" s="42" t="str">
        <x:v>Sem informação</x:v>
      </x:c>
      <x:c r="P31" s="42"/>
      <x:c r="Q31" s="42" t="str"/>
      <x:c r="R31" s="42" t="str"/>
      <x:c r="S31" s="42" t="str"/>
      <x:c r="T31" s="42" t="str"/>
    </x:row>
    <x:row r="32">
      <x:c r="A32" s="42" t="str">
        <x:v>Allan</x:v>
      </x:c>
      <x:c r="B32" s="42" t="n">
        <x:v>2028</x:v>
      </x:c>
      <x:c r="C32" s="42" t="str">
        <x:v>T3</x:v>
      </x:c>
      <x:c r="D32" s="44" t="n">
        <x:v>47026</x:v>
      </x:c>
      <x:c r="E32" s="42" t="str">
        <x:v>Ponta-direita</x:v>
      </x:c>
      <x:c r="F32" s="42" t="str">
        <x:v>SE Palmeiras</x:v>
      </x:c>
      <x:c r="G32" s="46"/>
      <x:c r="H32" s="46"/>
      <x:c r="I32" s="46"/>
      <x:c r="J32" s="46"/>
      <x:c r="K32" s="46" t="str">
        <x:f>IF(COUNT(G32,I32)=0,"",AVERAGE(G32,I32))</x:f>
      </x:c>
      <x:c r="L32" s="46" t="str">
        <x:f>IF(COUNT(H32,J32)=0,"",AVERAGE(H32,J32))</x:f>
      </x:c>
      <x:c r="M32" s="46" t="str">
        <x:f>IF(OR(K32="",L32=""),"",L32-K32)</x:f>
      </x:c>
      <x:c r="N32" s="46" t="str">
        <x:f>IF(OR(K32="",A31&lt;&gt;A32,K31=""),"",K32-K31)</x:f>
      </x:c>
      <x:c r="O32" s="42" t="str">
        <x:v>Sem informação</x:v>
      </x:c>
      <x:c r="P32" s="42"/>
      <x:c r="Q32" s="42" t="str"/>
      <x:c r="R32" s="42" t="str"/>
      <x:c r="S32" s="42" t="str"/>
      <x:c r="T32" s="42" t="str"/>
    </x:row>
    <x:row r="33">
      <x:c r="A33" s="42" t="str">
        <x:v>Allan</x:v>
      </x:c>
      <x:c r="B33" s="42" t="n">
        <x:v>2028</x:v>
      </x:c>
      <x:c r="C33" s="42" t="str">
        <x:v>T4</x:v>
      </x:c>
      <x:c r="D33" s="44" t="n">
        <x:v>47118</x:v>
      </x:c>
      <x:c r="E33" s="42" t="str">
        <x:v>Ponta-direita</x:v>
      </x:c>
      <x:c r="F33" s="42" t="str">
        <x:v>SE Palmeiras</x:v>
      </x:c>
      <x:c r="G33" s="46"/>
      <x:c r="H33" s="46"/>
      <x:c r="I33" s="46"/>
      <x:c r="J33" s="46"/>
      <x:c r="K33" s="46" t="str">
        <x:f>IF(COUNT(G33,I33)=0,"",AVERAGE(G33,I33))</x:f>
      </x:c>
      <x:c r="L33" s="46" t="str">
        <x:f>IF(COUNT(H33,J33)=0,"",AVERAGE(H33,J33))</x:f>
      </x:c>
      <x:c r="M33" s="46" t="str">
        <x:f>IF(OR(K33="",L33=""),"",L33-K33)</x:f>
      </x:c>
      <x:c r="N33" s="46" t="str">
        <x:f>IF(OR(K33="",A32&lt;&gt;A33,K32=""),"",K33-K32)</x:f>
      </x:c>
      <x:c r="O33" s="42" t="str">
        <x:v>Sem informação</x:v>
      </x:c>
      <x:c r="P33" s="42"/>
      <x:c r="Q33" s="42" t="str"/>
      <x:c r="R33" s="42" t="str"/>
      <x:c r="S33" s="42" t="str"/>
      <x:c r="T33" s="42" t="str"/>
    </x:row>
    <x:row r="34">
      <x:c r="A34" s="42" t="str">
        <x:v>Allan</x:v>
      </x:c>
      <x:c r="B34" s="42" t="n">
        <x:v>2029</x:v>
      </x:c>
      <x:c r="C34" s="42" t="str">
        <x:v>T1</x:v>
      </x:c>
      <x:c r="D34" s="44" t="n">
        <x:v>47208</x:v>
      </x:c>
      <x:c r="E34" s="42" t="str">
        <x:v>Ponta-direita</x:v>
      </x:c>
      <x:c r="F34" s="42" t="str">
        <x:v>SE Palmeiras</x:v>
      </x:c>
      <x:c r="G34" s="46"/>
      <x:c r="H34" s="46"/>
      <x:c r="I34" s="46"/>
      <x:c r="J34" s="46"/>
      <x:c r="K34" s="46" t="str">
        <x:f>IF(COUNT(G34,I34)=0,"",AVERAGE(G34,I34))</x:f>
      </x:c>
      <x:c r="L34" s="46" t="str">
        <x:f>IF(COUNT(H34,J34)=0,"",AVERAGE(H34,J34))</x:f>
      </x:c>
      <x:c r="M34" s="46" t="str">
        <x:f>IF(OR(K34="",L34=""),"",L34-K34)</x:f>
      </x:c>
      <x:c r="N34" s="46" t="str">
        <x:f>IF(OR(K34="",A33&lt;&gt;A34,K33=""),"",K34-K33)</x:f>
      </x:c>
      <x:c r="O34" s="42" t="str">
        <x:v>Sem informação</x:v>
      </x:c>
      <x:c r="P34" s="42"/>
      <x:c r="Q34" s="42" t="str"/>
      <x:c r="R34" s="42" t="str"/>
      <x:c r="S34" s="42" t="str"/>
      <x:c r="T34" s="42" t="str"/>
    </x:row>
    <x:row r="35">
      <x:c r="A35" s="42" t="str">
        <x:v>Allan</x:v>
      </x:c>
      <x:c r="B35" s="42" t="n">
        <x:v>2029</x:v>
      </x:c>
      <x:c r="C35" s="42" t="str">
        <x:v>T2</x:v>
      </x:c>
      <x:c r="D35" s="44" t="n">
        <x:v>47299</x:v>
      </x:c>
      <x:c r="E35" s="42" t="str">
        <x:v>Ponta-direita</x:v>
      </x:c>
      <x:c r="F35" s="42" t="str">
        <x:v>SE Palmeiras</x:v>
      </x:c>
      <x:c r="G35" s="46"/>
      <x:c r="H35" s="46"/>
      <x:c r="I35" s="46"/>
      <x:c r="J35" s="46"/>
      <x:c r="K35" s="46" t="str">
        <x:f>IF(COUNT(G35,I35)=0,"",AVERAGE(G35,I35))</x:f>
      </x:c>
      <x:c r="L35" s="46" t="str">
        <x:f>IF(COUNT(H35,J35)=0,"",AVERAGE(H35,J35))</x:f>
      </x:c>
      <x:c r="M35" s="46" t="str">
        <x:f>IF(OR(K35="",L35=""),"",L35-K35)</x:f>
      </x:c>
      <x:c r="N35" s="46" t="str">
        <x:f>IF(OR(K35="",A34&lt;&gt;A35,K34=""),"",K35-K34)</x:f>
      </x:c>
      <x:c r="O35" s="42" t="str">
        <x:v>Sem informação</x:v>
      </x:c>
      <x:c r="P35" s="42"/>
      <x:c r="Q35" s="42" t="str"/>
      <x:c r="R35" s="42" t="str"/>
      <x:c r="S35" s="42" t="str"/>
      <x:c r="T35" s="42" t="str"/>
    </x:row>
    <x:row r="36">
      <x:c r="A36" s="42" t="str">
        <x:v>Allan</x:v>
      </x:c>
      <x:c r="B36" s="42" t="n">
        <x:v>2029</x:v>
      </x:c>
      <x:c r="C36" s="42" t="str">
        <x:v>T3</x:v>
      </x:c>
      <x:c r="D36" s="44" t="n">
        <x:v>47391</x:v>
      </x:c>
      <x:c r="E36" s="42" t="str">
        <x:v>Ponta-direita</x:v>
      </x:c>
      <x:c r="F36" s="42" t="str">
        <x:v>SE Palmeiras</x:v>
      </x:c>
      <x:c r="G36" s="46"/>
      <x:c r="H36" s="46"/>
      <x:c r="I36" s="46"/>
      <x:c r="J36" s="46"/>
      <x:c r="K36" s="46" t="str">
        <x:f>IF(COUNT(G36,I36)=0,"",AVERAGE(G36,I36))</x:f>
      </x:c>
      <x:c r="L36" s="46" t="str">
        <x:f>IF(COUNT(H36,J36)=0,"",AVERAGE(H36,J36))</x:f>
      </x:c>
      <x:c r="M36" s="46" t="str">
        <x:f>IF(OR(K36="",L36=""),"",L36-K36)</x:f>
      </x:c>
      <x:c r="N36" s="46" t="str">
        <x:f>IF(OR(K36="",A35&lt;&gt;A36,K35=""),"",K36-K35)</x:f>
      </x:c>
      <x:c r="O36" s="42" t="str">
        <x:v>Sem informação</x:v>
      </x:c>
      <x:c r="P36" s="42"/>
      <x:c r="Q36" s="42" t="str"/>
      <x:c r="R36" s="42" t="str"/>
      <x:c r="S36" s="42" t="str"/>
      <x:c r="T36" s="42" t="str"/>
    </x:row>
    <x:row r="37">
      <x:c r="A37" s="42" t="str">
        <x:v>Allan</x:v>
      </x:c>
      <x:c r="B37" s="42" t="n">
        <x:v>2029</x:v>
      </x:c>
      <x:c r="C37" s="42" t="str">
        <x:v>T4</x:v>
      </x:c>
      <x:c r="D37" s="44" t="n">
        <x:v>47483</x:v>
      </x:c>
      <x:c r="E37" s="42" t="str">
        <x:v>Ponta-direita</x:v>
      </x:c>
      <x:c r="F37" s="42" t="str">
        <x:v>SE Palmeiras</x:v>
      </x:c>
      <x:c r="G37" s="46"/>
      <x:c r="H37" s="46"/>
      <x:c r="I37" s="46"/>
      <x:c r="J37" s="46"/>
      <x:c r="K37" s="46" t="str">
        <x:f>IF(COUNT(G37,I37)=0,"",AVERAGE(G37,I37))</x:f>
      </x:c>
      <x:c r="L37" s="46" t="str">
        <x:f>IF(COUNT(H37,J37)=0,"",AVERAGE(H37,J37))</x:f>
      </x:c>
      <x:c r="M37" s="46" t="str">
        <x:f>IF(OR(K37="",L37=""),"",L37-K37)</x:f>
      </x:c>
      <x:c r="N37" s="46" t="str">
        <x:f>IF(OR(K37="",A36&lt;&gt;A37,K36=""),"",K37-K36)</x:f>
      </x:c>
      <x:c r="O37" s="42" t="str">
        <x:v>Sem informação</x:v>
      </x:c>
      <x:c r="P37" s="42"/>
      <x:c r="Q37" s="42" t="str"/>
      <x:c r="R37" s="42" t="str"/>
      <x:c r="S37" s="42" t="str"/>
      <x:c r="T37" s="42" t="str"/>
    </x:row>
    <x:row r="38">
      <x:c r="A38" s="42" t="str">
        <x:v>Allan</x:v>
      </x:c>
      <x:c r="B38" s="42" t="n">
        <x:v>2030</x:v>
      </x:c>
      <x:c r="C38" s="42" t="str">
        <x:v>T1</x:v>
      </x:c>
      <x:c r="D38" s="44" t="n">
        <x:v>47573</x:v>
      </x:c>
      <x:c r="E38" s="42" t="str">
        <x:v>Ponta-direita</x:v>
      </x:c>
      <x:c r="F38" s="42" t="str">
        <x:v>SE Palmeiras</x:v>
      </x:c>
      <x:c r="G38" s="46"/>
      <x:c r="H38" s="46"/>
      <x:c r="I38" s="46"/>
      <x:c r="J38" s="46"/>
      <x:c r="K38" s="46" t="str">
        <x:f>IF(COUNT(G38,I38)=0,"",AVERAGE(G38,I38))</x:f>
      </x:c>
      <x:c r="L38" s="46" t="str">
        <x:f>IF(COUNT(H38,J38)=0,"",AVERAGE(H38,J38))</x:f>
      </x:c>
      <x:c r="M38" s="46" t="str">
        <x:f>IF(OR(K38="",L38=""),"",L38-K38)</x:f>
      </x:c>
      <x:c r="N38" s="46" t="str">
        <x:f>IF(OR(K38="",A37&lt;&gt;A38,K37=""),"",K38-K37)</x:f>
      </x:c>
      <x:c r="O38" s="42" t="str">
        <x:v>Sem informação</x:v>
      </x:c>
      <x:c r="P38" s="42"/>
      <x:c r="Q38" s="42" t="str"/>
      <x:c r="R38" s="42" t="str"/>
      <x:c r="S38" s="42" t="str"/>
      <x:c r="T38" s="42" t="str"/>
    </x:row>
    <x:row r="39">
      <x:c r="A39" s="42" t="str">
        <x:v>Allan</x:v>
      </x:c>
      <x:c r="B39" s="42" t="n">
        <x:v>2030</x:v>
      </x:c>
      <x:c r="C39" s="42" t="str">
        <x:v>T2</x:v>
      </x:c>
      <x:c r="D39" s="44" t="n">
        <x:v>47664</x:v>
      </x:c>
      <x:c r="E39" s="42" t="str">
        <x:v>Ponta-direita</x:v>
      </x:c>
      <x:c r="F39" s="42" t="str">
        <x:v>SE Palmeiras</x:v>
      </x:c>
      <x:c r="G39" s="46"/>
      <x:c r="H39" s="46"/>
      <x:c r="I39" s="46"/>
      <x:c r="J39" s="46"/>
      <x:c r="K39" s="46" t="str">
        <x:f>IF(COUNT(G39,I39)=0,"",AVERAGE(G39,I39))</x:f>
      </x:c>
      <x:c r="L39" s="46" t="str">
        <x:f>IF(COUNT(H39,J39)=0,"",AVERAGE(H39,J39))</x:f>
      </x:c>
      <x:c r="M39" s="46" t="str">
        <x:f>IF(OR(K39="",L39=""),"",L39-K39)</x:f>
      </x:c>
      <x:c r="N39" s="46" t="str">
        <x:f>IF(OR(K39="",A38&lt;&gt;A39,K38=""),"",K39-K38)</x:f>
      </x:c>
      <x:c r="O39" s="42" t="str">
        <x:v>Sem informação</x:v>
      </x:c>
      <x:c r="P39" s="42"/>
      <x:c r="Q39" s="42" t="str"/>
      <x:c r="R39" s="42" t="str"/>
      <x:c r="S39" s="42" t="str"/>
      <x:c r="T39" s="42" t="str"/>
    </x:row>
    <x:row r="40">
      <x:c r="A40" s="42" t="str">
        <x:v>Allan</x:v>
      </x:c>
      <x:c r="B40" s="42" t="n">
        <x:v>2030</x:v>
      </x:c>
      <x:c r="C40" s="42" t="str">
        <x:v>T3</x:v>
      </x:c>
      <x:c r="D40" s="44" t="n">
        <x:v>47756</x:v>
      </x:c>
      <x:c r="E40" s="42" t="str">
        <x:v>Ponta-direita</x:v>
      </x:c>
      <x:c r="F40" s="42" t="str">
        <x:v>SE Palmeiras</x:v>
      </x:c>
      <x:c r="G40" s="46"/>
      <x:c r="H40" s="46"/>
      <x:c r="I40" s="46"/>
      <x:c r="J40" s="46"/>
      <x:c r="K40" s="46" t="str">
        <x:f>IF(COUNT(G40,I40)=0,"",AVERAGE(G40,I40))</x:f>
      </x:c>
      <x:c r="L40" s="46" t="str">
        <x:f>IF(COUNT(H40,J40)=0,"",AVERAGE(H40,J40))</x:f>
      </x:c>
      <x:c r="M40" s="46" t="str">
        <x:f>IF(OR(K40="",L40=""),"",L40-K40)</x:f>
      </x:c>
      <x:c r="N40" s="46" t="str">
        <x:f>IF(OR(K40="",A39&lt;&gt;A40,K39=""),"",K40-K39)</x:f>
      </x:c>
      <x:c r="O40" s="42" t="str">
        <x:v>Sem informação</x:v>
      </x:c>
      <x:c r="P40" s="42"/>
      <x:c r="Q40" s="42" t="str"/>
      <x:c r="R40" s="42" t="str"/>
      <x:c r="S40" s="42" t="str"/>
      <x:c r="T40" s="42" t="str"/>
    </x:row>
    <x:row r="41">
      <x:c r="A41" s="42" t="str">
        <x:v>Allan</x:v>
      </x:c>
      <x:c r="B41" s="42" t="n">
        <x:v>2030</x:v>
      </x:c>
      <x:c r="C41" s="42" t="str">
        <x:v>T4</x:v>
      </x:c>
      <x:c r="D41" s="44" t="n">
        <x:v>47848</x:v>
      </x:c>
      <x:c r="E41" s="42" t="str">
        <x:v>Ponta-direita</x:v>
      </x:c>
      <x:c r="F41" s="42" t="str">
        <x:v>SE Palmeiras</x:v>
      </x:c>
      <x:c r="G41" s="46"/>
      <x:c r="H41" s="46"/>
      <x:c r="I41" s="46"/>
      <x:c r="J41" s="46"/>
      <x:c r="K41" s="46" t="str">
        <x:f>IF(COUNT(G41,I41)=0,"",AVERAGE(G41,I41))</x:f>
      </x:c>
      <x:c r="L41" s="46" t="str">
        <x:f>IF(COUNT(H41,J41)=0,"",AVERAGE(H41,J41))</x:f>
      </x:c>
      <x:c r="M41" s="46" t="str">
        <x:f>IF(OR(K41="",L41=""),"",L41-K41)</x:f>
      </x:c>
      <x:c r="N41" s="46" t="str">
        <x:f>IF(OR(K41="",A40&lt;&gt;A41,K40=""),"",K41-K40)</x:f>
      </x:c>
      <x:c r="O41" s="42" t="str">
        <x:v>Sem informação</x:v>
      </x:c>
      <x:c r="P41" s="42"/>
      <x:c r="Q41" s="42" t="str"/>
      <x:c r="R41" s="42" t="str"/>
      <x:c r="S41" s="42" t="str"/>
      <x:c r="T41" s="42" t="str"/>
    </x:row>
    <x:row r="42">
      <x:c r="A42" s="42" t="str">
        <x:v>Andrey Santos</x:v>
      </x:c>
      <x:c r="B42" s="42" t="n">
        <x:v>2026</x:v>
      </x:c>
      <x:c r="C42" s="42" t="str">
        <x:v>T1</x:v>
      </x:c>
      <x:c r="D42" s="44" t="n">
        <x:v>46112</x:v>
      </x:c>
      <x:c r="E42" s="42" t="str">
        <x:v>Volante</x:v>
      </x:c>
      <x:c r="F42" s="42" t="str">
        <x:v>Manchester United FC</x:v>
      </x:c>
      <x:c r="G42" s="46"/>
      <x:c r="H42" s="46"/>
      <x:c r="I42" s="46"/>
      <x:c r="J42" s="46"/>
      <x:c r="K42" s="46" t="str">
        <x:f>IF(COUNT(G42,I42)=0,"",AVERAGE(G42,I42))</x:f>
      </x:c>
      <x:c r="L42" s="46" t="str">
        <x:f>IF(COUNT(H42,J42)=0,"",AVERAGE(H42,J42))</x:f>
      </x:c>
      <x:c r="M42" s="46" t="str">
        <x:f>IF(OR(K42="",L42=""),"",L42-K42)</x:f>
      </x:c>
      <x:c r="N42" s="46" t="str">
        <x:f>IF(OR(K42="",A41&lt;&gt;A42,K41=""),"",K42-K41)</x:f>
      </x:c>
      <x:c r="O42" s="42" t="str">
        <x:v>Sem informação</x:v>
      </x:c>
      <x:c r="P42" s="42"/>
      <x:c r="Q42" s="42" t="str"/>
      <x:c r="R42" s="42" t="str"/>
      <x:c r="S42" s="42" t="str"/>
      <x:c r="T42" s="42" t="str"/>
    </x:row>
    <x:row r="43">
      <x:c r="A43" s="42" t="str">
        <x:v>Andrey Santos</x:v>
      </x:c>
      <x:c r="B43" s="42" t="n">
        <x:v>2026</x:v>
      </x:c>
      <x:c r="C43" s="42" t="str">
        <x:v>T2</x:v>
      </x:c>
      <x:c r="D43" s="44" t="n">
        <x:v>46203</x:v>
      </x:c>
      <x:c r="E43" s="42" t="str">
        <x:v>Volante</x:v>
      </x:c>
      <x:c r="F43" s="42" t="str">
        <x:v>Manchester United FC</x:v>
      </x:c>
      <x:c r="G43" s="46" t="n">
        <x:v>7</x:v>
      </x:c>
      <x:c r="H43" s="46" t="n">
        <x:v>8</x:v>
      </x:c>
      <x:c r="I43" s="46" t="n">
        <x:v>7.5</x:v>
      </x:c>
      <x:c r="J43" s="46" t="n">
        <x:v>8.5</x:v>
      </x:c>
      <x:c r="K43" s="46" t="n">
        <x:f>IF(COUNT(G43,I43)=0,"",AVERAGE(G43,I43))</x:f>
        <x:v>7.25</x:v>
      </x:c>
      <x:c r="L43" s="46" t="n">
        <x:f>IF(COUNT(H43,J43)=0,"",AVERAGE(H43,J43))</x:f>
        <x:v>8.25</x:v>
      </x:c>
      <x:c r="M43" s="46" t="n">
        <x:f>IF(OR(K43="",L43=""),"",L43-K43)</x:f>
        <x:v>1</x:v>
      </x:c>
      <x:c r="N43" s="46" t="str">
        <x:f>IF(OR(K43="",A42&lt;&gt;A43,K42=""),"",K43-K42)</x:f>
      </x:c>
      <x:c r="O43" s="42" t="str">
        <x:v>Sem informação</x:v>
      </x:c>
      <x:c r="P43" s="42"/>
      <x:c r="Q43" s="42" t="str"/>
      <x:c r="R43" s="42" t="str">
        <x:v>Potencial para ser um meia completo.</x:v>
      </x:c>
      <x:c r="S43" s="42" t="str"/>
      <x:c r="T43" s="42" t="str"/>
    </x:row>
    <x:row r="44">
      <x:c r="A44" s="42" t="str">
        <x:v>Andrey Santos</x:v>
      </x:c>
      <x:c r="B44" s="42" t="n">
        <x:v>2026</x:v>
      </x:c>
      <x:c r="C44" s="42" t="str">
        <x:v>T3</x:v>
      </x:c>
      <x:c r="D44" s="44" t="n">
        <x:v>46295</x:v>
      </x:c>
      <x:c r="E44" s="42" t="str">
        <x:v>Volante</x:v>
      </x:c>
      <x:c r="F44" s="42" t="str">
        <x:v>Manchester United FC</x:v>
      </x:c>
      <x:c r="G44" s="46"/>
      <x:c r="H44" s="46"/>
      <x:c r="I44" s="46"/>
      <x:c r="J44" s="46"/>
      <x:c r="K44" s="46" t="str">
        <x:f>IF(COUNT(G44,I44)=0,"",AVERAGE(G44,I44))</x:f>
      </x:c>
      <x:c r="L44" s="46" t="str">
        <x:f>IF(COUNT(H44,J44)=0,"",AVERAGE(H44,J44))</x:f>
      </x:c>
      <x:c r="M44" s="46" t="str">
        <x:f>IF(OR(K44="",L44=""),"",L44-K44)</x:f>
      </x:c>
      <x:c r="N44" s="46" t="str">
        <x:f>IF(OR(K44="",A43&lt;&gt;A44,K43=""),"",K44-K43)</x:f>
      </x:c>
      <x:c r="O44" s="42" t="str">
        <x:v>Sem informação</x:v>
      </x:c>
      <x:c r="P44" s="42"/>
      <x:c r="Q44" s="42" t="str"/>
      <x:c r="R44" s="42" t="str"/>
      <x:c r="S44" s="42" t="str"/>
      <x:c r="T44" s="42" t="str"/>
    </x:row>
    <x:row r="45">
      <x:c r="A45" s="42" t="str">
        <x:v>Andrey Santos</x:v>
      </x:c>
      <x:c r="B45" s="42" t="n">
        <x:v>2026</x:v>
      </x:c>
      <x:c r="C45" s="42" t="str">
        <x:v>T4</x:v>
      </x:c>
      <x:c r="D45" s="44" t="n">
        <x:v>46387</x:v>
      </x:c>
      <x:c r="E45" s="42" t="str">
        <x:v>Volante</x:v>
      </x:c>
      <x:c r="F45" s="42" t="str">
        <x:v>Manchester United FC</x:v>
      </x:c>
      <x:c r="G45" s="46"/>
      <x:c r="H45" s="46"/>
      <x:c r="I45" s="46"/>
      <x:c r="J45" s="46"/>
      <x:c r="K45" s="46" t="str">
        <x:f>IF(COUNT(G45,I45)=0,"",AVERAGE(G45,I45))</x:f>
      </x:c>
      <x:c r="L45" s="46" t="str">
        <x:f>IF(COUNT(H45,J45)=0,"",AVERAGE(H45,J45))</x:f>
      </x:c>
      <x:c r="M45" s="46" t="str">
        <x:f>IF(OR(K45="",L45=""),"",L45-K45)</x:f>
      </x:c>
      <x:c r="N45" s="46" t="str">
        <x:f>IF(OR(K45="",A44&lt;&gt;A45,K44=""),"",K45-K44)</x:f>
      </x:c>
      <x:c r="O45" s="42" t="str">
        <x:v>Sem informação</x:v>
      </x:c>
      <x:c r="P45" s="42"/>
      <x:c r="Q45" s="42" t="str"/>
      <x:c r="R45" s="42" t="str"/>
      <x:c r="S45" s="42" t="str"/>
      <x:c r="T45" s="42" t="str"/>
    </x:row>
    <x:row r="46">
      <x:c r="A46" s="42" t="str">
        <x:v>Andrey Santos</x:v>
      </x:c>
      <x:c r="B46" s="42" t="n">
        <x:v>2027</x:v>
      </x:c>
      <x:c r="C46" s="42" t="str">
        <x:v>T1</x:v>
      </x:c>
      <x:c r="D46" s="44" t="n">
        <x:v>46477</x:v>
      </x:c>
      <x:c r="E46" s="42" t="str">
        <x:v>Volante</x:v>
      </x:c>
      <x:c r="F46" s="42" t="str">
        <x:v>Manchester United FC</x:v>
      </x:c>
      <x:c r="G46" s="46"/>
      <x:c r="H46" s="46"/>
      <x:c r="I46" s="46"/>
      <x:c r="J46" s="46"/>
      <x:c r="K46" s="46" t="str">
        <x:f>IF(COUNT(G46,I46)=0,"",AVERAGE(G46,I46))</x:f>
      </x:c>
      <x:c r="L46" s="46" t="str">
        <x:f>IF(COUNT(H46,J46)=0,"",AVERAGE(H46,J46))</x:f>
      </x:c>
      <x:c r="M46" s="46" t="str">
        <x:f>IF(OR(K46="",L46=""),"",L46-K46)</x:f>
      </x:c>
      <x:c r="N46" s="46" t="str">
        <x:f>IF(OR(K46="",A45&lt;&gt;A46,K45=""),"",K46-K45)</x:f>
      </x:c>
      <x:c r="O46" s="42" t="str">
        <x:v>Sem informação</x:v>
      </x:c>
      <x:c r="P46" s="42"/>
      <x:c r="Q46" s="42" t="str"/>
      <x:c r="R46" s="42" t="str"/>
      <x:c r="S46" s="42" t="str"/>
      <x:c r="T46" s="42" t="str"/>
    </x:row>
    <x:row r="47">
      <x:c r="A47" s="42" t="str">
        <x:v>Andrey Santos</x:v>
      </x:c>
      <x:c r="B47" s="42" t="n">
        <x:v>2027</x:v>
      </x:c>
      <x:c r="C47" s="42" t="str">
        <x:v>T2</x:v>
      </x:c>
      <x:c r="D47" s="44" t="n">
        <x:v>46568</x:v>
      </x:c>
      <x:c r="E47" s="42" t="str">
        <x:v>Volante</x:v>
      </x:c>
      <x:c r="F47" s="42" t="str">
        <x:v>Manchester United FC</x:v>
      </x:c>
      <x:c r="G47" s="46"/>
      <x:c r="H47" s="46"/>
      <x:c r="I47" s="46"/>
      <x:c r="J47" s="46"/>
      <x:c r="K47" s="46" t="str">
        <x:f>IF(COUNT(G47,I47)=0,"",AVERAGE(G47,I47))</x:f>
      </x:c>
      <x:c r="L47" s="46" t="str">
        <x:f>IF(COUNT(H47,J47)=0,"",AVERAGE(H47,J47))</x:f>
      </x:c>
      <x:c r="M47" s="46" t="str">
        <x:f>IF(OR(K47="",L47=""),"",L47-K47)</x:f>
      </x:c>
      <x:c r="N47" s="46" t="str">
        <x:f>IF(OR(K47="",A46&lt;&gt;A47,K46=""),"",K47-K46)</x:f>
      </x:c>
      <x:c r="O47" s="42" t="str">
        <x:v>Sem informação</x:v>
      </x:c>
      <x:c r="P47" s="42"/>
      <x:c r="Q47" s="42" t="str"/>
      <x:c r="R47" s="42" t="str"/>
      <x:c r="S47" s="42" t="str"/>
      <x:c r="T47" s="42" t="str"/>
    </x:row>
    <x:row r="48">
      <x:c r="A48" s="42" t="str">
        <x:v>Andrey Santos</x:v>
      </x:c>
      <x:c r="B48" s="42" t="n">
        <x:v>2027</x:v>
      </x:c>
      <x:c r="C48" s="42" t="str">
        <x:v>T3</x:v>
      </x:c>
      <x:c r="D48" s="44" t="n">
        <x:v>46660</x:v>
      </x:c>
      <x:c r="E48" s="42" t="str">
        <x:v>Volante</x:v>
      </x:c>
      <x:c r="F48" s="42" t="str">
        <x:v>Manchester United FC</x:v>
      </x:c>
      <x:c r="G48" s="46"/>
      <x:c r="H48" s="46"/>
      <x:c r="I48" s="46"/>
      <x:c r="J48" s="46"/>
      <x:c r="K48" s="46" t="str">
        <x:f>IF(COUNT(G48,I48)=0,"",AVERAGE(G48,I48))</x:f>
      </x:c>
      <x:c r="L48" s="46" t="str">
        <x:f>IF(COUNT(H48,J48)=0,"",AVERAGE(H48,J48))</x:f>
      </x:c>
      <x:c r="M48" s="46" t="str">
        <x:f>IF(OR(K48="",L48=""),"",L48-K48)</x:f>
      </x:c>
      <x:c r="N48" s="46" t="str">
        <x:f>IF(OR(K48="",A47&lt;&gt;A48,K47=""),"",K48-K47)</x:f>
      </x:c>
      <x:c r="O48" s="42" t="str">
        <x:v>Sem informação</x:v>
      </x:c>
      <x:c r="P48" s="42"/>
      <x:c r="Q48" s="42" t="str"/>
      <x:c r="R48" s="42" t="str"/>
      <x:c r="S48" s="42" t="str"/>
      <x:c r="T48" s="42" t="str"/>
    </x:row>
    <x:row r="49">
      <x:c r="A49" s="42" t="str">
        <x:v>Andrey Santos</x:v>
      </x:c>
      <x:c r="B49" s="42" t="n">
        <x:v>2027</x:v>
      </x:c>
      <x:c r="C49" s="42" t="str">
        <x:v>T4</x:v>
      </x:c>
      <x:c r="D49" s="44" t="n">
        <x:v>46752</x:v>
      </x:c>
      <x:c r="E49" s="42" t="str">
        <x:v>Volante</x:v>
      </x:c>
      <x:c r="F49" s="42" t="str">
        <x:v>Manchester United FC</x:v>
      </x:c>
      <x:c r="G49" s="46"/>
      <x:c r="H49" s="46"/>
      <x:c r="I49" s="46"/>
      <x:c r="J49" s="46"/>
      <x:c r="K49" s="46" t="str">
        <x:f>IF(COUNT(G49,I49)=0,"",AVERAGE(G49,I49))</x:f>
      </x:c>
      <x:c r="L49" s="46" t="str">
        <x:f>IF(COUNT(H49,J49)=0,"",AVERAGE(H49,J49))</x:f>
      </x:c>
      <x:c r="M49" s="46" t="str">
        <x:f>IF(OR(K49="",L49=""),"",L49-K49)</x:f>
      </x:c>
      <x:c r="N49" s="46" t="str">
        <x:f>IF(OR(K49="",A48&lt;&gt;A49,K48=""),"",K49-K48)</x:f>
      </x:c>
      <x:c r="O49" s="42" t="str">
        <x:v>Sem informação</x:v>
      </x:c>
      <x:c r="P49" s="42"/>
      <x:c r="Q49" s="42" t="str"/>
      <x:c r="R49" s="42" t="str"/>
      <x:c r="S49" s="42" t="str"/>
      <x:c r="T49" s="42" t="str"/>
    </x:row>
    <x:row r="50">
      <x:c r="A50" s="42" t="str">
        <x:v>Andrey Santos</x:v>
      </x:c>
      <x:c r="B50" s="42" t="n">
        <x:v>2028</x:v>
      </x:c>
      <x:c r="C50" s="42" t="str">
        <x:v>T1</x:v>
      </x:c>
      <x:c r="D50" s="44" t="n">
        <x:v>46843</x:v>
      </x:c>
      <x:c r="E50" s="42" t="str">
        <x:v>Volante</x:v>
      </x:c>
      <x:c r="F50" s="42" t="str">
        <x:v>Manchester United FC</x:v>
      </x:c>
      <x:c r="G50" s="46"/>
      <x:c r="H50" s="46"/>
      <x:c r="I50" s="46"/>
      <x:c r="J50" s="46"/>
      <x:c r="K50" s="46" t="str">
        <x:f>IF(COUNT(G50,I50)=0,"",AVERAGE(G50,I50))</x:f>
      </x:c>
      <x:c r="L50" s="46" t="str">
        <x:f>IF(COUNT(H50,J50)=0,"",AVERAGE(H50,J50))</x:f>
      </x:c>
      <x:c r="M50" s="46" t="str">
        <x:f>IF(OR(K50="",L50=""),"",L50-K50)</x:f>
      </x:c>
      <x:c r="N50" s="46" t="str">
        <x:f>IF(OR(K50="",A49&lt;&gt;A50,K49=""),"",K50-K49)</x:f>
      </x:c>
      <x:c r="O50" s="42" t="str">
        <x:v>Sem informação</x:v>
      </x:c>
      <x:c r="P50" s="42"/>
      <x:c r="Q50" s="42" t="str"/>
      <x:c r="R50" s="42" t="str"/>
      <x:c r="S50" s="42" t="str"/>
      <x:c r="T50" s="42" t="str"/>
    </x:row>
    <x:row r="51">
      <x:c r="A51" s="42" t="str">
        <x:v>Andrey Santos</x:v>
      </x:c>
      <x:c r="B51" s="42" t="n">
        <x:v>2028</x:v>
      </x:c>
      <x:c r="C51" s="42" t="str">
        <x:v>T2</x:v>
      </x:c>
      <x:c r="D51" s="44" t="n">
        <x:v>46934</x:v>
      </x:c>
      <x:c r="E51" s="42" t="str">
        <x:v>Volante</x:v>
      </x:c>
      <x:c r="F51" s="42" t="str">
        <x:v>Manchester United FC</x:v>
      </x:c>
      <x:c r="G51" s="46"/>
      <x:c r="H51" s="46"/>
      <x:c r="I51" s="46"/>
      <x:c r="J51" s="46"/>
      <x:c r="K51" s="46" t="str">
        <x:f>IF(COUNT(G51,I51)=0,"",AVERAGE(G51,I51))</x:f>
      </x:c>
      <x:c r="L51" s="46" t="str">
        <x:f>IF(COUNT(H51,J51)=0,"",AVERAGE(H51,J51))</x:f>
      </x:c>
      <x:c r="M51" s="46" t="str">
        <x:f>IF(OR(K51="",L51=""),"",L51-K51)</x:f>
      </x:c>
      <x:c r="N51" s="46" t="str">
        <x:f>IF(OR(K51="",A50&lt;&gt;A51,K50=""),"",K51-K50)</x:f>
      </x:c>
      <x:c r="O51" s="42" t="str">
        <x:v>Sem informação</x:v>
      </x:c>
      <x:c r="P51" s="42"/>
      <x:c r="Q51" s="42" t="str"/>
      <x:c r="R51" s="42" t="str"/>
      <x:c r="S51" s="42" t="str"/>
      <x:c r="T51" s="42" t="str"/>
    </x:row>
    <x:row r="52">
      <x:c r="A52" s="42" t="str">
        <x:v>Andrey Santos</x:v>
      </x:c>
      <x:c r="B52" s="42" t="n">
        <x:v>2028</x:v>
      </x:c>
      <x:c r="C52" s="42" t="str">
        <x:v>T3</x:v>
      </x:c>
      <x:c r="D52" s="44" t="n">
        <x:v>47026</x:v>
      </x:c>
      <x:c r="E52" s="42" t="str">
        <x:v>Volante</x:v>
      </x:c>
      <x:c r="F52" s="42" t="str">
        <x:v>Manchester United FC</x:v>
      </x:c>
      <x:c r="G52" s="46"/>
      <x:c r="H52" s="46"/>
      <x:c r="I52" s="46"/>
      <x:c r="J52" s="46"/>
      <x:c r="K52" s="46" t="str">
        <x:f>IF(COUNT(G52,I52)=0,"",AVERAGE(G52,I52))</x:f>
      </x:c>
      <x:c r="L52" s="46" t="str">
        <x:f>IF(COUNT(H52,J52)=0,"",AVERAGE(H52,J52))</x:f>
      </x:c>
      <x:c r="M52" s="46" t="str">
        <x:f>IF(OR(K52="",L52=""),"",L52-K52)</x:f>
      </x:c>
      <x:c r="N52" s="46" t="str">
        <x:f>IF(OR(K52="",A51&lt;&gt;A52,K51=""),"",K52-K51)</x:f>
      </x:c>
      <x:c r="O52" s="42" t="str">
        <x:v>Sem informação</x:v>
      </x:c>
      <x:c r="P52" s="42"/>
      <x:c r="Q52" s="42" t="str"/>
      <x:c r="R52" s="42" t="str"/>
      <x:c r="S52" s="42" t="str"/>
      <x:c r="T52" s="42" t="str"/>
    </x:row>
    <x:row r="53">
      <x:c r="A53" s="42" t="str">
        <x:v>Andrey Santos</x:v>
      </x:c>
      <x:c r="B53" s="42" t="n">
        <x:v>2028</x:v>
      </x:c>
      <x:c r="C53" s="42" t="str">
        <x:v>T4</x:v>
      </x:c>
      <x:c r="D53" s="44" t="n">
        <x:v>47118</x:v>
      </x:c>
      <x:c r="E53" s="42" t="str">
        <x:v>Volante</x:v>
      </x:c>
      <x:c r="F53" s="42" t="str">
        <x:v>Manchester United FC</x:v>
      </x:c>
      <x:c r="G53" s="46"/>
      <x:c r="H53" s="46"/>
      <x:c r="I53" s="46"/>
      <x:c r="J53" s="46"/>
      <x:c r="K53" s="46" t="str">
        <x:f>IF(COUNT(G53,I53)=0,"",AVERAGE(G53,I53))</x:f>
      </x:c>
      <x:c r="L53" s="46" t="str">
        <x:f>IF(COUNT(H53,J53)=0,"",AVERAGE(H53,J53))</x:f>
      </x:c>
      <x:c r="M53" s="46" t="str">
        <x:f>IF(OR(K53="",L53=""),"",L53-K53)</x:f>
      </x:c>
      <x:c r="N53" s="46" t="str">
        <x:f>IF(OR(K53="",A52&lt;&gt;A53,K52=""),"",K53-K52)</x:f>
      </x:c>
      <x:c r="O53" s="42" t="str">
        <x:v>Sem informação</x:v>
      </x:c>
      <x:c r="P53" s="42"/>
      <x:c r="Q53" s="42" t="str"/>
      <x:c r="R53" s="42" t="str"/>
      <x:c r="S53" s="42" t="str"/>
      <x:c r="T53" s="42" t="str"/>
    </x:row>
    <x:row r="54">
      <x:c r="A54" s="42" t="str">
        <x:v>Andrey Santos</x:v>
      </x:c>
      <x:c r="B54" s="42" t="n">
        <x:v>2029</x:v>
      </x:c>
      <x:c r="C54" s="42" t="str">
        <x:v>T1</x:v>
      </x:c>
      <x:c r="D54" s="44" t="n">
        <x:v>47208</x:v>
      </x:c>
      <x:c r="E54" s="42" t="str">
        <x:v>Volante</x:v>
      </x:c>
      <x:c r="F54" s="42" t="str">
        <x:v>Manchester United FC</x:v>
      </x:c>
      <x:c r="G54" s="46"/>
      <x:c r="H54" s="46"/>
      <x:c r="I54" s="46"/>
      <x:c r="J54" s="46"/>
      <x:c r="K54" s="46" t="str">
        <x:f>IF(COUNT(G54,I54)=0,"",AVERAGE(G54,I54))</x:f>
      </x:c>
      <x:c r="L54" s="46" t="str">
        <x:f>IF(COUNT(H54,J54)=0,"",AVERAGE(H54,J54))</x:f>
      </x:c>
      <x:c r="M54" s="46" t="str">
        <x:f>IF(OR(K54="",L54=""),"",L54-K54)</x:f>
      </x:c>
      <x:c r="N54" s="46" t="str">
        <x:f>IF(OR(K54="",A53&lt;&gt;A54,K53=""),"",K54-K53)</x:f>
      </x:c>
      <x:c r="O54" s="42" t="str">
        <x:v>Sem informação</x:v>
      </x:c>
      <x:c r="P54" s="42"/>
      <x:c r="Q54" s="42" t="str"/>
      <x:c r="R54" s="42" t="str"/>
      <x:c r="S54" s="42" t="str"/>
      <x:c r="T54" s="42" t="str"/>
    </x:row>
    <x:row r="55">
      <x:c r="A55" s="42" t="str">
        <x:v>Andrey Santos</x:v>
      </x:c>
      <x:c r="B55" s="42" t="n">
        <x:v>2029</x:v>
      </x:c>
      <x:c r="C55" s="42" t="str">
        <x:v>T2</x:v>
      </x:c>
      <x:c r="D55" s="44" t="n">
        <x:v>47299</x:v>
      </x:c>
      <x:c r="E55" s="42" t="str">
        <x:v>Volante</x:v>
      </x:c>
      <x:c r="F55" s="42" t="str">
        <x:v>Manchester United FC</x:v>
      </x:c>
      <x:c r="G55" s="46"/>
      <x:c r="H55" s="46"/>
      <x:c r="I55" s="46"/>
      <x:c r="J55" s="46"/>
      <x:c r="K55" s="46" t="str">
        <x:f>IF(COUNT(G55,I55)=0,"",AVERAGE(G55,I55))</x:f>
      </x:c>
      <x:c r="L55" s="46" t="str">
        <x:f>IF(COUNT(H55,J55)=0,"",AVERAGE(H55,J55))</x:f>
      </x:c>
      <x:c r="M55" s="46" t="str">
        <x:f>IF(OR(K55="",L55=""),"",L55-K55)</x:f>
      </x:c>
      <x:c r="N55" s="46" t="str">
        <x:f>IF(OR(K55="",A54&lt;&gt;A55,K54=""),"",K55-K54)</x:f>
      </x:c>
      <x:c r="O55" s="42" t="str">
        <x:v>Sem informação</x:v>
      </x:c>
      <x:c r="P55" s="42"/>
      <x:c r="Q55" s="42" t="str"/>
      <x:c r="R55" s="42" t="str"/>
      <x:c r="S55" s="42" t="str"/>
      <x:c r="T55" s="42" t="str"/>
    </x:row>
    <x:row r="56">
      <x:c r="A56" s="42" t="str">
        <x:v>Andrey Santos</x:v>
      </x:c>
      <x:c r="B56" s="42" t="n">
        <x:v>2029</x:v>
      </x:c>
      <x:c r="C56" s="42" t="str">
        <x:v>T3</x:v>
      </x:c>
      <x:c r="D56" s="44" t="n">
        <x:v>47391</x:v>
      </x:c>
      <x:c r="E56" s="42" t="str">
        <x:v>Volante</x:v>
      </x:c>
      <x:c r="F56" s="42" t="str">
        <x:v>Manchester United FC</x:v>
      </x:c>
      <x:c r="G56" s="46"/>
      <x:c r="H56" s="46"/>
      <x:c r="I56" s="46"/>
      <x:c r="J56" s="46"/>
      <x:c r="K56" s="46" t="str">
        <x:f>IF(COUNT(G56,I56)=0,"",AVERAGE(G56,I56))</x:f>
      </x:c>
      <x:c r="L56" s="46" t="str">
        <x:f>IF(COUNT(H56,J56)=0,"",AVERAGE(H56,J56))</x:f>
      </x:c>
      <x:c r="M56" s="46" t="str">
        <x:f>IF(OR(K56="",L56=""),"",L56-K56)</x:f>
      </x:c>
      <x:c r="N56" s="46" t="str">
        <x:f>IF(OR(K56="",A55&lt;&gt;A56,K55=""),"",K56-K55)</x:f>
      </x:c>
      <x:c r="O56" s="42" t="str">
        <x:v>Sem informação</x:v>
      </x:c>
      <x:c r="P56" s="42"/>
      <x:c r="Q56" s="42" t="str"/>
      <x:c r="R56" s="42" t="str"/>
      <x:c r="S56" s="42" t="str"/>
      <x:c r="T56" s="42" t="str"/>
    </x:row>
    <x:row r="57">
      <x:c r="A57" s="42" t="str">
        <x:v>Andrey Santos</x:v>
      </x:c>
      <x:c r="B57" s="42" t="n">
        <x:v>2029</x:v>
      </x:c>
      <x:c r="C57" s="42" t="str">
        <x:v>T4</x:v>
      </x:c>
      <x:c r="D57" s="44" t="n">
        <x:v>47483</x:v>
      </x:c>
      <x:c r="E57" s="42" t="str">
        <x:v>Volante</x:v>
      </x:c>
      <x:c r="F57" s="42" t="str">
        <x:v>Manchester United FC</x:v>
      </x:c>
      <x:c r="G57" s="46"/>
      <x:c r="H57" s="46"/>
      <x:c r="I57" s="46"/>
      <x:c r="J57" s="46"/>
      <x:c r="K57" s="46" t="str">
        <x:f>IF(COUNT(G57,I57)=0,"",AVERAGE(G57,I57))</x:f>
      </x:c>
      <x:c r="L57" s="46" t="str">
        <x:f>IF(COUNT(H57,J57)=0,"",AVERAGE(H57,J57))</x:f>
      </x:c>
      <x:c r="M57" s="46" t="str">
        <x:f>IF(OR(K57="",L57=""),"",L57-K57)</x:f>
      </x:c>
      <x:c r="N57" s="46" t="str">
        <x:f>IF(OR(K57="",A56&lt;&gt;A57,K56=""),"",K57-K56)</x:f>
      </x:c>
      <x:c r="O57" s="42" t="str">
        <x:v>Sem informação</x:v>
      </x:c>
      <x:c r="P57" s="42"/>
      <x:c r="Q57" s="42" t="str"/>
      <x:c r="R57" s="42" t="str"/>
      <x:c r="S57" s="42" t="str"/>
      <x:c r="T57" s="42" t="str"/>
    </x:row>
    <x:row r="58">
      <x:c r="A58" s="42" t="str">
        <x:v>Andrey Santos</x:v>
      </x:c>
      <x:c r="B58" s="42" t="n">
        <x:v>2030</x:v>
      </x:c>
      <x:c r="C58" s="42" t="str">
        <x:v>T1</x:v>
      </x:c>
      <x:c r="D58" s="44" t="n">
        <x:v>47573</x:v>
      </x:c>
      <x:c r="E58" s="42" t="str">
        <x:v>Volante</x:v>
      </x:c>
      <x:c r="F58" s="42" t="str">
        <x:v>Manchester United FC</x:v>
      </x:c>
      <x:c r="G58" s="46"/>
      <x:c r="H58" s="46"/>
      <x:c r="I58" s="46"/>
      <x:c r="J58" s="46"/>
      <x:c r="K58" s="46" t="str">
        <x:f>IF(COUNT(G58,I58)=0,"",AVERAGE(G58,I58))</x:f>
      </x:c>
      <x:c r="L58" s="46" t="str">
        <x:f>IF(COUNT(H58,J58)=0,"",AVERAGE(H58,J58))</x:f>
      </x:c>
      <x:c r="M58" s="46" t="str">
        <x:f>IF(OR(K58="",L58=""),"",L58-K58)</x:f>
      </x:c>
      <x:c r="N58" s="46" t="str">
        <x:f>IF(OR(K58="",A57&lt;&gt;A58,K57=""),"",K58-K57)</x:f>
      </x:c>
      <x:c r="O58" s="42" t="str">
        <x:v>Sem informação</x:v>
      </x:c>
      <x:c r="P58" s="42"/>
      <x:c r="Q58" s="42" t="str"/>
      <x:c r="R58" s="42" t="str"/>
      <x:c r="S58" s="42" t="str"/>
      <x:c r="T58" s="42" t="str"/>
    </x:row>
    <x:row r="59">
      <x:c r="A59" s="42" t="str">
        <x:v>Andrey Santos</x:v>
      </x:c>
      <x:c r="B59" s="42" t="n">
        <x:v>2030</x:v>
      </x:c>
      <x:c r="C59" s="42" t="str">
        <x:v>T2</x:v>
      </x:c>
      <x:c r="D59" s="44" t="n">
        <x:v>47664</x:v>
      </x:c>
      <x:c r="E59" s="42" t="str">
        <x:v>Volante</x:v>
      </x:c>
      <x:c r="F59" s="42" t="str">
        <x:v>Manchester United FC</x:v>
      </x:c>
      <x:c r="G59" s="46"/>
      <x:c r="H59" s="46"/>
      <x:c r="I59" s="46"/>
      <x:c r="J59" s="46"/>
      <x:c r="K59" s="46" t="str">
        <x:f>IF(COUNT(G59,I59)=0,"",AVERAGE(G59,I59))</x:f>
      </x:c>
      <x:c r="L59" s="46" t="str">
        <x:f>IF(COUNT(H59,J59)=0,"",AVERAGE(H59,J59))</x:f>
      </x:c>
      <x:c r="M59" s="46" t="str">
        <x:f>IF(OR(K59="",L59=""),"",L59-K59)</x:f>
      </x:c>
      <x:c r="N59" s="46" t="str">
        <x:f>IF(OR(K59="",A58&lt;&gt;A59,K58=""),"",K59-K58)</x:f>
      </x:c>
      <x:c r="O59" s="42" t="str">
        <x:v>Sem informação</x:v>
      </x:c>
      <x:c r="P59" s="42"/>
      <x:c r="Q59" s="42" t="str"/>
      <x:c r="R59" s="42" t="str"/>
      <x:c r="S59" s="42" t="str"/>
      <x:c r="T59" s="42" t="str"/>
    </x:row>
    <x:row r="60">
      <x:c r="A60" s="42" t="str">
        <x:v>Andrey Santos</x:v>
      </x:c>
      <x:c r="B60" s="42" t="n">
        <x:v>2030</x:v>
      </x:c>
      <x:c r="C60" s="42" t="str">
        <x:v>T3</x:v>
      </x:c>
      <x:c r="D60" s="44" t="n">
        <x:v>47756</x:v>
      </x:c>
      <x:c r="E60" s="42" t="str">
        <x:v>Volante</x:v>
      </x:c>
      <x:c r="F60" s="42" t="str">
        <x:v>Manchester United FC</x:v>
      </x:c>
      <x:c r="G60" s="46"/>
      <x:c r="H60" s="46"/>
      <x:c r="I60" s="46"/>
      <x:c r="J60" s="46"/>
      <x:c r="K60" s="46" t="str">
        <x:f>IF(COUNT(G60,I60)=0,"",AVERAGE(G60,I60))</x:f>
      </x:c>
      <x:c r="L60" s="46" t="str">
        <x:f>IF(COUNT(H60,J60)=0,"",AVERAGE(H60,J60))</x:f>
      </x:c>
      <x:c r="M60" s="46" t="str">
        <x:f>IF(OR(K60="",L60=""),"",L60-K60)</x:f>
      </x:c>
      <x:c r="N60" s="46" t="str">
        <x:f>IF(OR(K60="",A59&lt;&gt;A60,K59=""),"",K60-K59)</x:f>
      </x:c>
      <x:c r="O60" s="42" t="str">
        <x:v>Sem informação</x:v>
      </x:c>
      <x:c r="P60" s="42"/>
      <x:c r="Q60" s="42" t="str"/>
      <x:c r="R60" s="42" t="str"/>
      <x:c r="S60" s="42" t="str"/>
      <x:c r="T60" s="42" t="str"/>
    </x:row>
    <x:row r="61">
      <x:c r="A61" s="42" t="str">
        <x:v>Andrey Santos</x:v>
      </x:c>
      <x:c r="B61" s="42" t="n">
        <x:v>2030</x:v>
      </x:c>
      <x:c r="C61" s="42" t="str">
        <x:v>T4</x:v>
      </x:c>
      <x:c r="D61" s="44" t="n">
        <x:v>47848</x:v>
      </x:c>
      <x:c r="E61" s="42" t="str">
        <x:v>Volante</x:v>
      </x:c>
      <x:c r="F61" s="42" t="str">
        <x:v>Manchester United FC</x:v>
      </x:c>
      <x:c r="G61" s="46"/>
      <x:c r="H61" s="46"/>
      <x:c r="I61" s="46"/>
      <x:c r="J61" s="46"/>
      <x:c r="K61" s="46" t="str">
        <x:f>IF(COUNT(G61,I61)=0,"",AVERAGE(G61,I61))</x:f>
      </x:c>
      <x:c r="L61" s="46" t="str">
        <x:f>IF(COUNT(H61,J61)=0,"",AVERAGE(H61,J61))</x:f>
      </x:c>
      <x:c r="M61" s="46" t="str">
        <x:f>IF(OR(K61="",L61=""),"",L61-K61)</x:f>
      </x:c>
      <x:c r="N61" s="46" t="str">
        <x:f>IF(OR(K61="",A60&lt;&gt;A61,K60=""),"",K61-K60)</x:f>
      </x:c>
      <x:c r="O61" s="42" t="str">
        <x:v>Sem informação</x:v>
      </x:c>
      <x:c r="P61" s="42"/>
      <x:c r="Q61" s="42" t="str"/>
      <x:c r="R61" s="42" t="str"/>
      <x:c r="S61" s="42" t="str"/>
      <x:c r="T61" s="42" t="str"/>
    </x:row>
    <x:row r="62">
      <x:c r="A62" s="42" t="str">
        <x:v>André</x:v>
      </x:c>
      <x:c r="B62" s="42" t="n">
        <x:v>2026</x:v>
      </x:c>
      <x:c r="C62" s="42" t="str">
        <x:v>T1</x:v>
      </x:c>
      <x:c r="D62" s="44" t="n">
        <x:v>46112</x:v>
      </x:c>
      <x:c r="E62" s="42" t="str">
        <x:v>Mezzala esquerdo</x:v>
      </x:c>
      <x:c r="F62" s="42" t="str">
        <x:v>Wolverhampton Wanderers</x:v>
      </x:c>
      <x:c r="G62" s="46"/>
      <x:c r="H62" s="46"/>
      <x:c r="I62" s="46"/>
      <x:c r="J62" s="46"/>
      <x:c r="K62" s="46" t="str">
        <x:f>IF(COUNT(G62,I62)=0,"",AVERAGE(G62,I62))</x:f>
      </x:c>
      <x:c r="L62" s="46" t="str">
        <x:f>IF(COUNT(H62,J62)=0,"",AVERAGE(H62,J62))</x:f>
      </x:c>
      <x:c r="M62" s="46" t="str">
        <x:f>IF(OR(K62="",L62=""),"",L62-K62)</x:f>
      </x:c>
      <x:c r="N62" s="46" t="str">
        <x:f>IF(OR(K62="",A61&lt;&gt;A62,K61=""),"",K62-K61)</x:f>
      </x:c>
      <x:c r="O62" s="42" t="str">
        <x:v>Sem informação</x:v>
      </x:c>
      <x:c r="P62" s="42"/>
      <x:c r="Q62" s="42" t="str"/>
      <x:c r="R62" s="42" t="str"/>
      <x:c r="S62" s="42" t="str"/>
      <x:c r="T62" s="42" t="str"/>
    </x:row>
    <x:row r="63">
      <x:c r="A63" s="42" t="str">
        <x:v>André</x:v>
      </x:c>
      <x:c r="B63" s="42" t="n">
        <x:v>2026</x:v>
      </x:c>
      <x:c r="C63" s="42" t="str">
        <x:v>T2</x:v>
      </x:c>
      <x:c r="D63" s="44" t="n">
        <x:v>46203</x:v>
      </x:c>
      <x:c r="E63" s="42" t="str">
        <x:v>Mezzala esquerdo</x:v>
      </x:c>
      <x:c r="F63" s="42" t="str">
        <x:v>Wolverhampton Wanderers</x:v>
      </x:c>
      <x:c r="G63" s="46" t="n">
        <x:v>7</x:v>
      </x:c>
      <x:c r="H63" s="46" t="n">
        <x:v>7.5</x:v>
      </x:c>
      <x:c r="I63" s="46" t="n">
        <x:v>7</x:v>
      </x:c>
      <x:c r="J63" s="46" t="n">
        <x:v>8</x:v>
      </x:c>
      <x:c r="K63" s="46" t="n">
        <x:f>IF(COUNT(G63,I63)=0,"",AVERAGE(G63,I63))</x:f>
        <x:v>7</x:v>
      </x:c>
      <x:c r="L63" s="46" t="n">
        <x:f>IF(COUNT(H63,J63)=0,"",AVERAGE(H63,J63))</x:f>
        <x:v>7.75</x:v>
      </x:c>
      <x:c r="M63" s="46" t="n">
        <x:f>IF(OR(K63="",L63=""),"",L63-K63)</x:f>
        <x:v>0.75</x:v>
      </x:c>
      <x:c r="N63" s="46" t="str">
        <x:f>IF(OR(K63="",A62&lt;&gt;A63,K62=""),"",K63-K62)</x:f>
      </x:c>
      <x:c r="O63" s="42" t="str">
        <x:v>Sem informação</x:v>
      </x:c>
      <x:c r="P63" s="42"/>
      <x:c r="Q63" s="42" t="str"/>
      <x:c r="R63" s="42" t="str">
        <x:v>Boa opção para primeiro volante</x:v>
      </x:c>
      <x:c r="S63" s="42" t="str"/>
      <x:c r="T63" s="42" t="str"/>
    </x:row>
    <x:row r="64">
      <x:c r="A64" s="42" t="str">
        <x:v>André</x:v>
      </x:c>
      <x:c r="B64" s="42" t="n">
        <x:v>2026</x:v>
      </x:c>
      <x:c r="C64" s="42" t="str">
        <x:v>T3</x:v>
      </x:c>
      <x:c r="D64" s="44" t="n">
        <x:v>46295</x:v>
      </x:c>
      <x:c r="E64" s="42" t="str">
        <x:v>Mezzala esquerdo</x:v>
      </x:c>
      <x:c r="F64" s="42" t="str">
        <x:v>Wolverhampton Wanderers</x:v>
      </x:c>
      <x:c r="G64" s="46"/>
      <x:c r="H64" s="46"/>
      <x:c r="I64" s="46"/>
      <x:c r="J64" s="46"/>
      <x:c r="K64" s="46" t="str">
        <x:f>IF(COUNT(G64,I64)=0,"",AVERAGE(G64,I64))</x:f>
      </x:c>
      <x:c r="L64" s="46" t="str">
        <x:f>IF(COUNT(H64,J64)=0,"",AVERAGE(H64,J64))</x:f>
      </x:c>
      <x:c r="M64" s="46" t="str">
        <x:f>IF(OR(K64="",L64=""),"",L64-K64)</x:f>
      </x:c>
      <x:c r="N64" s="46" t="str">
        <x:f>IF(OR(K64="",A63&lt;&gt;A64,K63=""),"",K64-K63)</x:f>
      </x:c>
      <x:c r="O64" s="42" t="str">
        <x:v>Sem informação</x:v>
      </x:c>
      <x:c r="P64" s="42"/>
      <x:c r="Q64" s="42" t="str"/>
      <x:c r="R64" s="42" t="str"/>
      <x:c r="S64" s="42" t="str"/>
      <x:c r="T64" s="42" t="str"/>
    </x:row>
    <x:row r="65">
      <x:c r="A65" s="42" t="str">
        <x:v>André</x:v>
      </x:c>
      <x:c r="B65" s="42" t="n">
        <x:v>2026</x:v>
      </x:c>
      <x:c r="C65" s="42" t="str">
        <x:v>T4</x:v>
      </x:c>
      <x:c r="D65" s="44" t="n">
        <x:v>46387</x:v>
      </x:c>
      <x:c r="E65" s="42" t="str">
        <x:v>Mezzala esquerdo</x:v>
      </x:c>
      <x:c r="F65" s="42" t="str">
        <x:v>Wolverhampton Wanderers</x:v>
      </x:c>
      <x:c r="G65" s="46"/>
      <x:c r="H65" s="46"/>
      <x:c r="I65" s="46"/>
      <x:c r="J65" s="46"/>
      <x:c r="K65" s="46" t="str">
        <x:f>IF(COUNT(G65,I65)=0,"",AVERAGE(G65,I65))</x:f>
      </x:c>
      <x:c r="L65" s="46" t="str">
        <x:f>IF(COUNT(H65,J65)=0,"",AVERAGE(H65,J65))</x:f>
      </x:c>
      <x:c r="M65" s="46" t="str">
        <x:f>IF(OR(K65="",L65=""),"",L65-K65)</x:f>
      </x:c>
      <x:c r="N65" s="46" t="str">
        <x:f>IF(OR(K65="",A64&lt;&gt;A65,K64=""),"",K65-K64)</x:f>
      </x:c>
      <x:c r="O65" s="42" t="str">
        <x:v>Sem informação</x:v>
      </x:c>
      <x:c r="P65" s="42"/>
      <x:c r="Q65" s="42" t="str"/>
      <x:c r="R65" s="42" t="str"/>
      <x:c r="S65" s="42" t="str"/>
      <x:c r="T65" s="42" t="str"/>
    </x:row>
    <x:row r="66">
      <x:c r="A66" s="42" t="str">
        <x:v>André</x:v>
      </x:c>
      <x:c r="B66" s="42" t="n">
        <x:v>2027</x:v>
      </x:c>
      <x:c r="C66" s="42" t="str">
        <x:v>T1</x:v>
      </x:c>
      <x:c r="D66" s="44" t="n">
        <x:v>46477</x:v>
      </x:c>
      <x:c r="E66" s="42" t="str">
        <x:v>Mezzala esquerdo</x:v>
      </x:c>
      <x:c r="F66" s="42" t="str">
        <x:v>Wolverhampton Wanderers</x:v>
      </x:c>
      <x:c r="G66" s="46"/>
      <x:c r="H66" s="46"/>
      <x:c r="I66" s="46"/>
      <x:c r="J66" s="46"/>
      <x:c r="K66" s="46" t="str">
        <x:f>IF(COUNT(G66,I66)=0,"",AVERAGE(G66,I66))</x:f>
      </x:c>
      <x:c r="L66" s="46" t="str">
        <x:f>IF(COUNT(H66,J66)=0,"",AVERAGE(H66,J66))</x:f>
      </x:c>
      <x:c r="M66" s="46" t="str">
        <x:f>IF(OR(K66="",L66=""),"",L66-K66)</x:f>
      </x:c>
      <x:c r="N66" s="46" t="str">
        <x:f>IF(OR(K66="",A65&lt;&gt;A66,K65=""),"",K66-K65)</x:f>
      </x:c>
      <x:c r="O66" s="42" t="str">
        <x:v>Sem informação</x:v>
      </x:c>
      <x:c r="P66" s="42"/>
      <x:c r="Q66" s="42" t="str"/>
      <x:c r="R66" s="42" t="str"/>
      <x:c r="S66" s="42" t="str"/>
      <x:c r="T66" s="42" t="str"/>
    </x:row>
    <x:row r="67">
      <x:c r="A67" s="42" t="str">
        <x:v>André</x:v>
      </x:c>
      <x:c r="B67" s="42" t="n">
        <x:v>2027</x:v>
      </x:c>
      <x:c r="C67" s="42" t="str">
        <x:v>T2</x:v>
      </x:c>
      <x:c r="D67" s="44" t="n">
        <x:v>46568</x:v>
      </x:c>
      <x:c r="E67" s="42" t="str">
        <x:v>Mezzala esquerdo</x:v>
      </x:c>
      <x:c r="F67" s="42" t="str">
        <x:v>Wolverhampton Wanderers</x:v>
      </x:c>
      <x:c r="G67" s="46"/>
      <x:c r="H67" s="46"/>
      <x:c r="I67" s="46"/>
      <x:c r="J67" s="46"/>
      <x:c r="K67" s="46" t="str">
        <x:f>IF(COUNT(G67,I67)=0,"",AVERAGE(G67,I67))</x:f>
      </x:c>
      <x:c r="L67" s="46" t="str">
        <x:f>IF(COUNT(H67,J67)=0,"",AVERAGE(H67,J67))</x:f>
      </x:c>
      <x:c r="M67" s="46" t="str">
        <x:f>IF(OR(K67="",L67=""),"",L67-K67)</x:f>
      </x:c>
      <x:c r="N67" s="46" t="str">
        <x:f>IF(OR(K67="",A66&lt;&gt;A67,K66=""),"",K67-K66)</x:f>
      </x:c>
      <x:c r="O67" s="42" t="str">
        <x:v>Sem informação</x:v>
      </x:c>
      <x:c r="P67" s="42"/>
      <x:c r="Q67" s="42" t="str"/>
      <x:c r="R67" s="42" t="str"/>
      <x:c r="S67" s="42" t="str"/>
      <x:c r="T67" s="42" t="str"/>
    </x:row>
    <x:row r="68">
      <x:c r="A68" s="42" t="str">
        <x:v>André</x:v>
      </x:c>
      <x:c r="B68" s="42" t="n">
        <x:v>2027</x:v>
      </x:c>
      <x:c r="C68" s="42" t="str">
        <x:v>T3</x:v>
      </x:c>
      <x:c r="D68" s="44" t="n">
        <x:v>46660</x:v>
      </x:c>
      <x:c r="E68" s="42" t="str">
        <x:v>Mezzala esquerdo</x:v>
      </x:c>
      <x:c r="F68" s="42" t="str">
        <x:v>Wolverhampton Wanderers</x:v>
      </x:c>
      <x:c r="G68" s="46"/>
      <x:c r="H68" s="46"/>
      <x:c r="I68" s="46"/>
      <x:c r="J68" s="46"/>
      <x:c r="K68" s="46" t="str">
        <x:f>IF(COUNT(G68,I68)=0,"",AVERAGE(G68,I68))</x:f>
      </x:c>
      <x:c r="L68" s="46" t="str">
        <x:f>IF(COUNT(H68,J68)=0,"",AVERAGE(H68,J68))</x:f>
      </x:c>
      <x:c r="M68" s="46" t="str">
        <x:f>IF(OR(K68="",L68=""),"",L68-K68)</x:f>
      </x:c>
      <x:c r="N68" s="46" t="str">
        <x:f>IF(OR(K68="",A67&lt;&gt;A68,K67=""),"",K68-K67)</x:f>
      </x:c>
      <x:c r="O68" s="42" t="str">
        <x:v>Sem informação</x:v>
      </x:c>
      <x:c r="P68" s="42"/>
      <x:c r="Q68" s="42" t="str"/>
      <x:c r="R68" s="42" t="str"/>
      <x:c r="S68" s="42" t="str"/>
      <x:c r="T68" s="42" t="str"/>
    </x:row>
    <x:row r="69">
      <x:c r="A69" s="42" t="str">
        <x:v>André</x:v>
      </x:c>
      <x:c r="B69" s="42" t="n">
        <x:v>2027</x:v>
      </x:c>
      <x:c r="C69" s="42" t="str">
        <x:v>T4</x:v>
      </x:c>
      <x:c r="D69" s="44" t="n">
        <x:v>46752</x:v>
      </x:c>
      <x:c r="E69" s="42" t="str">
        <x:v>Mezzala esquerdo</x:v>
      </x:c>
      <x:c r="F69" s="42" t="str">
        <x:v>Wolverhampton Wanderers</x:v>
      </x:c>
      <x:c r="G69" s="46"/>
      <x:c r="H69" s="46"/>
      <x:c r="I69" s="46"/>
      <x:c r="J69" s="46"/>
      <x:c r="K69" s="46" t="str">
        <x:f>IF(COUNT(G69,I69)=0,"",AVERAGE(G69,I69))</x:f>
      </x:c>
      <x:c r="L69" s="46" t="str">
        <x:f>IF(COUNT(H69,J69)=0,"",AVERAGE(H69,J69))</x:f>
      </x:c>
      <x:c r="M69" s="46" t="str">
        <x:f>IF(OR(K69="",L69=""),"",L69-K69)</x:f>
      </x:c>
      <x:c r="N69" s="46" t="str">
        <x:f>IF(OR(K69="",A68&lt;&gt;A69,K68=""),"",K69-K68)</x:f>
      </x:c>
      <x:c r="O69" s="42" t="str">
        <x:v>Sem informação</x:v>
      </x:c>
      <x:c r="P69" s="42"/>
      <x:c r="Q69" s="42" t="str"/>
      <x:c r="R69" s="42" t="str"/>
      <x:c r="S69" s="42" t="str"/>
      <x:c r="T69" s="42" t="str"/>
    </x:row>
    <x:row r="70">
      <x:c r="A70" s="42" t="str">
        <x:v>André</x:v>
      </x:c>
      <x:c r="B70" s="42" t="n">
        <x:v>2028</x:v>
      </x:c>
      <x:c r="C70" s="42" t="str">
        <x:v>T1</x:v>
      </x:c>
      <x:c r="D70" s="44" t="n">
        <x:v>46843</x:v>
      </x:c>
      <x:c r="E70" s="42" t="str">
        <x:v>Mezzala esquerdo</x:v>
      </x:c>
      <x:c r="F70" s="42" t="str">
        <x:v>Wolverhampton Wanderers</x:v>
      </x:c>
      <x:c r="G70" s="46"/>
      <x:c r="H70" s="46"/>
      <x:c r="I70" s="46"/>
      <x:c r="J70" s="46"/>
      <x:c r="K70" s="46" t="str">
        <x:f>IF(COUNT(G70,I70)=0,"",AVERAGE(G70,I70))</x:f>
      </x:c>
      <x:c r="L70" s="46" t="str">
        <x:f>IF(COUNT(H70,J70)=0,"",AVERAGE(H70,J70))</x:f>
      </x:c>
      <x:c r="M70" s="46" t="str">
        <x:f>IF(OR(K70="",L70=""),"",L70-K70)</x:f>
      </x:c>
      <x:c r="N70" s="46" t="str">
        <x:f>IF(OR(K70="",A69&lt;&gt;A70,K69=""),"",K70-K69)</x:f>
      </x:c>
      <x:c r="O70" s="42" t="str">
        <x:v>Sem informação</x:v>
      </x:c>
      <x:c r="P70" s="42"/>
      <x:c r="Q70" s="42" t="str"/>
      <x:c r="R70" s="42" t="str"/>
      <x:c r="S70" s="42" t="str"/>
      <x:c r="T70" s="42" t="str"/>
    </x:row>
    <x:row r="71">
      <x:c r="A71" s="42" t="str">
        <x:v>André</x:v>
      </x:c>
      <x:c r="B71" s="42" t="n">
        <x:v>2028</x:v>
      </x:c>
      <x:c r="C71" s="42" t="str">
        <x:v>T2</x:v>
      </x:c>
      <x:c r="D71" s="44" t="n">
        <x:v>46934</x:v>
      </x:c>
      <x:c r="E71" s="42" t="str">
        <x:v>Mezzala esquerdo</x:v>
      </x:c>
      <x:c r="F71" s="42" t="str">
        <x:v>Wolverhampton Wanderers</x:v>
      </x:c>
      <x:c r="G71" s="46"/>
      <x:c r="H71" s="46"/>
      <x:c r="I71" s="46"/>
      <x:c r="J71" s="46"/>
      <x:c r="K71" s="46" t="str">
        <x:f>IF(COUNT(G71,I71)=0,"",AVERAGE(G71,I71))</x:f>
      </x:c>
      <x:c r="L71" s="46" t="str">
        <x:f>IF(COUNT(H71,J71)=0,"",AVERAGE(H71,J71))</x:f>
      </x:c>
      <x:c r="M71" s="46" t="str">
        <x:f>IF(OR(K71="",L71=""),"",L71-K71)</x:f>
      </x:c>
      <x:c r="N71" s="46" t="str">
        <x:f>IF(OR(K71="",A70&lt;&gt;A71,K70=""),"",K71-K70)</x:f>
      </x:c>
      <x:c r="O71" s="42" t="str">
        <x:v>Sem informação</x:v>
      </x:c>
      <x:c r="P71" s="42"/>
      <x:c r="Q71" s="42" t="str"/>
      <x:c r="R71" s="42" t="str"/>
      <x:c r="S71" s="42" t="str"/>
      <x:c r="T71" s="42" t="str"/>
    </x:row>
    <x:row r="72">
      <x:c r="A72" s="42" t="str">
        <x:v>André</x:v>
      </x:c>
      <x:c r="B72" s="42" t="n">
        <x:v>2028</x:v>
      </x:c>
      <x:c r="C72" s="42" t="str">
        <x:v>T3</x:v>
      </x:c>
      <x:c r="D72" s="44" t="n">
        <x:v>47026</x:v>
      </x:c>
      <x:c r="E72" s="42" t="str">
        <x:v>Mezzala esquerdo</x:v>
      </x:c>
      <x:c r="F72" s="42" t="str">
        <x:v>Wolverhampton Wanderers</x:v>
      </x:c>
      <x:c r="G72" s="46"/>
      <x:c r="H72" s="46"/>
      <x:c r="I72" s="46"/>
      <x:c r="J72" s="46"/>
      <x:c r="K72" s="46" t="str">
        <x:f>IF(COUNT(G72,I72)=0,"",AVERAGE(G72,I72))</x:f>
      </x:c>
      <x:c r="L72" s="46" t="str">
        <x:f>IF(COUNT(H72,J72)=0,"",AVERAGE(H72,J72))</x:f>
      </x:c>
      <x:c r="M72" s="46" t="str">
        <x:f>IF(OR(K72="",L72=""),"",L72-K72)</x:f>
      </x:c>
      <x:c r="N72" s="46" t="str">
        <x:f>IF(OR(K72="",A71&lt;&gt;A72,K71=""),"",K72-K71)</x:f>
      </x:c>
      <x:c r="O72" s="42" t="str">
        <x:v>Sem informação</x:v>
      </x:c>
      <x:c r="P72" s="42"/>
      <x:c r="Q72" s="42" t="str"/>
      <x:c r="R72" s="42" t="str"/>
      <x:c r="S72" s="42" t="str"/>
      <x:c r="T72" s="42" t="str"/>
    </x:row>
    <x:row r="73">
      <x:c r="A73" s="42" t="str">
        <x:v>André</x:v>
      </x:c>
      <x:c r="B73" s="42" t="n">
        <x:v>2028</x:v>
      </x:c>
      <x:c r="C73" s="42" t="str">
        <x:v>T4</x:v>
      </x:c>
      <x:c r="D73" s="44" t="n">
        <x:v>47118</x:v>
      </x:c>
      <x:c r="E73" s="42" t="str">
        <x:v>Mezzala esquerdo</x:v>
      </x:c>
      <x:c r="F73" s="42" t="str">
        <x:v>Wolverhampton Wanderers</x:v>
      </x:c>
      <x:c r="G73" s="46"/>
      <x:c r="H73" s="46"/>
      <x:c r="I73" s="46"/>
      <x:c r="J73" s="46"/>
      <x:c r="K73" s="46" t="str">
        <x:f>IF(COUNT(G73,I73)=0,"",AVERAGE(G73,I73))</x:f>
      </x:c>
      <x:c r="L73" s="46" t="str">
        <x:f>IF(COUNT(H73,J73)=0,"",AVERAGE(H73,J73))</x:f>
      </x:c>
      <x:c r="M73" s="46" t="str">
        <x:f>IF(OR(K73="",L73=""),"",L73-K73)</x:f>
      </x:c>
      <x:c r="N73" s="46" t="str">
        <x:f>IF(OR(K73="",A72&lt;&gt;A73,K72=""),"",K73-K72)</x:f>
      </x:c>
      <x:c r="O73" s="42" t="str">
        <x:v>Sem informação</x:v>
      </x:c>
      <x:c r="P73" s="42"/>
      <x:c r="Q73" s="42" t="str"/>
      <x:c r="R73" s="42" t="str"/>
      <x:c r="S73" s="42" t="str"/>
      <x:c r="T73" s="42" t="str"/>
    </x:row>
    <x:row r="74">
      <x:c r="A74" s="42" t="str">
        <x:v>André</x:v>
      </x:c>
      <x:c r="B74" s="42" t="n">
        <x:v>2029</x:v>
      </x:c>
      <x:c r="C74" s="42" t="str">
        <x:v>T1</x:v>
      </x:c>
      <x:c r="D74" s="44" t="n">
        <x:v>47208</x:v>
      </x:c>
      <x:c r="E74" s="42" t="str">
        <x:v>Mezzala esquerdo</x:v>
      </x:c>
      <x:c r="F74" s="42" t="str">
        <x:v>Wolverhampton Wanderers</x:v>
      </x:c>
      <x:c r="G74" s="46"/>
      <x:c r="H74" s="46"/>
      <x:c r="I74" s="46"/>
      <x:c r="J74" s="46"/>
      <x:c r="K74" s="46" t="str">
        <x:f>IF(COUNT(G74,I74)=0,"",AVERAGE(G74,I74))</x:f>
      </x:c>
      <x:c r="L74" s="46" t="str">
        <x:f>IF(COUNT(H74,J74)=0,"",AVERAGE(H74,J74))</x:f>
      </x:c>
      <x:c r="M74" s="46" t="str">
        <x:f>IF(OR(K74="",L74=""),"",L74-K74)</x:f>
      </x:c>
      <x:c r="N74" s="46" t="str">
        <x:f>IF(OR(K74="",A73&lt;&gt;A74,K73=""),"",K74-K73)</x:f>
      </x:c>
      <x:c r="O74" s="42" t="str">
        <x:v>Sem informação</x:v>
      </x:c>
      <x:c r="P74" s="42"/>
      <x:c r="Q74" s="42" t="str"/>
      <x:c r="R74" s="42" t="str"/>
      <x:c r="S74" s="42" t="str"/>
      <x:c r="T74" s="42" t="str"/>
    </x:row>
    <x:row r="75">
      <x:c r="A75" s="42" t="str">
        <x:v>André</x:v>
      </x:c>
      <x:c r="B75" s="42" t="n">
        <x:v>2029</x:v>
      </x:c>
      <x:c r="C75" s="42" t="str">
        <x:v>T2</x:v>
      </x:c>
      <x:c r="D75" s="44" t="n">
        <x:v>47299</x:v>
      </x:c>
      <x:c r="E75" s="42" t="str">
        <x:v>Mezzala esquerdo</x:v>
      </x:c>
      <x:c r="F75" s="42" t="str">
        <x:v>Wolverhampton Wanderers</x:v>
      </x:c>
      <x:c r="G75" s="46"/>
      <x:c r="H75" s="46"/>
      <x:c r="I75" s="46"/>
      <x:c r="J75" s="46"/>
      <x:c r="K75" s="46" t="str">
        <x:f>IF(COUNT(G75,I75)=0,"",AVERAGE(G75,I75))</x:f>
      </x:c>
      <x:c r="L75" s="46" t="str">
        <x:f>IF(COUNT(H75,J75)=0,"",AVERAGE(H75,J75))</x:f>
      </x:c>
      <x:c r="M75" s="46" t="str">
        <x:f>IF(OR(K75="",L75=""),"",L75-K75)</x:f>
      </x:c>
      <x:c r="N75" s="46" t="str">
        <x:f>IF(OR(K75="",A74&lt;&gt;A75,K74=""),"",K75-K74)</x:f>
      </x:c>
      <x:c r="O75" s="42" t="str">
        <x:v>Sem informação</x:v>
      </x:c>
      <x:c r="P75" s="42"/>
      <x:c r="Q75" s="42" t="str"/>
      <x:c r="R75" s="42" t="str"/>
      <x:c r="S75" s="42" t="str"/>
      <x:c r="T75" s="42" t="str"/>
    </x:row>
    <x:row r="76">
      <x:c r="A76" s="42" t="str">
        <x:v>André</x:v>
      </x:c>
      <x:c r="B76" s="42" t="n">
        <x:v>2029</x:v>
      </x:c>
      <x:c r="C76" s="42" t="str">
        <x:v>T3</x:v>
      </x:c>
      <x:c r="D76" s="44" t="n">
        <x:v>47391</x:v>
      </x:c>
      <x:c r="E76" s="42" t="str">
        <x:v>Mezzala esquerdo</x:v>
      </x:c>
      <x:c r="F76" s="42" t="str">
        <x:v>Wolverhampton Wanderers</x:v>
      </x:c>
      <x:c r="G76" s="46"/>
      <x:c r="H76" s="46"/>
      <x:c r="I76" s="46"/>
      <x:c r="J76" s="46"/>
      <x:c r="K76" s="46" t="str">
        <x:f>IF(COUNT(G76,I76)=0,"",AVERAGE(G76,I76))</x:f>
      </x:c>
      <x:c r="L76" s="46" t="str">
        <x:f>IF(COUNT(H76,J76)=0,"",AVERAGE(H76,J76))</x:f>
      </x:c>
      <x:c r="M76" s="46" t="str">
        <x:f>IF(OR(K76="",L76=""),"",L76-K76)</x:f>
      </x:c>
      <x:c r="N76" s="46" t="str">
        <x:f>IF(OR(K76="",A75&lt;&gt;A76,K75=""),"",K76-K75)</x:f>
      </x:c>
      <x:c r="O76" s="42" t="str">
        <x:v>Sem informação</x:v>
      </x:c>
      <x:c r="P76" s="42"/>
      <x:c r="Q76" s="42" t="str"/>
      <x:c r="R76" s="42" t="str"/>
      <x:c r="S76" s="42" t="str"/>
      <x:c r="T76" s="42" t="str"/>
    </x:row>
    <x:row r="77">
      <x:c r="A77" s="42" t="str">
        <x:v>André</x:v>
      </x:c>
      <x:c r="B77" s="42" t="n">
        <x:v>2029</x:v>
      </x:c>
      <x:c r="C77" s="42" t="str">
        <x:v>T4</x:v>
      </x:c>
      <x:c r="D77" s="44" t="n">
        <x:v>47483</x:v>
      </x:c>
      <x:c r="E77" s="42" t="str">
        <x:v>Mezzala esquerdo</x:v>
      </x:c>
      <x:c r="F77" s="42" t="str">
        <x:v>Wolverhampton Wanderers</x:v>
      </x:c>
      <x:c r="G77" s="46"/>
      <x:c r="H77" s="46"/>
      <x:c r="I77" s="46"/>
      <x:c r="J77" s="46"/>
      <x:c r="K77" s="46" t="str">
        <x:f>IF(COUNT(G77,I77)=0,"",AVERAGE(G77,I77))</x:f>
      </x:c>
      <x:c r="L77" s="46" t="str">
        <x:f>IF(COUNT(H77,J77)=0,"",AVERAGE(H77,J77))</x:f>
      </x:c>
      <x:c r="M77" s="46" t="str">
        <x:f>IF(OR(K77="",L77=""),"",L77-K77)</x:f>
      </x:c>
      <x:c r="N77" s="46" t="str">
        <x:f>IF(OR(K77="",A76&lt;&gt;A77,K76=""),"",K77-K76)</x:f>
      </x:c>
      <x:c r="O77" s="42" t="str">
        <x:v>Sem informação</x:v>
      </x:c>
      <x:c r="P77" s="42"/>
      <x:c r="Q77" s="42" t="str"/>
      <x:c r="R77" s="42" t="str"/>
      <x:c r="S77" s="42" t="str"/>
      <x:c r="T77" s="42" t="str"/>
    </x:row>
    <x:row r="78">
      <x:c r="A78" s="42" t="str">
        <x:v>André</x:v>
      </x:c>
      <x:c r="B78" s="42" t="n">
        <x:v>2030</x:v>
      </x:c>
      <x:c r="C78" s="42" t="str">
        <x:v>T1</x:v>
      </x:c>
      <x:c r="D78" s="44" t="n">
        <x:v>47573</x:v>
      </x:c>
      <x:c r="E78" s="42" t="str">
        <x:v>Mezzala esquerdo</x:v>
      </x:c>
      <x:c r="F78" s="42" t="str">
        <x:v>Wolverhampton Wanderers</x:v>
      </x:c>
      <x:c r="G78" s="46"/>
      <x:c r="H78" s="46"/>
      <x:c r="I78" s="46"/>
      <x:c r="J78" s="46"/>
      <x:c r="K78" s="46" t="str">
        <x:f>IF(COUNT(G78,I78)=0,"",AVERAGE(G78,I78))</x:f>
      </x:c>
      <x:c r="L78" s="46" t="str">
        <x:f>IF(COUNT(H78,J78)=0,"",AVERAGE(H78,J78))</x:f>
      </x:c>
      <x:c r="M78" s="46" t="str">
        <x:f>IF(OR(K78="",L78=""),"",L78-K78)</x:f>
      </x:c>
      <x:c r="N78" s="46" t="str">
        <x:f>IF(OR(K78="",A77&lt;&gt;A78,K77=""),"",K78-K77)</x:f>
      </x:c>
      <x:c r="O78" s="42" t="str">
        <x:v>Sem informação</x:v>
      </x:c>
      <x:c r="P78" s="42"/>
      <x:c r="Q78" s="42" t="str"/>
      <x:c r="R78" s="42" t="str"/>
      <x:c r="S78" s="42" t="str"/>
      <x:c r="T78" s="42" t="str"/>
    </x:row>
    <x:row r="79">
      <x:c r="A79" s="42" t="str">
        <x:v>André</x:v>
      </x:c>
      <x:c r="B79" s="42" t="n">
        <x:v>2030</x:v>
      </x:c>
      <x:c r="C79" s="42" t="str">
        <x:v>T2</x:v>
      </x:c>
      <x:c r="D79" s="44" t="n">
        <x:v>47664</x:v>
      </x:c>
      <x:c r="E79" s="42" t="str">
        <x:v>Mezzala esquerdo</x:v>
      </x:c>
      <x:c r="F79" s="42" t="str">
        <x:v>Wolverhampton Wanderers</x:v>
      </x:c>
      <x:c r="G79" s="46"/>
      <x:c r="H79" s="46"/>
      <x:c r="I79" s="46"/>
      <x:c r="J79" s="46"/>
      <x:c r="K79" s="46" t="str">
        <x:f>IF(COUNT(G79,I79)=0,"",AVERAGE(G79,I79))</x:f>
      </x:c>
      <x:c r="L79" s="46" t="str">
        <x:f>IF(COUNT(H79,J79)=0,"",AVERAGE(H79,J79))</x:f>
      </x:c>
      <x:c r="M79" s="46" t="str">
        <x:f>IF(OR(K79="",L79=""),"",L79-K79)</x:f>
      </x:c>
      <x:c r="N79" s="46" t="str">
        <x:f>IF(OR(K79="",A78&lt;&gt;A79,K78=""),"",K79-K78)</x:f>
      </x:c>
      <x:c r="O79" s="42" t="str">
        <x:v>Sem informação</x:v>
      </x:c>
      <x:c r="P79" s="42"/>
      <x:c r="Q79" s="42" t="str"/>
      <x:c r="R79" s="42" t="str"/>
      <x:c r="S79" s="42" t="str"/>
      <x:c r="T79" s="42" t="str"/>
    </x:row>
    <x:row r="80">
      <x:c r="A80" s="42" t="str">
        <x:v>André</x:v>
      </x:c>
      <x:c r="B80" s="42" t="n">
        <x:v>2030</x:v>
      </x:c>
      <x:c r="C80" s="42" t="str">
        <x:v>T3</x:v>
      </x:c>
      <x:c r="D80" s="44" t="n">
        <x:v>47756</x:v>
      </x:c>
      <x:c r="E80" s="42" t="str">
        <x:v>Mezzala esquerdo</x:v>
      </x:c>
      <x:c r="F80" s="42" t="str">
        <x:v>Wolverhampton Wanderers</x:v>
      </x:c>
      <x:c r="G80" s="46"/>
      <x:c r="H80" s="46"/>
      <x:c r="I80" s="46"/>
      <x:c r="J80" s="46"/>
      <x:c r="K80" s="46" t="str">
        <x:f>IF(COUNT(G80,I80)=0,"",AVERAGE(G80,I80))</x:f>
      </x:c>
      <x:c r="L80" s="46" t="str">
        <x:f>IF(COUNT(H80,J80)=0,"",AVERAGE(H80,J80))</x:f>
      </x:c>
      <x:c r="M80" s="46" t="str">
        <x:f>IF(OR(K80="",L80=""),"",L80-K80)</x:f>
      </x:c>
      <x:c r="N80" s="46" t="str">
        <x:f>IF(OR(K80="",A79&lt;&gt;A80,K79=""),"",K80-K79)</x:f>
      </x:c>
      <x:c r="O80" s="42" t="str">
        <x:v>Sem informação</x:v>
      </x:c>
      <x:c r="P80" s="42"/>
      <x:c r="Q80" s="42" t="str"/>
      <x:c r="R80" s="42" t="str"/>
      <x:c r="S80" s="42" t="str"/>
      <x:c r="T80" s="42" t="str"/>
    </x:row>
    <x:row r="81">
      <x:c r="A81" s="42" t="str">
        <x:v>André</x:v>
      </x:c>
      <x:c r="B81" s="42" t="n">
        <x:v>2030</x:v>
      </x:c>
      <x:c r="C81" s="42" t="str">
        <x:v>T4</x:v>
      </x:c>
      <x:c r="D81" s="44" t="n">
        <x:v>47848</x:v>
      </x:c>
      <x:c r="E81" s="42" t="str">
        <x:v>Mezzala esquerdo</x:v>
      </x:c>
      <x:c r="F81" s="42" t="str">
        <x:v>Wolverhampton Wanderers</x:v>
      </x:c>
      <x:c r="G81" s="46"/>
      <x:c r="H81" s="46"/>
      <x:c r="I81" s="46"/>
      <x:c r="J81" s="46"/>
      <x:c r="K81" s="46" t="str">
        <x:f>IF(COUNT(G81,I81)=0,"",AVERAGE(G81,I81))</x:f>
      </x:c>
      <x:c r="L81" s="46" t="str">
        <x:f>IF(COUNT(H81,J81)=0,"",AVERAGE(H81,J81))</x:f>
      </x:c>
      <x:c r="M81" s="46" t="str">
        <x:f>IF(OR(K81="",L81=""),"",L81-K81)</x:f>
      </x:c>
      <x:c r="N81" s="46" t="str">
        <x:f>IF(OR(K81="",A80&lt;&gt;A81,K80=""),"",K81-K80)</x:f>
      </x:c>
      <x:c r="O81" s="42" t="str">
        <x:v>Sem informação</x:v>
      </x:c>
      <x:c r="P81" s="42"/>
      <x:c r="Q81" s="42" t="str"/>
      <x:c r="R81" s="42" t="str"/>
      <x:c r="S81" s="42" t="str"/>
      <x:c r="T81" s="42" t="str"/>
    </x:row>
    <x:row r="82">
      <x:c r="A82" s="42" t="str">
        <x:v>Antony</x:v>
      </x:c>
      <x:c r="B82" s="42" t="n">
        <x:v>2026</x:v>
      </x:c>
      <x:c r="C82" s="42" t="str">
        <x:v>T1</x:v>
      </x:c>
      <x:c r="D82" s="44" t="n">
        <x:v>46112</x:v>
      </x:c>
      <x:c r="E82" s="42" t="str">
        <x:v>Ponta-direita</x:v>
      </x:c>
      <x:c r="F82" s="42" t="str">
        <x:v>Real Betis</x:v>
      </x:c>
      <x:c r="G82" s="46"/>
      <x:c r="H82" s="46"/>
      <x:c r="I82" s="46"/>
      <x:c r="J82" s="46"/>
      <x:c r="K82" s="46" t="str">
        <x:f>IF(COUNT(G82,I82)=0,"",AVERAGE(G82,I82))</x:f>
      </x:c>
      <x:c r="L82" s="46" t="str">
        <x:f>IF(COUNT(H82,J82)=0,"",AVERAGE(H82,J82))</x:f>
      </x:c>
      <x:c r="M82" s="46" t="str">
        <x:f>IF(OR(K82="",L82=""),"",L82-K82)</x:f>
      </x:c>
      <x:c r="N82" s="46" t="str">
        <x:f>IF(OR(K82="",A81&lt;&gt;A82,K81=""),"",K82-K81)</x:f>
      </x:c>
      <x:c r="O82" s="42" t="str">
        <x:v>Sem informação</x:v>
      </x:c>
      <x:c r="P82" s="42"/>
      <x:c r="Q82" s="42" t="str"/>
      <x:c r="R82" s="42" t="str"/>
      <x:c r="S82" s="42" t="str"/>
      <x:c r="T82" s="42" t="str"/>
    </x:row>
    <x:row r="83">
      <x:c r="A83" s="42" t="str">
        <x:v>Antony</x:v>
      </x:c>
      <x:c r="B83" s="42" t="n">
        <x:v>2026</x:v>
      </x:c>
      <x:c r="C83" s="42" t="str">
        <x:v>T2</x:v>
      </x:c>
      <x:c r="D83" s="44" t="n">
        <x:v>46203</x:v>
      </x:c>
      <x:c r="E83" s="42" t="str">
        <x:v>Ponta-direita</x:v>
      </x:c>
      <x:c r="F83" s="42" t="str">
        <x:v>Real Betis</x:v>
      </x:c>
      <x:c r="G83" s="46" t="n">
        <x:v>7</x:v>
      </x:c>
      <x:c r="H83" s="46" t="n">
        <x:v>6.5</x:v>
      </x:c>
      <x:c r="I83" s="46" t="n">
        <x:v>7</x:v>
      </x:c>
      <x:c r="J83" s="46" t="n">
        <x:v>6.5</x:v>
      </x:c>
      <x:c r="K83" s="46" t="n">
        <x:f>IF(COUNT(G83,I83)=0,"",AVERAGE(G83,I83))</x:f>
        <x:v>7</x:v>
      </x:c>
      <x:c r="L83" s="46" t="n">
        <x:f>IF(COUNT(H83,J83)=0,"",AVERAGE(H83,J83))</x:f>
        <x:v>6.5</x:v>
      </x:c>
      <x:c r="M83" s="46" t="n">
        <x:f>IF(OR(K83="",L83=""),"",L83-K83)</x:f>
        <x:v>-0.5</x:v>
      </x:c>
      <x:c r="N83" s="46" t="str">
        <x:f>IF(OR(K83="",A82&lt;&gt;A83,K82=""),"",K83-K82)</x:f>
      </x:c>
      <x:c r="O83" s="42" t="str">
        <x:v>Sem informação</x:v>
      </x:c>
      <x:c r="P83" s="42"/>
      <x:c r="Q83" s="42" t="str"/>
      <x:c r="R83" s="42" t="str"/>
      <x:c r="S83" s="42" t="str"/>
      <x:c r="T83" s="42" t="str"/>
    </x:row>
    <x:row r="84">
      <x:c r="A84" s="42" t="str">
        <x:v>Antony</x:v>
      </x:c>
      <x:c r="B84" s="42" t="n">
        <x:v>2026</x:v>
      </x:c>
      <x:c r="C84" s="42" t="str">
        <x:v>T3</x:v>
      </x:c>
      <x:c r="D84" s="44" t="n">
        <x:v>46295</x:v>
      </x:c>
      <x:c r="E84" s="42" t="str">
        <x:v>Ponta-direita</x:v>
      </x:c>
      <x:c r="F84" s="42" t="str">
        <x:v>Real Betis</x:v>
      </x:c>
      <x:c r="G84" s="46"/>
      <x:c r="H84" s="46"/>
      <x:c r="I84" s="46"/>
      <x:c r="J84" s="46"/>
      <x:c r="K84" s="46" t="str">
        <x:f>IF(COUNT(G84,I84)=0,"",AVERAGE(G84,I84))</x:f>
      </x:c>
      <x:c r="L84" s="46" t="str">
        <x:f>IF(COUNT(H84,J84)=0,"",AVERAGE(H84,J84))</x:f>
      </x:c>
      <x:c r="M84" s="46" t="str">
        <x:f>IF(OR(K84="",L84=""),"",L84-K84)</x:f>
      </x:c>
      <x:c r="N84" s="46" t="str">
        <x:f>IF(OR(K84="",A83&lt;&gt;A84,K83=""),"",K84-K83)</x:f>
      </x:c>
      <x:c r="O84" s="42" t="str">
        <x:v>Sem informação</x:v>
      </x:c>
      <x:c r="P84" s="42"/>
      <x:c r="Q84" s="42" t="str"/>
      <x:c r="R84" s="42" t="str"/>
      <x:c r="S84" s="42" t="str"/>
      <x:c r="T84" s="42" t="str"/>
    </x:row>
    <x:row r="85">
      <x:c r="A85" s="42" t="str">
        <x:v>Antony</x:v>
      </x:c>
      <x:c r="B85" s="42" t="n">
        <x:v>2026</x:v>
      </x:c>
      <x:c r="C85" s="42" t="str">
        <x:v>T4</x:v>
      </x:c>
      <x:c r="D85" s="44" t="n">
        <x:v>46387</x:v>
      </x:c>
      <x:c r="E85" s="42" t="str">
        <x:v>Ponta-direita</x:v>
      </x:c>
      <x:c r="F85" s="42" t="str">
        <x:v>Real Betis</x:v>
      </x:c>
      <x:c r="G85" s="46"/>
      <x:c r="H85" s="46"/>
      <x:c r="I85" s="46"/>
      <x:c r="J85" s="46"/>
      <x:c r="K85" s="46" t="str">
        <x:f>IF(COUNT(G85,I85)=0,"",AVERAGE(G85,I85))</x:f>
      </x:c>
      <x:c r="L85" s="46" t="str">
        <x:f>IF(COUNT(H85,J85)=0,"",AVERAGE(H85,J85))</x:f>
      </x:c>
      <x:c r="M85" s="46" t="str">
        <x:f>IF(OR(K85="",L85=""),"",L85-K85)</x:f>
      </x:c>
      <x:c r="N85" s="46" t="str">
        <x:f>IF(OR(K85="",A84&lt;&gt;A85,K84=""),"",K85-K84)</x:f>
      </x:c>
      <x:c r="O85" s="42" t="str">
        <x:v>Sem informação</x:v>
      </x:c>
      <x:c r="P85" s="42"/>
      <x:c r="Q85" s="42" t="str"/>
      <x:c r="R85" s="42" t="str"/>
      <x:c r="S85" s="42" t="str"/>
      <x:c r="T85" s="42" t="str"/>
    </x:row>
    <x:row r="86">
      <x:c r="A86" s="42" t="str">
        <x:v>Antony</x:v>
      </x:c>
      <x:c r="B86" s="42" t="n">
        <x:v>2027</x:v>
      </x:c>
      <x:c r="C86" s="42" t="str">
        <x:v>T1</x:v>
      </x:c>
      <x:c r="D86" s="44" t="n">
        <x:v>46477</x:v>
      </x:c>
      <x:c r="E86" s="42" t="str">
        <x:v>Ponta-direita</x:v>
      </x:c>
      <x:c r="F86" s="42" t="str">
        <x:v>Real Betis</x:v>
      </x:c>
      <x:c r="G86" s="46"/>
      <x:c r="H86" s="46"/>
      <x:c r="I86" s="46"/>
      <x:c r="J86" s="46"/>
      <x:c r="K86" s="46" t="str">
        <x:f>IF(COUNT(G86,I86)=0,"",AVERAGE(G86,I86))</x:f>
      </x:c>
      <x:c r="L86" s="46" t="str">
        <x:f>IF(COUNT(H86,J86)=0,"",AVERAGE(H86,J86))</x:f>
      </x:c>
      <x:c r="M86" s="46" t="str">
        <x:f>IF(OR(K86="",L86=""),"",L86-K86)</x:f>
      </x:c>
      <x:c r="N86" s="46" t="str">
        <x:f>IF(OR(K86="",A85&lt;&gt;A86,K85=""),"",K86-K85)</x:f>
      </x:c>
      <x:c r="O86" s="42" t="str">
        <x:v>Sem informação</x:v>
      </x:c>
      <x:c r="P86" s="42"/>
      <x:c r="Q86" s="42" t="str"/>
      <x:c r="R86" s="42" t="str"/>
      <x:c r="S86" s="42" t="str"/>
      <x:c r="T86" s="42" t="str"/>
    </x:row>
    <x:row r="87">
      <x:c r="A87" s="42" t="str">
        <x:v>Antony</x:v>
      </x:c>
      <x:c r="B87" s="42" t="n">
        <x:v>2027</x:v>
      </x:c>
      <x:c r="C87" s="42" t="str">
        <x:v>T2</x:v>
      </x:c>
      <x:c r="D87" s="44" t="n">
        <x:v>46568</x:v>
      </x:c>
      <x:c r="E87" s="42" t="str">
        <x:v>Ponta-direita</x:v>
      </x:c>
      <x:c r="F87" s="42" t="str">
        <x:v>Real Betis</x:v>
      </x:c>
      <x:c r="G87" s="46"/>
      <x:c r="H87" s="46"/>
      <x:c r="I87" s="46"/>
      <x:c r="J87" s="46"/>
      <x:c r="K87" s="46" t="str">
        <x:f>IF(COUNT(G87,I87)=0,"",AVERAGE(G87,I87))</x:f>
      </x:c>
      <x:c r="L87" s="46" t="str">
        <x:f>IF(COUNT(H87,J87)=0,"",AVERAGE(H87,J87))</x:f>
      </x:c>
      <x:c r="M87" s="46" t="str">
        <x:f>IF(OR(K87="",L87=""),"",L87-K87)</x:f>
      </x:c>
      <x:c r="N87" s="46" t="str">
        <x:f>IF(OR(K87="",A86&lt;&gt;A87,K86=""),"",K87-K86)</x:f>
      </x:c>
      <x:c r="O87" s="42" t="str">
        <x:v>Sem informação</x:v>
      </x:c>
      <x:c r="P87" s="42"/>
      <x:c r="Q87" s="42" t="str"/>
      <x:c r="R87" s="42" t="str"/>
      <x:c r="S87" s="42" t="str"/>
      <x:c r="T87" s="42" t="str"/>
    </x:row>
    <x:row r="88">
      <x:c r="A88" s="42" t="str">
        <x:v>Antony</x:v>
      </x:c>
      <x:c r="B88" s="42" t="n">
        <x:v>2027</x:v>
      </x:c>
      <x:c r="C88" s="42" t="str">
        <x:v>T3</x:v>
      </x:c>
      <x:c r="D88" s="44" t="n">
        <x:v>46660</x:v>
      </x:c>
      <x:c r="E88" s="42" t="str">
        <x:v>Ponta-direita</x:v>
      </x:c>
      <x:c r="F88" s="42" t="str">
        <x:v>Real Betis</x:v>
      </x:c>
      <x:c r="G88" s="46"/>
      <x:c r="H88" s="46"/>
      <x:c r="I88" s="46"/>
      <x:c r="J88" s="46"/>
      <x:c r="K88" s="46" t="str">
        <x:f>IF(COUNT(G88,I88)=0,"",AVERAGE(G88,I88))</x:f>
      </x:c>
      <x:c r="L88" s="46" t="str">
        <x:f>IF(COUNT(H88,J88)=0,"",AVERAGE(H88,J88))</x:f>
      </x:c>
      <x:c r="M88" s="46" t="str">
        <x:f>IF(OR(K88="",L88=""),"",L88-K88)</x:f>
      </x:c>
      <x:c r="N88" s="46" t="str">
        <x:f>IF(OR(K88="",A87&lt;&gt;A88,K87=""),"",K88-K87)</x:f>
      </x:c>
      <x:c r="O88" s="42" t="str">
        <x:v>Sem informação</x:v>
      </x:c>
      <x:c r="P88" s="42"/>
      <x:c r="Q88" s="42" t="str"/>
      <x:c r="R88" s="42" t="str"/>
      <x:c r="S88" s="42" t="str"/>
      <x:c r="T88" s="42" t="str"/>
    </x:row>
    <x:row r="89">
      <x:c r="A89" s="42" t="str">
        <x:v>Antony</x:v>
      </x:c>
      <x:c r="B89" s="42" t="n">
        <x:v>2027</x:v>
      </x:c>
      <x:c r="C89" s="42" t="str">
        <x:v>T4</x:v>
      </x:c>
      <x:c r="D89" s="44" t="n">
        <x:v>46752</x:v>
      </x:c>
      <x:c r="E89" s="42" t="str">
        <x:v>Ponta-direita</x:v>
      </x:c>
      <x:c r="F89" s="42" t="str">
        <x:v>Real Betis</x:v>
      </x:c>
      <x:c r="G89" s="46"/>
      <x:c r="H89" s="46"/>
      <x:c r="I89" s="46"/>
      <x:c r="J89" s="46"/>
      <x:c r="K89" s="46" t="str">
        <x:f>IF(COUNT(G89,I89)=0,"",AVERAGE(G89,I89))</x:f>
      </x:c>
      <x:c r="L89" s="46" t="str">
        <x:f>IF(COUNT(H89,J89)=0,"",AVERAGE(H89,J89))</x:f>
      </x:c>
      <x:c r="M89" s="46" t="str">
        <x:f>IF(OR(K89="",L89=""),"",L89-K89)</x:f>
      </x:c>
      <x:c r="N89" s="46" t="str">
        <x:f>IF(OR(K89="",A88&lt;&gt;A89,K88=""),"",K89-K88)</x:f>
      </x:c>
      <x:c r="O89" s="42" t="str">
        <x:v>Sem informação</x:v>
      </x:c>
      <x:c r="P89" s="42"/>
      <x:c r="Q89" s="42" t="str"/>
      <x:c r="R89" s="42" t="str"/>
      <x:c r="S89" s="42" t="str"/>
      <x:c r="T89" s="42" t="str"/>
    </x:row>
    <x:row r="90">
      <x:c r="A90" s="42" t="str">
        <x:v>Antony</x:v>
      </x:c>
      <x:c r="B90" s="42" t="n">
        <x:v>2028</x:v>
      </x:c>
      <x:c r="C90" s="42" t="str">
        <x:v>T1</x:v>
      </x:c>
      <x:c r="D90" s="44" t="n">
        <x:v>46843</x:v>
      </x:c>
      <x:c r="E90" s="42" t="str">
        <x:v>Ponta-direita</x:v>
      </x:c>
      <x:c r="F90" s="42" t="str">
        <x:v>Real Betis</x:v>
      </x:c>
      <x:c r="G90" s="46"/>
      <x:c r="H90" s="46"/>
      <x:c r="I90" s="46"/>
      <x:c r="J90" s="46"/>
      <x:c r="K90" s="46" t="str">
        <x:f>IF(COUNT(G90,I90)=0,"",AVERAGE(G90,I90))</x:f>
      </x:c>
      <x:c r="L90" s="46" t="str">
        <x:f>IF(COUNT(H90,J90)=0,"",AVERAGE(H90,J90))</x:f>
      </x:c>
      <x:c r="M90" s="46" t="str">
        <x:f>IF(OR(K90="",L90=""),"",L90-K90)</x:f>
      </x:c>
      <x:c r="N90" s="46" t="str">
        <x:f>IF(OR(K90="",A89&lt;&gt;A90,K89=""),"",K90-K89)</x:f>
      </x:c>
      <x:c r="O90" s="42" t="str">
        <x:v>Sem informação</x:v>
      </x:c>
      <x:c r="P90" s="42"/>
      <x:c r="Q90" s="42" t="str"/>
      <x:c r="R90" s="42" t="str"/>
      <x:c r="S90" s="42" t="str"/>
      <x:c r="T90" s="42" t="str"/>
    </x:row>
    <x:row r="91">
      <x:c r="A91" s="42" t="str">
        <x:v>Antony</x:v>
      </x:c>
      <x:c r="B91" s="42" t="n">
        <x:v>2028</x:v>
      </x:c>
      <x:c r="C91" s="42" t="str">
        <x:v>T2</x:v>
      </x:c>
      <x:c r="D91" s="44" t="n">
        <x:v>46934</x:v>
      </x:c>
      <x:c r="E91" s="42" t="str">
        <x:v>Ponta-direita</x:v>
      </x:c>
      <x:c r="F91" s="42" t="str">
        <x:v>Real Betis</x:v>
      </x:c>
      <x:c r="G91" s="46"/>
      <x:c r="H91" s="46"/>
      <x:c r="I91" s="46"/>
      <x:c r="J91" s="46"/>
      <x:c r="K91" s="46" t="str">
        <x:f>IF(COUNT(G91,I91)=0,"",AVERAGE(G91,I91))</x:f>
      </x:c>
      <x:c r="L91" s="46" t="str">
        <x:f>IF(COUNT(H91,J91)=0,"",AVERAGE(H91,J91))</x:f>
      </x:c>
      <x:c r="M91" s="46" t="str">
        <x:f>IF(OR(K91="",L91=""),"",L91-K91)</x:f>
      </x:c>
      <x:c r="N91" s="46" t="str">
        <x:f>IF(OR(K91="",A90&lt;&gt;A91,K90=""),"",K91-K90)</x:f>
      </x:c>
      <x:c r="O91" s="42" t="str">
        <x:v>Sem informação</x:v>
      </x:c>
      <x:c r="P91" s="42"/>
      <x:c r="Q91" s="42" t="str"/>
      <x:c r="R91" s="42" t="str"/>
      <x:c r="S91" s="42" t="str"/>
      <x:c r="T91" s="42" t="str"/>
    </x:row>
    <x:row r="92">
      <x:c r="A92" s="42" t="str">
        <x:v>Antony</x:v>
      </x:c>
      <x:c r="B92" s="42" t="n">
        <x:v>2028</x:v>
      </x:c>
      <x:c r="C92" s="42" t="str">
        <x:v>T3</x:v>
      </x:c>
      <x:c r="D92" s="44" t="n">
        <x:v>47026</x:v>
      </x:c>
      <x:c r="E92" s="42" t="str">
        <x:v>Ponta-direita</x:v>
      </x:c>
      <x:c r="F92" s="42" t="str">
        <x:v>Real Betis</x:v>
      </x:c>
      <x:c r="G92" s="46"/>
      <x:c r="H92" s="46"/>
      <x:c r="I92" s="46"/>
      <x:c r="J92" s="46"/>
      <x:c r="K92" s="46" t="str">
        <x:f>IF(COUNT(G92,I92)=0,"",AVERAGE(G92,I92))</x:f>
      </x:c>
      <x:c r="L92" s="46" t="str">
        <x:f>IF(COUNT(H92,J92)=0,"",AVERAGE(H92,J92))</x:f>
      </x:c>
      <x:c r="M92" s="46" t="str">
        <x:f>IF(OR(K92="",L92=""),"",L92-K92)</x:f>
      </x:c>
      <x:c r="N92" s="46" t="str">
        <x:f>IF(OR(K92="",A91&lt;&gt;A92,K91=""),"",K92-K91)</x:f>
      </x:c>
      <x:c r="O92" s="42" t="str">
        <x:v>Sem informação</x:v>
      </x:c>
      <x:c r="P92" s="42"/>
      <x:c r="Q92" s="42" t="str"/>
      <x:c r="R92" s="42" t="str"/>
      <x:c r="S92" s="42" t="str"/>
      <x:c r="T92" s="42" t="str"/>
    </x:row>
    <x:row r="93">
      <x:c r="A93" s="42" t="str">
        <x:v>Antony</x:v>
      </x:c>
      <x:c r="B93" s="42" t="n">
        <x:v>2028</x:v>
      </x:c>
      <x:c r="C93" s="42" t="str">
        <x:v>T4</x:v>
      </x:c>
      <x:c r="D93" s="44" t="n">
        <x:v>47118</x:v>
      </x:c>
      <x:c r="E93" s="42" t="str">
        <x:v>Ponta-direita</x:v>
      </x:c>
      <x:c r="F93" s="42" t="str">
        <x:v>Real Betis</x:v>
      </x:c>
      <x:c r="G93" s="46"/>
      <x:c r="H93" s="46"/>
      <x:c r="I93" s="46"/>
      <x:c r="J93" s="46"/>
      <x:c r="K93" s="46" t="str">
        <x:f>IF(COUNT(G93,I93)=0,"",AVERAGE(G93,I93))</x:f>
      </x:c>
      <x:c r="L93" s="46" t="str">
        <x:f>IF(COUNT(H93,J93)=0,"",AVERAGE(H93,J93))</x:f>
      </x:c>
      <x:c r="M93" s="46" t="str">
        <x:f>IF(OR(K93="",L93=""),"",L93-K93)</x:f>
      </x:c>
      <x:c r="N93" s="46" t="str">
        <x:f>IF(OR(K93="",A92&lt;&gt;A93,K92=""),"",K93-K92)</x:f>
      </x:c>
      <x:c r="O93" s="42" t="str">
        <x:v>Sem informação</x:v>
      </x:c>
      <x:c r="P93" s="42"/>
      <x:c r="Q93" s="42" t="str"/>
      <x:c r="R93" s="42" t="str"/>
      <x:c r="S93" s="42" t="str"/>
      <x:c r="T93" s="42" t="str"/>
    </x:row>
    <x:row r="94">
      <x:c r="A94" s="42" t="str">
        <x:v>Antony</x:v>
      </x:c>
      <x:c r="B94" s="42" t="n">
        <x:v>2029</x:v>
      </x:c>
      <x:c r="C94" s="42" t="str">
        <x:v>T1</x:v>
      </x:c>
      <x:c r="D94" s="44" t="n">
        <x:v>47208</x:v>
      </x:c>
      <x:c r="E94" s="42" t="str">
        <x:v>Ponta-direita</x:v>
      </x:c>
      <x:c r="F94" s="42" t="str">
        <x:v>Real Betis</x:v>
      </x:c>
      <x:c r="G94" s="46"/>
      <x:c r="H94" s="46"/>
      <x:c r="I94" s="46"/>
      <x:c r="J94" s="46"/>
      <x:c r="K94" s="46" t="str">
        <x:f>IF(COUNT(G94,I94)=0,"",AVERAGE(G94,I94))</x:f>
      </x:c>
      <x:c r="L94" s="46" t="str">
        <x:f>IF(COUNT(H94,J94)=0,"",AVERAGE(H94,J94))</x:f>
      </x:c>
      <x:c r="M94" s="46" t="str">
        <x:f>IF(OR(K94="",L94=""),"",L94-K94)</x:f>
      </x:c>
      <x:c r="N94" s="46" t="str">
        <x:f>IF(OR(K94="",A93&lt;&gt;A94,K93=""),"",K94-K93)</x:f>
      </x:c>
      <x:c r="O94" s="42" t="str">
        <x:v>Sem informação</x:v>
      </x:c>
      <x:c r="P94" s="42"/>
      <x:c r="Q94" s="42" t="str"/>
      <x:c r="R94" s="42" t="str"/>
      <x:c r="S94" s="42" t="str"/>
      <x:c r="T94" s="42" t="str"/>
    </x:row>
    <x:row r="95">
      <x:c r="A95" s="42" t="str">
        <x:v>Antony</x:v>
      </x:c>
      <x:c r="B95" s="42" t="n">
        <x:v>2029</x:v>
      </x:c>
      <x:c r="C95" s="42" t="str">
        <x:v>T2</x:v>
      </x:c>
      <x:c r="D95" s="44" t="n">
        <x:v>47299</x:v>
      </x:c>
      <x:c r="E95" s="42" t="str">
        <x:v>Ponta-direita</x:v>
      </x:c>
      <x:c r="F95" s="42" t="str">
        <x:v>Real Betis</x:v>
      </x:c>
      <x:c r="G95" s="46"/>
      <x:c r="H95" s="46"/>
      <x:c r="I95" s="46"/>
      <x:c r="J95" s="46"/>
      <x:c r="K95" s="46" t="str">
        <x:f>IF(COUNT(G95,I95)=0,"",AVERAGE(G95,I95))</x:f>
      </x:c>
      <x:c r="L95" s="46" t="str">
        <x:f>IF(COUNT(H95,J95)=0,"",AVERAGE(H95,J95))</x:f>
      </x:c>
      <x:c r="M95" s="46" t="str">
        <x:f>IF(OR(K95="",L95=""),"",L95-K95)</x:f>
      </x:c>
      <x:c r="N95" s="46" t="str">
        <x:f>IF(OR(K95="",A94&lt;&gt;A95,K94=""),"",K95-K94)</x:f>
      </x:c>
      <x:c r="O95" s="42" t="str">
        <x:v>Sem informação</x:v>
      </x:c>
      <x:c r="P95" s="42"/>
      <x:c r="Q95" s="42" t="str"/>
      <x:c r="R95" s="42" t="str"/>
      <x:c r="S95" s="42" t="str"/>
      <x:c r="T95" s="42" t="str"/>
    </x:row>
    <x:row r="96">
      <x:c r="A96" s="42" t="str">
        <x:v>Antony</x:v>
      </x:c>
      <x:c r="B96" s="42" t="n">
        <x:v>2029</x:v>
      </x:c>
      <x:c r="C96" s="42" t="str">
        <x:v>T3</x:v>
      </x:c>
      <x:c r="D96" s="44" t="n">
        <x:v>47391</x:v>
      </x:c>
      <x:c r="E96" s="42" t="str">
        <x:v>Ponta-direita</x:v>
      </x:c>
      <x:c r="F96" s="42" t="str">
        <x:v>Real Betis</x:v>
      </x:c>
      <x:c r="G96" s="46"/>
      <x:c r="H96" s="46"/>
      <x:c r="I96" s="46"/>
      <x:c r="J96" s="46"/>
      <x:c r="K96" s="46" t="str">
        <x:f>IF(COUNT(G96,I96)=0,"",AVERAGE(G96,I96))</x:f>
      </x:c>
      <x:c r="L96" s="46" t="str">
        <x:f>IF(COUNT(H96,J96)=0,"",AVERAGE(H96,J96))</x:f>
      </x:c>
      <x:c r="M96" s="46" t="str">
        <x:f>IF(OR(K96="",L96=""),"",L96-K96)</x:f>
      </x:c>
      <x:c r="N96" s="46" t="str">
        <x:f>IF(OR(K96="",A95&lt;&gt;A96,K95=""),"",K96-K95)</x:f>
      </x:c>
      <x:c r="O96" s="42" t="str">
        <x:v>Sem informação</x:v>
      </x:c>
      <x:c r="P96" s="42"/>
      <x:c r="Q96" s="42" t="str"/>
      <x:c r="R96" s="42" t="str"/>
      <x:c r="S96" s="42" t="str"/>
      <x:c r="T96" s="42" t="str"/>
    </x:row>
    <x:row r="97">
      <x:c r="A97" s="42" t="str">
        <x:v>Antony</x:v>
      </x:c>
      <x:c r="B97" s="42" t="n">
        <x:v>2029</x:v>
      </x:c>
      <x:c r="C97" s="42" t="str">
        <x:v>T4</x:v>
      </x:c>
      <x:c r="D97" s="44" t="n">
        <x:v>47483</x:v>
      </x:c>
      <x:c r="E97" s="42" t="str">
        <x:v>Ponta-direita</x:v>
      </x:c>
      <x:c r="F97" s="42" t="str">
        <x:v>Real Betis</x:v>
      </x:c>
      <x:c r="G97" s="46"/>
      <x:c r="H97" s="46"/>
      <x:c r="I97" s="46"/>
      <x:c r="J97" s="46"/>
      <x:c r="K97" s="46" t="str">
        <x:f>IF(COUNT(G97,I97)=0,"",AVERAGE(G97,I97))</x:f>
      </x:c>
      <x:c r="L97" s="46" t="str">
        <x:f>IF(COUNT(H97,J97)=0,"",AVERAGE(H97,J97))</x:f>
      </x:c>
      <x:c r="M97" s="46" t="str">
        <x:f>IF(OR(K97="",L97=""),"",L97-K97)</x:f>
      </x:c>
      <x:c r="N97" s="46" t="str">
        <x:f>IF(OR(K97="",A96&lt;&gt;A97,K96=""),"",K97-K96)</x:f>
      </x:c>
      <x:c r="O97" s="42" t="str">
        <x:v>Sem informação</x:v>
      </x:c>
      <x:c r="P97" s="42"/>
      <x:c r="Q97" s="42" t="str"/>
      <x:c r="R97" s="42" t="str"/>
      <x:c r="S97" s="42" t="str"/>
      <x:c r="T97" s="42" t="str"/>
    </x:row>
    <x:row r="98">
      <x:c r="A98" s="42" t="str">
        <x:v>Antony</x:v>
      </x:c>
      <x:c r="B98" s="42" t="n">
        <x:v>2030</x:v>
      </x:c>
      <x:c r="C98" s="42" t="str">
        <x:v>T1</x:v>
      </x:c>
      <x:c r="D98" s="44" t="n">
        <x:v>47573</x:v>
      </x:c>
      <x:c r="E98" s="42" t="str">
        <x:v>Ponta-direita</x:v>
      </x:c>
      <x:c r="F98" s="42" t="str">
        <x:v>Real Betis</x:v>
      </x:c>
      <x:c r="G98" s="46"/>
      <x:c r="H98" s="46"/>
      <x:c r="I98" s="46"/>
      <x:c r="J98" s="46"/>
      <x:c r="K98" s="46" t="str">
        <x:f>IF(COUNT(G98,I98)=0,"",AVERAGE(G98,I98))</x:f>
      </x:c>
      <x:c r="L98" s="46" t="str">
        <x:f>IF(COUNT(H98,J98)=0,"",AVERAGE(H98,J98))</x:f>
      </x:c>
      <x:c r="M98" s="46" t="str">
        <x:f>IF(OR(K98="",L98=""),"",L98-K98)</x:f>
      </x:c>
      <x:c r="N98" s="46" t="str">
        <x:f>IF(OR(K98="",A97&lt;&gt;A98,K97=""),"",K98-K97)</x:f>
      </x:c>
      <x:c r="O98" s="42" t="str">
        <x:v>Sem informação</x:v>
      </x:c>
      <x:c r="P98" s="42"/>
      <x:c r="Q98" s="42" t="str"/>
      <x:c r="R98" s="42" t="str"/>
      <x:c r="S98" s="42" t="str"/>
      <x:c r="T98" s="42" t="str"/>
    </x:row>
    <x:row r="99">
      <x:c r="A99" s="42" t="str">
        <x:v>Antony</x:v>
      </x:c>
      <x:c r="B99" s="42" t="n">
        <x:v>2030</x:v>
      </x:c>
      <x:c r="C99" s="42" t="str">
        <x:v>T2</x:v>
      </x:c>
      <x:c r="D99" s="44" t="n">
        <x:v>47664</x:v>
      </x:c>
      <x:c r="E99" s="42" t="str">
        <x:v>Ponta-direita</x:v>
      </x:c>
      <x:c r="F99" s="42" t="str">
        <x:v>Real Betis</x:v>
      </x:c>
      <x:c r="G99" s="46"/>
      <x:c r="H99" s="46"/>
      <x:c r="I99" s="46"/>
      <x:c r="J99" s="46"/>
      <x:c r="K99" s="46" t="str">
        <x:f>IF(COUNT(G99,I99)=0,"",AVERAGE(G99,I99))</x:f>
      </x:c>
      <x:c r="L99" s="46" t="str">
        <x:f>IF(COUNT(H99,J99)=0,"",AVERAGE(H99,J99))</x:f>
      </x:c>
      <x:c r="M99" s="46" t="str">
        <x:f>IF(OR(K99="",L99=""),"",L99-K99)</x:f>
      </x:c>
      <x:c r="N99" s="46" t="str">
        <x:f>IF(OR(K99="",A98&lt;&gt;A99,K98=""),"",K99-K98)</x:f>
      </x:c>
      <x:c r="O99" s="42" t="str">
        <x:v>Sem informação</x:v>
      </x:c>
      <x:c r="P99" s="42"/>
      <x:c r="Q99" s="42" t="str"/>
      <x:c r="R99" s="42" t="str"/>
      <x:c r="S99" s="42" t="str"/>
      <x:c r="T99" s="42" t="str"/>
    </x:row>
    <x:row r="100">
      <x:c r="A100" s="42" t="str">
        <x:v>Antony</x:v>
      </x:c>
      <x:c r="B100" s="42" t="n">
        <x:v>2030</x:v>
      </x:c>
      <x:c r="C100" s="42" t="str">
        <x:v>T3</x:v>
      </x:c>
      <x:c r="D100" s="44" t="n">
        <x:v>47756</x:v>
      </x:c>
      <x:c r="E100" s="42" t="str">
        <x:v>Ponta-direita</x:v>
      </x:c>
      <x:c r="F100" s="42" t="str">
        <x:v>Real Betis</x:v>
      </x:c>
      <x:c r="G100" s="46"/>
      <x:c r="H100" s="46"/>
      <x:c r="I100" s="46"/>
      <x:c r="J100" s="46"/>
      <x:c r="K100" s="46" t="str">
        <x:f>IF(COUNT(G100,I100)=0,"",AVERAGE(G100,I100))</x:f>
      </x:c>
      <x:c r="L100" s="46" t="str">
        <x:f>IF(COUNT(H100,J100)=0,"",AVERAGE(H100,J100))</x:f>
      </x:c>
      <x:c r="M100" s="46" t="str">
        <x:f>IF(OR(K100="",L100=""),"",L100-K100)</x:f>
      </x:c>
      <x:c r="N100" s="46" t="str">
        <x:f>IF(OR(K100="",A99&lt;&gt;A100,K99=""),"",K100-K99)</x:f>
      </x:c>
      <x:c r="O100" s="42" t="str">
        <x:v>Sem informação</x:v>
      </x:c>
      <x:c r="P100" s="42"/>
      <x:c r="Q100" s="42" t="str"/>
      <x:c r="R100" s="42" t="str"/>
      <x:c r="S100" s="42" t="str"/>
      <x:c r="T100" s="42" t="str"/>
    </x:row>
    <x:row r="101">
      <x:c r="A101" s="42" t="str">
        <x:v>Antony</x:v>
      </x:c>
      <x:c r="B101" s="42" t="n">
        <x:v>2030</x:v>
      </x:c>
      <x:c r="C101" s="42" t="str">
        <x:v>T4</x:v>
      </x:c>
      <x:c r="D101" s="44" t="n">
        <x:v>47848</x:v>
      </x:c>
      <x:c r="E101" s="42" t="str">
        <x:v>Ponta-direita</x:v>
      </x:c>
      <x:c r="F101" s="42" t="str">
        <x:v>Real Betis</x:v>
      </x:c>
      <x:c r="G101" s="46"/>
      <x:c r="H101" s="46"/>
      <x:c r="I101" s="46"/>
      <x:c r="J101" s="46"/>
      <x:c r="K101" s="46" t="str">
        <x:f>IF(COUNT(G101,I101)=0,"",AVERAGE(G101,I101))</x:f>
      </x:c>
      <x:c r="L101" s="46" t="str">
        <x:f>IF(COUNT(H101,J101)=0,"",AVERAGE(H101,J101))</x:f>
      </x:c>
      <x:c r="M101" s="46" t="str">
        <x:f>IF(OR(K101="",L101=""),"",L101-K101)</x:f>
      </x:c>
      <x:c r="N101" s="46" t="str">
        <x:f>IF(OR(K101="",A100&lt;&gt;A101,K100=""),"",K101-K100)</x:f>
      </x:c>
      <x:c r="O101" s="42" t="str">
        <x:v>Sem informação</x:v>
      </x:c>
      <x:c r="P101" s="42"/>
      <x:c r="Q101" s="42" t="str"/>
      <x:c r="R101" s="42" t="str"/>
      <x:c r="S101" s="42" t="str"/>
      <x:c r="T101" s="42" t="str"/>
    </x:row>
    <x:row r="102">
      <x:c r="A102" s="42" t="str">
        <x:v>Brazão</x:v>
      </x:c>
      <x:c r="B102" s="42" t="n">
        <x:v>2026</x:v>
      </x:c>
      <x:c r="C102" s="42" t="str">
        <x:v>T1</x:v>
      </x:c>
      <x:c r="D102" s="44" t="n">
        <x:v>46112</x:v>
      </x:c>
      <x:c r="E102" s="42" t="str">
        <x:v>Goleiro</x:v>
      </x:c>
      <x:c r="F102" s="42" t="str">
        <x:v>Santos FC</x:v>
      </x:c>
      <x:c r="G102" s="46"/>
      <x:c r="H102" s="46"/>
      <x:c r="I102" s="46"/>
      <x:c r="J102" s="46"/>
      <x:c r="K102" s="46" t="str">
        <x:f>IF(COUNT(G102,I102)=0,"",AVERAGE(G102,I102))</x:f>
      </x:c>
      <x:c r="L102" s="46" t="str">
        <x:f>IF(COUNT(H102,J102)=0,"",AVERAGE(H102,J102))</x:f>
      </x:c>
      <x:c r="M102" s="46" t="str">
        <x:f>IF(OR(K102="",L102=""),"",L102-K102)</x:f>
      </x:c>
      <x:c r="N102" s="46" t="str">
        <x:f>IF(OR(K102="",A101&lt;&gt;A102,K101=""),"",K102-K101)</x:f>
      </x:c>
      <x:c r="O102" s="42" t="str">
        <x:v>Sem informação</x:v>
      </x:c>
      <x:c r="P102" s="42"/>
      <x:c r="Q102" s="42" t="str"/>
      <x:c r="R102" s="42" t="str"/>
      <x:c r="S102" s="42" t="str"/>
      <x:c r="T102" s="42" t="str"/>
    </x:row>
    <x:row r="103">
      <x:c r="A103" s="42" t="str">
        <x:v>Brazão</x:v>
      </x:c>
      <x:c r="B103" s="42" t="n">
        <x:v>2026</x:v>
      </x:c>
      <x:c r="C103" s="42" t="str">
        <x:v>T2</x:v>
      </x:c>
      <x:c r="D103" s="44" t="n">
        <x:v>46203</x:v>
      </x:c>
      <x:c r="E103" s="42" t="str">
        <x:v>Goleiro</x:v>
      </x:c>
      <x:c r="F103" s="42" t="str">
        <x:v>Santos FC</x:v>
      </x:c>
      <x:c r="G103" s="46" t="n">
        <x:v>6</x:v>
      </x:c>
      <x:c r="H103" s="46" t="n">
        <x:v>7</x:v>
      </x:c>
      <x:c r="I103" s="46" t="n">
        <x:v>6</x:v>
      </x:c>
      <x:c r="J103" s="46" t="n">
        <x:v>7</x:v>
      </x:c>
      <x:c r="K103" s="46" t="n">
        <x:f>IF(COUNT(G103,I103)=0,"",AVERAGE(G103,I103))</x:f>
        <x:v>6</x:v>
      </x:c>
      <x:c r="L103" s="46" t="n">
        <x:f>IF(COUNT(H103,J103)=0,"",AVERAGE(H103,J103))</x:f>
        <x:v>7</x:v>
      </x:c>
      <x:c r="M103" s="46" t="n">
        <x:f>IF(OR(K103="",L103=""),"",L103-K103)</x:f>
        <x:v>1</x:v>
      </x:c>
      <x:c r="N103" s="46" t="str">
        <x:f>IF(OR(K103="",A102&lt;&gt;A103,K102=""),"",K103-K102)</x:f>
      </x:c>
      <x:c r="O103" s="42" t="str">
        <x:v>Sem informação</x:v>
      </x:c>
      <x:c r="P103" s="42"/>
      <x:c r="Q103" s="42" t="str"/>
      <x:c r="R103" s="42" t="str">
        <x:v>Falta amadurecimento para tomar decisões melhores</x:v>
      </x:c>
      <x:c r="S103" s="42" t="str"/>
      <x:c r="T103" s="42" t="str"/>
    </x:row>
    <x:row r="104">
      <x:c r="A104" s="42" t="str">
        <x:v>Brazão</x:v>
      </x:c>
      <x:c r="B104" s="42" t="n">
        <x:v>2026</x:v>
      </x:c>
      <x:c r="C104" s="42" t="str">
        <x:v>T3</x:v>
      </x:c>
      <x:c r="D104" s="44" t="n">
        <x:v>46295</x:v>
      </x:c>
      <x:c r="E104" s="42" t="str">
        <x:v>Goleiro</x:v>
      </x:c>
      <x:c r="F104" s="42" t="str">
        <x:v>Santos FC</x:v>
      </x:c>
      <x:c r="G104" s="46"/>
      <x:c r="H104" s="46"/>
      <x:c r="I104" s="46"/>
      <x:c r="J104" s="46"/>
      <x:c r="K104" s="46" t="str">
        <x:f>IF(COUNT(G104,I104)=0,"",AVERAGE(G104,I104))</x:f>
      </x:c>
      <x:c r="L104" s="46" t="str">
        <x:f>IF(COUNT(H104,J104)=0,"",AVERAGE(H104,J104))</x:f>
      </x:c>
      <x:c r="M104" s="46" t="str">
        <x:f>IF(OR(K104="",L104=""),"",L104-K104)</x:f>
      </x:c>
      <x:c r="N104" s="46" t="str">
        <x:f>IF(OR(K104="",A103&lt;&gt;A104,K103=""),"",K104-K103)</x:f>
      </x:c>
      <x:c r="O104" s="42" t="str">
        <x:v>Sem informação</x:v>
      </x:c>
      <x:c r="P104" s="42"/>
      <x:c r="Q104" s="42" t="str"/>
      <x:c r="R104" s="42" t="str"/>
      <x:c r="S104" s="42" t="str"/>
      <x:c r="T104" s="42" t="str"/>
    </x:row>
    <x:row r="105">
      <x:c r="A105" s="42" t="str">
        <x:v>Brazão</x:v>
      </x:c>
      <x:c r="B105" s="42" t="n">
        <x:v>2026</x:v>
      </x:c>
      <x:c r="C105" s="42" t="str">
        <x:v>T4</x:v>
      </x:c>
      <x:c r="D105" s="44" t="n">
        <x:v>46387</x:v>
      </x:c>
      <x:c r="E105" s="42" t="str">
        <x:v>Goleiro</x:v>
      </x:c>
      <x:c r="F105" s="42" t="str">
        <x:v>Santos FC</x:v>
      </x:c>
      <x:c r="G105" s="46"/>
      <x:c r="H105" s="46"/>
      <x:c r="I105" s="46"/>
      <x:c r="J105" s="46"/>
      <x:c r="K105" s="46" t="str">
        <x:f>IF(COUNT(G105,I105)=0,"",AVERAGE(G105,I105))</x:f>
      </x:c>
      <x:c r="L105" s="46" t="str">
        <x:f>IF(COUNT(H105,J105)=0,"",AVERAGE(H105,J105))</x:f>
      </x:c>
      <x:c r="M105" s="46" t="str">
        <x:f>IF(OR(K105="",L105=""),"",L105-K105)</x:f>
      </x:c>
      <x:c r="N105" s="46" t="str">
        <x:f>IF(OR(K105="",A104&lt;&gt;A105,K104=""),"",K105-K104)</x:f>
      </x:c>
      <x:c r="O105" s="42" t="str">
        <x:v>Sem informação</x:v>
      </x:c>
      <x:c r="P105" s="42"/>
      <x:c r="Q105" s="42" t="str"/>
      <x:c r="R105" s="42" t="str"/>
      <x:c r="S105" s="42" t="str"/>
      <x:c r="T105" s="42" t="str"/>
    </x:row>
    <x:row r="106">
      <x:c r="A106" s="42" t="str">
        <x:v>Brazão</x:v>
      </x:c>
      <x:c r="B106" s="42" t="n">
        <x:v>2027</x:v>
      </x:c>
      <x:c r="C106" s="42" t="str">
        <x:v>T1</x:v>
      </x:c>
      <x:c r="D106" s="44" t="n">
        <x:v>46477</x:v>
      </x:c>
      <x:c r="E106" s="42" t="str">
        <x:v>Goleiro</x:v>
      </x:c>
      <x:c r="F106" s="42" t="str">
        <x:v>Santos FC</x:v>
      </x:c>
      <x:c r="G106" s="46"/>
      <x:c r="H106" s="46"/>
      <x:c r="I106" s="46"/>
      <x:c r="J106" s="46"/>
      <x:c r="K106" s="46" t="str">
        <x:f>IF(COUNT(G106,I106)=0,"",AVERAGE(G106,I106))</x:f>
      </x:c>
      <x:c r="L106" s="46" t="str">
        <x:f>IF(COUNT(H106,J106)=0,"",AVERAGE(H106,J106))</x:f>
      </x:c>
      <x:c r="M106" s="46" t="str">
        <x:f>IF(OR(K106="",L106=""),"",L106-K106)</x:f>
      </x:c>
      <x:c r="N106" s="46" t="str">
        <x:f>IF(OR(K106="",A105&lt;&gt;A106,K105=""),"",K106-K105)</x:f>
      </x:c>
      <x:c r="O106" s="42" t="str">
        <x:v>Sem informação</x:v>
      </x:c>
      <x:c r="P106" s="42"/>
      <x:c r="Q106" s="42" t="str"/>
      <x:c r="R106" s="42" t="str"/>
      <x:c r="S106" s="42" t="str"/>
      <x:c r="T106" s="42" t="str"/>
    </x:row>
    <x:row r="107">
      <x:c r="A107" s="42" t="str">
        <x:v>Brazão</x:v>
      </x:c>
      <x:c r="B107" s="42" t="n">
        <x:v>2027</x:v>
      </x:c>
      <x:c r="C107" s="42" t="str">
        <x:v>T2</x:v>
      </x:c>
      <x:c r="D107" s="44" t="n">
        <x:v>46568</x:v>
      </x:c>
      <x:c r="E107" s="42" t="str">
        <x:v>Goleiro</x:v>
      </x:c>
      <x:c r="F107" s="42" t="str">
        <x:v>Santos FC</x:v>
      </x:c>
      <x:c r="G107" s="46"/>
      <x:c r="H107" s="46"/>
      <x:c r="I107" s="46"/>
      <x:c r="J107" s="46"/>
      <x:c r="K107" s="46" t="str">
        <x:f>IF(COUNT(G107,I107)=0,"",AVERAGE(G107,I107))</x:f>
      </x:c>
      <x:c r="L107" s="46" t="str">
        <x:f>IF(COUNT(H107,J107)=0,"",AVERAGE(H107,J107))</x:f>
      </x:c>
      <x:c r="M107" s="46" t="str">
        <x:f>IF(OR(K107="",L107=""),"",L107-K107)</x:f>
      </x:c>
      <x:c r="N107" s="46" t="str">
        <x:f>IF(OR(K107="",A106&lt;&gt;A107,K106=""),"",K107-K106)</x:f>
      </x:c>
      <x:c r="O107" s="42" t="str">
        <x:v>Sem informação</x:v>
      </x:c>
      <x:c r="P107" s="42"/>
      <x:c r="Q107" s="42" t="str"/>
      <x:c r="R107" s="42" t="str"/>
      <x:c r="S107" s="42" t="str"/>
      <x:c r="T107" s="42" t="str"/>
    </x:row>
    <x:row r="108">
      <x:c r="A108" s="42" t="str">
        <x:v>Brazão</x:v>
      </x:c>
      <x:c r="B108" s="42" t="n">
        <x:v>2027</x:v>
      </x:c>
      <x:c r="C108" s="42" t="str">
        <x:v>T3</x:v>
      </x:c>
      <x:c r="D108" s="44" t="n">
        <x:v>46660</x:v>
      </x:c>
      <x:c r="E108" s="42" t="str">
        <x:v>Goleiro</x:v>
      </x:c>
      <x:c r="F108" s="42" t="str">
        <x:v>Santos FC</x:v>
      </x:c>
      <x:c r="G108" s="46"/>
      <x:c r="H108" s="46"/>
      <x:c r="I108" s="46"/>
      <x:c r="J108" s="46"/>
      <x:c r="K108" s="46" t="str">
        <x:f>IF(COUNT(G108,I108)=0,"",AVERAGE(G108,I108))</x:f>
      </x:c>
      <x:c r="L108" s="46" t="str">
        <x:f>IF(COUNT(H108,J108)=0,"",AVERAGE(H108,J108))</x:f>
      </x:c>
      <x:c r="M108" s="46" t="str">
        <x:f>IF(OR(K108="",L108=""),"",L108-K108)</x:f>
      </x:c>
      <x:c r="N108" s="46" t="str">
        <x:f>IF(OR(K108="",A107&lt;&gt;A108,K107=""),"",K108-K107)</x:f>
      </x:c>
      <x:c r="O108" s="42" t="str">
        <x:v>Sem informação</x:v>
      </x:c>
      <x:c r="P108" s="42"/>
      <x:c r="Q108" s="42" t="str"/>
      <x:c r="R108" s="42" t="str"/>
      <x:c r="S108" s="42" t="str"/>
      <x:c r="T108" s="42" t="str"/>
    </x:row>
    <x:row r="109">
      <x:c r="A109" s="42" t="str">
        <x:v>Brazão</x:v>
      </x:c>
      <x:c r="B109" s="42" t="n">
        <x:v>2027</x:v>
      </x:c>
      <x:c r="C109" s="42" t="str">
        <x:v>T4</x:v>
      </x:c>
      <x:c r="D109" s="44" t="n">
        <x:v>46752</x:v>
      </x:c>
      <x:c r="E109" s="42" t="str">
        <x:v>Goleiro</x:v>
      </x:c>
      <x:c r="F109" s="42" t="str">
        <x:v>Santos FC</x:v>
      </x:c>
      <x:c r="G109" s="46"/>
      <x:c r="H109" s="46"/>
      <x:c r="I109" s="46"/>
      <x:c r="J109" s="46"/>
      <x:c r="K109" s="46" t="str">
        <x:f>IF(COUNT(G109,I109)=0,"",AVERAGE(G109,I109))</x:f>
      </x:c>
      <x:c r="L109" s="46" t="str">
        <x:f>IF(COUNT(H109,J109)=0,"",AVERAGE(H109,J109))</x:f>
      </x:c>
      <x:c r="M109" s="46" t="str">
        <x:f>IF(OR(K109="",L109=""),"",L109-K109)</x:f>
      </x:c>
      <x:c r="N109" s="46" t="str">
        <x:f>IF(OR(K109="",A108&lt;&gt;A109,K108=""),"",K109-K108)</x:f>
      </x:c>
      <x:c r="O109" s="42" t="str">
        <x:v>Sem informação</x:v>
      </x:c>
      <x:c r="P109" s="42"/>
      <x:c r="Q109" s="42" t="str"/>
      <x:c r="R109" s="42" t="str"/>
      <x:c r="S109" s="42" t="str"/>
      <x:c r="T109" s="42" t="str"/>
    </x:row>
    <x:row r="110">
      <x:c r="A110" s="42" t="str">
        <x:v>Brazão</x:v>
      </x:c>
      <x:c r="B110" s="42" t="n">
        <x:v>2028</x:v>
      </x:c>
      <x:c r="C110" s="42" t="str">
        <x:v>T1</x:v>
      </x:c>
      <x:c r="D110" s="44" t="n">
        <x:v>46843</x:v>
      </x:c>
      <x:c r="E110" s="42" t="str">
        <x:v>Goleiro</x:v>
      </x:c>
      <x:c r="F110" s="42" t="str">
        <x:v>Santos FC</x:v>
      </x:c>
      <x:c r="G110" s="46"/>
      <x:c r="H110" s="46"/>
      <x:c r="I110" s="46"/>
      <x:c r="J110" s="46"/>
      <x:c r="K110" s="46" t="str">
        <x:f>IF(COUNT(G110,I110)=0,"",AVERAGE(G110,I110))</x:f>
      </x:c>
      <x:c r="L110" s="46" t="str">
        <x:f>IF(COUNT(H110,J110)=0,"",AVERAGE(H110,J110))</x:f>
      </x:c>
      <x:c r="M110" s="46" t="str">
        <x:f>IF(OR(K110="",L110=""),"",L110-K110)</x:f>
      </x:c>
      <x:c r="N110" s="46" t="str">
        <x:f>IF(OR(K110="",A109&lt;&gt;A110,K109=""),"",K110-K109)</x:f>
      </x:c>
      <x:c r="O110" s="42" t="str">
        <x:v>Sem informação</x:v>
      </x:c>
      <x:c r="P110" s="42"/>
      <x:c r="Q110" s="42" t="str"/>
      <x:c r="R110" s="42" t="str"/>
      <x:c r="S110" s="42" t="str"/>
      <x:c r="T110" s="42" t="str"/>
    </x:row>
    <x:row r="111">
      <x:c r="A111" s="42" t="str">
        <x:v>Brazão</x:v>
      </x:c>
      <x:c r="B111" s="42" t="n">
        <x:v>2028</x:v>
      </x:c>
      <x:c r="C111" s="42" t="str">
        <x:v>T2</x:v>
      </x:c>
      <x:c r="D111" s="44" t="n">
        <x:v>46934</x:v>
      </x:c>
      <x:c r="E111" s="42" t="str">
        <x:v>Goleiro</x:v>
      </x:c>
      <x:c r="F111" s="42" t="str">
        <x:v>Santos FC</x:v>
      </x:c>
      <x:c r="G111" s="46"/>
      <x:c r="H111" s="46"/>
      <x:c r="I111" s="46"/>
      <x:c r="J111" s="46"/>
      <x:c r="K111" s="46" t="str">
        <x:f>IF(COUNT(G111,I111)=0,"",AVERAGE(G111,I111))</x:f>
      </x:c>
      <x:c r="L111" s="46" t="str">
        <x:f>IF(COUNT(H111,J111)=0,"",AVERAGE(H111,J111))</x:f>
      </x:c>
      <x:c r="M111" s="46" t="str">
        <x:f>IF(OR(K111="",L111=""),"",L111-K111)</x:f>
      </x:c>
      <x:c r="N111" s="46" t="str">
        <x:f>IF(OR(K111="",A110&lt;&gt;A111,K110=""),"",K111-K110)</x:f>
      </x:c>
      <x:c r="O111" s="42" t="str">
        <x:v>Sem informação</x:v>
      </x:c>
      <x:c r="P111" s="42"/>
      <x:c r="Q111" s="42" t="str"/>
      <x:c r="R111" s="42" t="str"/>
      <x:c r="S111" s="42" t="str"/>
      <x:c r="T111" s="42" t="str"/>
    </x:row>
    <x:row r="112">
      <x:c r="A112" s="42" t="str">
        <x:v>Brazão</x:v>
      </x:c>
      <x:c r="B112" s="42" t="n">
        <x:v>2028</x:v>
      </x:c>
      <x:c r="C112" s="42" t="str">
        <x:v>T3</x:v>
      </x:c>
      <x:c r="D112" s="44" t="n">
        <x:v>47026</x:v>
      </x:c>
      <x:c r="E112" s="42" t="str">
        <x:v>Goleiro</x:v>
      </x:c>
      <x:c r="F112" s="42" t="str">
        <x:v>Santos FC</x:v>
      </x:c>
      <x:c r="G112" s="46"/>
      <x:c r="H112" s="46"/>
      <x:c r="I112" s="46"/>
      <x:c r="J112" s="46"/>
      <x:c r="K112" s="46" t="str">
        <x:f>IF(COUNT(G112,I112)=0,"",AVERAGE(G112,I112))</x:f>
      </x:c>
      <x:c r="L112" s="46" t="str">
        <x:f>IF(COUNT(H112,J112)=0,"",AVERAGE(H112,J112))</x:f>
      </x:c>
      <x:c r="M112" s="46" t="str">
        <x:f>IF(OR(K112="",L112=""),"",L112-K112)</x:f>
      </x:c>
      <x:c r="N112" s="46" t="str">
        <x:f>IF(OR(K112="",A111&lt;&gt;A112,K111=""),"",K112-K111)</x:f>
      </x:c>
      <x:c r="O112" s="42" t="str">
        <x:v>Sem informação</x:v>
      </x:c>
      <x:c r="P112" s="42"/>
      <x:c r="Q112" s="42" t="str"/>
      <x:c r="R112" s="42" t="str"/>
      <x:c r="S112" s="42" t="str"/>
      <x:c r="T112" s="42" t="str"/>
    </x:row>
    <x:row r="113">
      <x:c r="A113" s="42" t="str">
        <x:v>Brazão</x:v>
      </x:c>
      <x:c r="B113" s="42" t="n">
        <x:v>2028</x:v>
      </x:c>
      <x:c r="C113" s="42" t="str">
        <x:v>T4</x:v>
      </x:c>
      <x:c r="D113" s="44" t="n">
        <x:v>47118</x:v>
      </x:c>
      <x:c r="E113" s="42" t="str">
        <x:v>Goleiro</x:v>
      </x:c>
      <x:c r="F113" s="42" t="str">
        <x:v>Santos FC</x:v>
      </x:c>
      <x:c r="G113" s="46"/>
      <x:c r="H113" s="46"/>
      <x:c r="I113" s="46"/>
      <x:c r="J113" s="46"/>
      <x:c r="K113" s="46" t="str">
        <x:f>IF(COUNT(G113,I113)=0,"",AVERAGE(G113,I113))</x:f>
      </x:c>
      <x:c r="L113" s="46" t="str">
        <x:f>IF(COUNT(H113,J113)=0,"",AVERAGE(H113,J113))</x:f>
      </x:c>
      <x:c r="M113" s="46" t="str">
        <x:f>IF(OR(K113="",L113=""),"",L113-K113)</x:f>
      </x:c>
      <x:c r="N113" s="46" t="str">
        <x:f>IF(OR(K113="",A112&lt;&gt;A113,K112=""),"",K113-K112)</x:f>
      </x:c>
      <x:c r="O113" s="42" t="str">
        <x:v>Sem informação</x:v>
      </x:c>
      <x:c r="P113" s="42"/>
      <x:c r="Q113" s="42" t="str"/>
      <x:c r="R113" s="42" t="str"/>
      <x:c r="S113" s="42" t="str"/>
      <x:c r="T113" s="42" t="str"/>
    </x:row>
    <x:row r="114">
      <x:c r="A114" s="42" t="str">
        <x:v>Brazão</x:v>
      </x:c>
      <x:c r="B114" s="42" t="n">
        <x:v>2029</x:v>
      </x:c>
      <x:c r="C114" s="42" t="str">
        <x:v>T1</x:v>
      </x:c>
      <x:c r="D114" s="44" t="n">
        <x:v>47208</x:v>
      </x:c>
      <x:c r="E114" s="42" t="str">
        <x:v>Goleiro</x:v>
      </x:c>
      <x:c r="F114" s="42" t="str">
        <x:v>Santos FC</x:v>
      </x:c>
      <x:c r="G114" s="46"/>
      <x:c r="H114" s="46"/>
      <x:c r="I114" s="46"/>
      <x:c r="J114" s="46"/>
      <x:c r="K114" s="46" t="str">
        <x:f>IF(COUNT(G114,I114)=0,"",AVERAGE(G114,I114))</x:f>
      </x:c>
      <x:c r="L114" s="46" t="str">
        <x:f>IF(COUNT(H114,J114)=0,"",AVERAGE(H114,J114))</x:f>
      </x:c>
      <x:c r="M114" s="46" t="str">
        <x:f>IF(OR(K114="",L114=""),"",L114-K114)</x:f>
      </x:c>
      <x:c r="N114" s="46" t="str">
        <x:f>IF(OR(K114="",A113&lt;&gt;A114,K113=""),"",K114-K113)</x:f>
      </x:c>
      <x:c r="O114" s="42" t="str">
        <x:v>Sem informação</x:v>
      </x:c>
      <x:c r="P114" s="42"/>
      <x:c r="Q114" s="42" t="str"/>
      <x:c r="R114" s="42" t="str"/>
      <x:c r="S114" s="42" t="str"/>
      <x:c r="T114" s="42" t="str"/>
    </x:row>
    <x:row r="115">
      <x:c r="A115" s="42" t="str">
        <x:v>Brazão</x:v>
      </x:c>
      <x:c r="B115" s="42" t="n">
        <x:v>2029</x:v>
      </x:c>
      <x:c r="C115" s="42" t="str">
        <x:v>T2</x:v>
      </x:c>
      <x:c r="D115" s="44" t="n">
        <x:v>47299</x:v>
      </x:c>
      <x:c r="E115" s="42" t="str">
        <x:v>Goleiro</x:v>
      </x:c>
      <x:c r="F115" s="42" t="str">
        <x:v>Santos FC</x:v>
      </x:c>
      <x:c r="G115" s="46"/>
      <x:c r="H115" s="46"/>
      <x:c r="I115" s="46"/>
      <x:c r="J115" s="46"/>
      <x:c r="K115" s="46" t="str">
        <x:f>IF(COUNT(G115,I115)=0,"",AVERAGE(G115,I115))</x:f>
      </x:c>
      <x:c r="L115" s="46" t="str">
        <x:f>IF(COUNT(H115,J115)=0,"",AVERAGE(H115,J115))</x:f>
      </x:c>
      <x:c r="M115" s="46" t="str">
        <x:f>IF(OR(K115="",L115=""),"",L115-K115)</x:f>
      </x:c>
      <x:c r="N115" s="46" t="str">
        <x:f>IF(OR(K115="",A114&lt;&gt;A115,K114=""),"",K115-K114)</x:f>
      </x:c>
      <x:c r="O115" s="42" t="str">
        <x:v>Sem informação</x:v>
      </x:c>
      <x:c r="P115" s="42"/>
      <x:c r="Q115" s="42" t="str"/>
      <x:c r="R115" s="42" t="str"/>
      <x:c r="S115" s="42" t="str"/>
      <x:c r="T115" s="42" t="str"/>
    </x:row>
    <x:row r="116">
      <x:c r="A116" s="42" t="str">
        <x:v>Brazão</x:v>
      </x:c>
      <x:c r="B116" s="42" t="n">
        <x:v>2029</x:v>
      </x:c>
      <x:c r="C116" s="42" t="str">
        <x:v>T3</x:v>
      </x:c>
      <x:c r="D116" s="44" t="n">
        <x:v>47391</x:v>
      </x:c>
      <x:c r="E116" s="42" t="str">
        <x:v>Goleiro</x:v>
      </x:c>
      <x:c r="F116" s="42" t="str">
        <x:v>Santos FC</x:v>
      </x:c>
      <x:c r="G116" s="46"/>
      <x:c r="H116" s="46"/>
      <x:c r="I116" s="46"/>
      <x:c r="J116" s="46"/>
      <x:c r="K116" s="46" t="str">
        <x:f>IF(COUNT(G116,I116)=0,"",AVERAGE(G116,I116))</x:f>
      </x:c>
      <x:c r="L116" s="46" t="str">
        <x:f>IF(COUNT(H116,J116)=0,"",AVERAGE(H116,J116))</x:f>
      </x:c>
      <x:c r="M116" s="46" t="str">
        <x:f>IF(OR(K116="",L116=""),"",L116-K116)</x:f>
      </x:c>
      <x:c r="N116" s="46" t="str">
        <x:f>IF(OR(K116="",A115&lt;&gt;A116,K115=""),"",K116-K115)</x:f>
      </x:c>
      <x:c r="O116" s="42" t="str">
        <x:v>Sem informação</x:v>
      </x:c>
      <x:c r="P116" s="42"/>
      <x:c r="Q116" s="42" t="str"/>
      <x:c r="R116" s="42" t="str"/>
      <x:c r="S116" s="42" t="str"/>
      <x:c r="T116" s="42" t="str"/>
    </x:row>
    <x:row r="117">
      <x:c r="A117" s="42" t="str">
        <x:v>Brazão</x:v>
      </x:c>
      <x:c r="B117" s="42" t="n">
        <x:v>2029</x:v>
      </x:c>
      <x:c r="C117" s="42" t="str">
        <x:v>T4</x:v>
      </x:c>
      <x:c r="D117" s="44" t="n">
        <x:v>47483</x:v>
      </x:c>
      <x:c r="E117" s="42" t="str">
        <x:v>Goleiro</x:v>
      </x:c>
      <x:c r="F117" s="42" t="str">
        <x:v>Santos FC</x:v>
      </x:c>
      <x:c r="G117" s="46"/>
      <x:c r="H117" s="46"/>
      <x:c r="I117" s="46"/>
      <x:c r="J117" s="46"/>
      <x:c r="K117" s="46" t="str">
        <x:f>IF(COUNT(G117,I117)=0,"",AVERAGE(G117,I117))</x:f>
      </x:c>
      <x:c r="L117" s="46" t="str">
        <x:f>IF(COUNT(H117,J117)=0,"",AVERAGE(H117,J117))</x:f>
      </x:c>
      <x:c r="M117" s="46" t="str">
        <x:f>IF(OR(K117="",L117=""),"",L117-K117)</x:f>
      </x:c>
      <x:c r="N117" s="46" t="str">
        <x:f>IF(OR(K117="",A116&lt;&gt;A117,K116=""),"",K117-K116)</x:f>
      </x:c>
      <x:c r="O117" s="42" t="str">
        <x:v>Sem informação</x:v>
      </x:c>
      <x:c r="P117" s="42"/>
      <x:c r="Q117" s="42" t="str"/>
      <x:c r="R117" s="42" t="str"/>
      <x:c r="S117" s="42" t="str"/>
      <x:c r="T117" s="42" t="str"/>
    </x:row>
    <x:row r="118">
      <x:c r="A118" s="42" t="str">
        <x:v>Brazão</x:v>
      </x:c>
      <x:c r="B118" s="42" t="n">
        <x:v>2030</x:v>
      </x:c>
      <x:c r="C118" s="42" t="str">
        <x:v>T1</x:v>
      </x:c>
      <x:c r="D118" s="44" t="n">
        <x:v>47573</x:v>
      </x:c>
      <x:c r="E118" s="42" t="str">
        <x:v>Goleiro</x:v>
      </x:c>
      <x:c r="F118" s="42" t="str">
        <x:v>Santos FC</x:v>
      </x:c>
      <x:c r="G118" s="46"/>
      <x:c r="H118" s="46"/>
      <x:c r="I118" s="46"/>
      <x:c r="J118" s="46"/>
      <x:c r="K118" s="46" t="str">
        <x:f>IF(COUNT(G118,I118)=0,"",AVERAGE(G118,I118))</x:f>
      </x:c>
      <x:c r="L118" s="46" t="str">
        <x:f>IF(COUNT(H118,J118)=0,"",AVERAGE(H118,J118))</x:f>
      </x:c>
      <x:c r="M118" s="46" t="str">
        <x:f>IF(OR(K118="",L118=""),"",L118-K118)</x:f>
      </x:c>
      <x:c r="N118" s="46" t="str">
        <x:f>IF(OR(K118="",A117&lt;&gt;A118,K117=""),"",K118-K117)</x:f>
      </x:c>
      <x:c r="O118" s="42" t="str">
        <x:v>Sem informação</x:v>
      </x:c>
      <x:c r="P118" s="42"/>
      <x:c r="Q118" s="42" t="str"/>
      <x:c r="R118" s="42" t="str"/>
      <x:c r="S118" s="42" t="str"/>
      <x:c r="T118" s="42" t="str"/>
    </x:row>
    <x:row r="119">
      <x:c r="A119" s="42" t="str">
        <x:v>Brazão</x:v>
      </x:c>
      <x:c r="B119" s="42" t="n">
        <x:v>2030</x:v>
      </x:c>
      <x:c r="C119" s="42" t="str">
        <x:v>T2</x:v>
      </x:c>
      <x:c r="D119" s="44" t="n">
        <x:v>47664</x:v>
      </x:c>
      <x:c r="E119" s="42" t="str">
        <x:v>Goleiro</x:v>
      </x:c>
      <x:c r="F119" s="42" t="str">
        <x:v>Santos FC</x:v>
      </x:c>
      <x:c r="G119" s="46"/>
      <x:c r="H119" s="46"/>
      <x:c r="I119" s="46"/>
      <x:c r="J119" s="46"/>
      <x:c r="K119" s="46" t="str">
        <x:f>IF(COUNT(G119,I119)=0,"",AVERAGE(G119,I119))</x:f>
      </x:c>
      <x:c r="L119" s="46" t="str">
        <x:f>IF(COUNT(H119,J119)=0,"",AVERAGE(H119,J119))</x:f>
      </x:c>
      <x:c r="M119" s="46" t="str">
        <x:f>IF(OR(K119="",L119=""),"",L119-K119)</x:f>
      </x:c>
      <x:c r="N119" s="46" t="str">
        <x:f>IF(OR(K119="",A118&lt;&gt;A119,K118=""),"",K119-K118)</x:f>
      </x:c>
      <x:c r="O119" s="42" t="str">
        <x:v>Sem informação</x:v>
      </x:c>
      <x:c r="P119" s="42"/>
      <x:c r="Q119" s="42" t="str"/>
      <x:c r="R119" s="42" t="str"/>
      <x:c r="S119" s="42" t="str"/>
      <x:c r="T119" s="42" t="str"/>
    </x:row>
    <x:row r="120">
      <x:c r="A120" s="42" t="str">
        <x:v>Brazão</x:v>
      </x:c>
      <x:c r="B120" s="42" t="n">
        <x:v>2030</x:v>
      </x:c>
      <x:c r="C120" s="42" t="str">
        <x:v>T3</x:v>
      </x:c>
      <x:c r="D120" s="44" t="n">
        <x:v>47756</x:v>
      </x:c>
      <x:c r="E120" s="42" t="str">
        <x:v>Goleiro</x:v>
      </x:c>
      <x:c r="F120" s="42" t="str">
        <x:v>Santos FC</x:v>
      </x:c>
      <x:c r="G120" s="46"/>
      <x:c r="H120" s="46"/>
      <x:c r="I120" s="46"/>
      <x:c r="J120" s="46"/>
      <x:c r="K120" s="46" t="str">
        <x:f>IF(COUNT(G120,I120)=0,"",AVERAGE(G120,I120))</x:f>
      </x:c>
      <x:c r="L120" s="46" t="str">
        <x:f>IF(COUNT(H120,J120)=0,"",AVERAGE(H120,J120))</x:f>
      </x:c>
      <x:c r="M120" s="46" t="str">
        <x:f>IF(OR(K120="",L120=""),"",L120-K120)</x:f>
      </x:c>
      <x:c r="N120" s="46" t="str">
        <x:f>IF(OR(K120="",A119&lt;&gt;A120,K119=""),"",K120-K119)</x:f>
      </x:c>
      <x:c r="O120" s="42" t="str">
        <x:v>Sem informação</x:v>
      </x:c>
      <x:c r="P120" s="42"/>
      <x:c r="Q120" s="42" t="str"/>
      <x:c r="R120" s="42" t="str"/>
      <x:c r="S120" s="42" t="str"/>
      <x:c r="T120" s="42" t="str"/>
    </x:row>
    <x:row r="121">
      <x:c r="A121" s="42" t="str">
        <x:v>Brazão</x:v>
      </x:c>
      <x:c r="B121" s="42" t="n">
        <x:v>2030</x:v>
      </x:c>
      <x:c r="C121" s="42" t="str">
        <x:v>T4</x:v>
      </x:c>
      <x:c r="D121" s="44" t="n">
        <x:v>47848</x:v>
      </x:c>
      <x:c r="E121" s="42" t="str">
        <x:v>Goleiro</x:v>
      </x:c>
      <x:c r="F121" s="42" t="str">
        <x:v>Santos FC</x:v>
      </x:c>
      <x:c r="G121" s="46"/>
      <x:c r="H121" s="46"/>
      <x:c r="I121" s="46"/>
      <x:c r="J121" s="46"/>
      <x:c r="K121" s="46" t="str">
        <x:f>IF(COUNT(G121,I121)=0,"",AVERAGE(G121,I121))</x:f>
      </x:c>
      <x:c r="L121" s="46" t="str">
        <x:f>IF(COUNT(H121,J121)=0,"",AVERAGE(H121,J121))</x:f>
      </x:c>
      <x:c r="M121" s="46" t="str">
        <x:f>IF(OR(K121="",L121=""),"",L121-K121)</x:f>
      </x:c>
      <x:c r="N121" s="46" t="str">
        <x:f>IF(OR(K121="",A120&lt;&gt;A121,K120=""),"",K121-K120)</x:f>
      </x:c>
      <x:c r="O121" s="42" t="str">
        <x:v>Sem informação</x:v>
      </x:c>
      <x:c r="P121" s="42"/>
      <x:c r="Q121" s="42" t="str"/>
      <x:c r="R121" s="42" t="str"/>
      <x:c r="S121" s="42" t="str"/>
      <x:c r="T121" s="42" t="str"/>
    </x:row>
    <x:row r="122">
      <x:c r="A122" s="42" t="str">
        <x:v>Breno Bidon</x:v>
      </x:c>
      <x:c r="B122" s="42" t="n">
        <x:v>2026</x:v>
      </x:c>
      <x:c r="C122" s="42" t="str">
        <x:v>T1</x:v>
      </x:c>
      <x:c r="D122" s="44" t="n">
        <x:v>46112</x:v>
      </x:c>
      <x:c r="E122" s="42" t="str">
        <x:v>Mezzala esquerdo</x:v>
      </x:c>
      <x:c r="F122" s="42" t="str">
        <x:v>SC Corinthians</x:v>
      </x:c>
      <x:c r="G122" s="46"/>
      <x:c r="H122" s="46"/>
      <x:c r="I122" s="46"/>
      <x:c r="J122" s="46"/>
      <x:c r="K122" s="46" t="str">
        <x:f>IF(COUNT(G122,I122)=0,"",AVERAGE(G122,I122))</x:f>
      </x:c>
      <x:c r="L122" s="46" t="str">
        <x:f>IF(COUNT(H122,J122)=0,"",AVERAGE(H122,J122))</x:f>
      </x:c>
      <x:c r="M122" s="46" t="str">
        <x:f>IF(OR(K122="",L122=""),"",L122-K122)</x:f>
      </x:c>
      <x:c r="N122" s="46" t="str">
        <x:f>IF(OR(K122="",A121&lt;&gt;A122,K121=""),"",K122-K121)</x:f>
      </x:c>
      <x:c r="O122" s="42" t="str">
        <x:v>Sem informação</x:v>
      </x:c>
      <x:c r="P122" s="42"/>
      <x:c r="Q122" s="42" t="str"/>
      <x:c r="R122" s="42" t="str"/>
      <x:c r="S122" s="42" t="str"/>
      <x:c r="T122" s="42" t="str"/>
    </x:row>
    <x:row r="123">
      <x:c r="A123" s="42" t="str">
        <x:v>Breno Bidon</x:v>
      </x:c>
      <x:c r="B123" s="42" t="n">
        <x:v>2026</x:v>
      </x:c>
      <x:c r="C123" s="42" t="str">
        <x:v>T2</x:v>
      </x:c>
      <x:c r="D123" s="44" t="n">
        <x:v>46203</x:v>
      </x:c>
      <x:c r="E123" s="42" t="str">
        <x:v>Mezzala esquerdo</x:v>
      </x:c>
      <x:c r="F123" s="42" t="str">
        <x:v>SC Corinthians</x:v>
      </x:c>
      <x:c r="G123" s="46" t="n">
        <x:v>6.5</x:v>
      </x:c>
      <x:c r="H123" s="46" t="n">
        <x:v>8.5</x:v>
      </x:c>
      <x:c r="I123" s="46" t="n">
        <x:v>7</x:v>
      </x:c>
      <x:c r="J123" s="46" t="n">
        <x:v>9.5</x:v>
      </x:c>
      <x:c r="K123" s="46" t="n">
        <x:f>IF(COUNT(G123,I123)=0,"",AVERAGE(G123,I123))</x:f>
        <x:v>6.75</x:v>
      </x:c>
      <x:c r="L123" s="46" t="n">
        <x:f>IF(COUNT(H123,J123)=0,"",AVERAGE(H123,J123))</x:f>
        <x:v>9</x:v>
      </x:c>
      <x:c r="M123" s="46" t="n">
        <x:f>IF(OR(K123="",L123=""),"",L123-K123)</x:f>
        <x:v>2.25</x:v>
      </x:c>
      <x:c r="N123" s="46" t="str">
        <x:f>IF(OR(K123="",A122&lt;&gt;A123,K122=""),"",K123-K122)</x:f>
      </x:c>
      <x:c r="O123" s="42" t="str">
        <x:v>Sem informação</x:v>
      </x:c>
      <x:c r="P123" s="42"/>
      <x:c r="Q123" s="42" t="str"/>
      <x:c r="R123" s="42" t="str">
        <x:v>Potencial enorme para jogar em linha no meio de campo.</x:v>
      </x:c>
      <x:c r="S123" s="42" t="str"/>
      <x:c r="T123" s="42" t="str"/>
    </x:row>
    <x:row r="124">
      <x:c r="A124" s="42" t="str">
        <x:v>Breno Bidon</x:v>
      </x:c>
      <x:c r="B124" s="42" t="n">
        <x:v>2026</x:v>
      </x:c>
      <x:c r="C124" s="42" t="str">
        <x:v>T3</x:v>
      </x:c>
      <x:c r="D124" s="44" t="n">
        <x:v>46295</x:v>
      </x:c>
      <x:c r="E124" s="42" t="str">
        <x:v>Mezzala esquerdo</x:v>
      </x:c>
      <x:c r="F124" s="42" t="str">
        <x:v>SC Corinthians</x:v>
      </x:c>
      <x:c r="G124" s="46"/>
      <x:c r="H124" s="46"/>
      <x:c r="I124" s="46"/>
      <x:c r="J124" s="46"/>
      <x:c r="K124" s="46" t="str">
        <x:f>IF(COUNT(G124,I124)=0,"",AVERAGE(G124,I124))</x:f>
      </x:c>
      <x:c r="L124" s="46" t="str">
        <x:f>IF(COUNT(H124,J124)=0,"",AVERAGE(H124,J124))</x:f>
      </x:c>
      <x:c r="M124" s="46" t="str">
        <x:f>IF(OR(K124="",L124=""),"",L124-K124)</x:f>
      </x:c>
      <x:c r="N124" s="46" t="str">
        <x:f>IF(OR(K124="",A123&lt;&gt;A124,K123=""),"",K124-K123)</x:f>
      </x:c>
      <x:c r="O124" s="42" t="str">
        <x:v>Sem informação</x:v>
      </x:c>
      <x:c r="P124" s="42"/>
      <x:c r="Q124" s="42" t="str"/>
      <x:c r="R124" s="42" t="str"/>
      <x:c r="S124" s="42" t="str"/>
      <x:c r="T124" s="42" t="str"/>
    </x:row>
    <x:row r="125">
      <x:c r="A125" s="42" t="str">
        <x:v>Breno Bidon</x:v>
      </x:c>
      <x:c r="B125" s="42" t="n">
        <x:v>2026</x:v>
      </x:c>
      <x:c r="C125" s="42" t="str">
        <x:v>T4</x:v>
      </x:c>
      <x:c r="D125" s="44" t="n">
        <x:v>46387</x:v>
      </x:c>
      <x:c r="E125" s="42" t="str">
        <x:v>Mezzala esquerdo</x:v>
      </x:c>
      <x:c r="F125" s="42" t="str">
        <x:v>SC Corinthians</x:v>
      </x:c>
      <x:c r="G125" s="46"/>
      <x:c r="H125" s="46"/>
      <x:c r="I125" s="46"/>
      <x:c r="J125" s="46"/>
      <x:c r="K125" s="46" t="str">
        <x:f>IF(COUNT(G125,I125)=0,"",AVERAGE(G125,I125))</x:f>
      </x:c>
      <x:c r="L125" s="46" t="str">
        <x:f>IF(COUNT(H125,J125)=0,"",AVERAGE(H125,J125))</x:f>
      </x:c>
      <x:c r="M125" s="46" t="str">
        <x:f>IF(OR(K125="",L125=""),"",L125-K125)</x:f>
      </x:c>
      <x:c r="N125" s="46" t="str">
        <x:f>IF(OR(K125="",A124&lt;&gt;A125,K124=""),"",K125-K124)</x:f>
      </x:c>
      <x:c r="O125" s="42" t="str">
        <x:v>Sem informação</x:v>
      </x:c>
      <x:c r="P125" s="42"/>
      <x:c r="Q125" s="42" t="str"/>
      <x:c r="R125" s="42" t="str"/>
      <x:c r="S125" s="42" t="str"/>
      <x:c r="T125" s="42" t="str"/>
    </x:row>
    <x:row r="126">
      <x:c r="A126" s="42" t="str">
        <x:v>Breno Bidon</x:v>
      </x:c>
      <x:c r="B126" s="42" t="n">
        <x:v>2027</x:v>
      </x:c>
      <x:c r="C126" s="42" t="str">
        <x:v>T1</x:v>
      </x:c>
      <x:c r="D126" s="44" t="n">
        <x:v>46477</x:v>
      </x:c>
      <x:c r="E126" s="42" t="str">
        <x:v>Mezzala esquerdo</x:v>
      </x:c>
      <x:c r="F126" s="42" t="str">
        <x:v>SC Corinthians</x:v>
      </x:c>
      <x:c r="G126" s="46"/>
      <x:c r="H126" s="46"/>
      <x:c r="I126" s="46"/>
      <x:c r="J126" s="46"/>
      <x:c r="K126" s="46" t="str">
        <x:f>IF(COUNT(G126,I126)=0,"",AVERAGE(G126,I126))</x:f>
      </x:c>
      <x:c r="L126" s="46" t="str">
        <x:f>IF(COUNT(H126,J126)=0,"",AVERAGE(H126,J126))</x:f>
      </x:c>
      <x:c r="M126" s="46" t="str">
        <x:f>IF(OR(K126="",L126=""),"",L126-K126)</x:f>
      </x:c>
      <x:c r="N126" s="46" t="str">
        <x:f>IF(OR(K126="",A125&lt;&gt;A126,K125=""),"",K126-K125)</x:f>
      </x:c>
      <x:c r="O126" s="42" t="str">
        <x:v>Sem informação</x:v>
      </x:c>
      <x:c r="P126" s="42"/>
      <x:c r="Q126" s="42" t="str"/>
      <x:c r="R126" s="42" t="str"/>
      <x:c r="S126" s="42" t="str"/>
      <x:c r="T126" s="42" t="str"/>
    </x:row>
    <x:row r="127">
      <x:c r="A127" s="42" t="str">
        <x:v>Breno Bidon</x:v>
      </x:c>
      <x:c r="B127" s="42" t="n">
        <x:v>2027</x:v>
      </x:c>
      <x:c r="C127" s="42" t="str">
        <x:v>T2</x:v>
      </x:c>
      <x:c r="D127" s="44" t="n">
        <x:v>46568</x:v>
      </x:c>
      <x:c r="E127" s="42" t="str">
        <x:v>Mezzala esquerdo</x:v>
      </x:c>
      <x:c r="F127" s="42" t="str">
        <x:v>SC Corinthians</x:v>
      </x:c>
      <x:c r="G127" s="46"/>
      <x:c r="H127" s="46"/>
      <x:c r="I127" s="46"/>
      <x:c r="J127" s="46"/>
      <x:c r="K127" s="46" t="str">
        <x:f>IF(COUNT(G127,I127)=0,"",AVERAGE(G127,I127))</x:f>
      </x:c>
      <x:c r="L127" s="46" t="str">
        <x:f>IF(COUNT(H127,J127)=0,"",AVERAGE(H127,J127))</x:f>
      </x:c>
      <x:c r="M127" s="46" t="str">
        <x:f>IF(OR(K127="",L127=""),"",L127-K127)</x:f>
      </x:c>
      <x:c r="N127" s="46" t="str">
        <x:f>IF(OR(K127="",A126&lt;&gt;A127,K126=""),"",K127-K126)</x:f>
      </x:c>
      <x:c r="O127" s="42" t="str">
        <x:v>Sem informação</x:v>
      </x:c>
      <x:c r="P127" s="42"/>
      <x:c r="Q127" s="42" t="str"/>
      <x:c r="R127" s="42" t="str"/>
      <x:c r="S127" s="42" t="str"/>
      <x:c r="T127" s="42" t="str"/>
    </x:row>
    <x:row r="128">
      <x:c r="A128" s="42" t="str">
        <x:v>Breno Bidon</x:v>
      </x:c>
      <x:c r="B128" s="42" t="n">
        <x:v>2027</x:v>
      </x:c>
      <x:c r="C128" s="42" t="str">
        <x:v>T3</x:v>
      </x:c>
      <x:c r="D128" s="44" t="n">
        <x:v>46660</x:v>
      </x:c>
      <x:c r="E128" s="42" t="str">
        <x:v>Mezzala esquerdo</x:v>
      </x:c>
      <x:c r="F128" s="42" t="str">
        <x:v>SC Corinthians</x:v>
      </x:c>
      <x:c r="G128" s="46"/>
      <x:c r="H128" s="46"/>
      <x:c r="I128" s="46"/>
      <x:c r="J128" s="46"/>
      <x:c r="K128" s="46" t="str">
        <x:f>IF(COUNT(G128,I128)=0,"",AVERAGE(G128,I128))</x:f>
      </x:c>
      <x:c r="L128" s="46" t="str">
        <x:f>IF(COUNT(H128,J128)=0,"",AVERAGE(H128,J128))</x:f>
      </x:c>
      <x:c r="M128" s="46" t="str">
        <x:f>IF(OR(K128="",L128=""),"",L128-K128)</x:f>
      </x:c>
      <x:c r="N128" s="46" t="str">
        <x:f>IF(OR(K128="",A127&lt;&gt;A128,K127=""),"",K128-K127)</x:f>
      </x:c>
      <x:c r="O128" s="42" t="str">
        <x:v>Sem informação</x:v>
      </x:c>
      <x:c r="P128" s="42"/>
      <x:c r="Q128" s="42" t="str"/>
      <x:c r="R128" s="42" t="str"/>
      <x:c r="S128" s="42" t="str"/>
      <x:c r="T128" s="42" t="str"/>
    </x:row>
    <x:row r="129">
      <x:c r="A129" s="42" t="str">
        <x:v>Breno Bidon</x:v>
      </x:c>
      <x:c r="B129" s="42" t="n">
        <x:v>2027</x:v>
      </x:c>
      <x:c r="C129" s="42" t="str">
        <x:v>T4</x:v>
      </x:c>
      <x:c r="D129" s="44" t="n">
        <x:v>46752</x:v>
      </x:c>
      <x:c r="E129" s="42" t="str">
        <x:v>Mezzala esquerdo</x:v>
      </x:c>
      <x:c r="F129" s="42" t="str">
        <x:v>SC Corinthians</x:v>
      </x:c>
      <x:c r="G129" s="46"/>
      <x:c r="H129" s="46"/>
      <x:c r="I129" s="46"/>
      <x:c r="J129" s="46"/>
      <x:c r="K129" s="46" t="str">
        <x:f>IF(COUNT(G129,I129)=0,"",AVERAGE(G129,I129))</x:f>
      </x:c>
      <x:c r="L129" s="46" t="str">
        <x:f>IF(COUNT(H129,J129)=0,"",AVERAGE(H129,J129))</x:f>
      </x:c>
      <x:c r="M129" s="46" t="str">
        <x:f>IF(OR(K129="",L129=""),"",L129-K129)</x:f>
      </x:c>
      <x:c r="N129" s="46" t="str">
        <x:f>IF(OR(K129="",A128&lt;&gt;A129,K128=""),"",K129-K128)</x:f>
      </x:c>
      <x:c r="O129" s="42" t="str">
        <x:v>Sem informação</x:v>
      </x:c>
      <x:c r="P129" s="42"/>
      <x:c r="Q129" s="42" t="str"/>
      <x:c r="R129" s="42" t="str"/>
      <x:c r="S129" s="42" t="str"/>
      <x:c r="T129" s="42" t="str"/>
    </x:row>
    <x:row r="130">
      <x:c r="A130" s="42" t="str">
        <x:v>Breno Bidon</x:v>
      </x:c>
      <x:c r="B130" s="42" t="n">
        <x:v>2028</x:v>
      </x:c>
      <x:c r="C130" s="42" t="str">
        <x:v>T1</x:v>
      </x:c>
      <x:c r="D130" s="44" t="n">
        <x:v>46843</x:v>
      </x:c>
      <x:c r="E130" s="42" t="str">
        <x:v>Mezzala esquerdo</x:v>
      </x:c>
      <x:c r="F130" s="42" t="str">
        <x:v>SC Corinthians</x:v>
      </x:c>
      <x:c r="G130" s="46"/>
      <x:c r="H130" s="46"/>
      <x:c r="I130" s="46"/>
      <x:c r="J130" s="46"/>
      <x:c r="K130" s="46" t="str">
        <x:f>IF(COUNT(G130,I130)=0,"",AVERAGE(G130,I130))</x:f>
      </x:c>
      <x:c r="L130" s="46" t="str">
        <x:f>IF(COUNT(H130,J130)=0,"",AVERAGE(H130,J130))</x:f>
      </x:c>
      <x:c r="M130" s="46" t="str">
        <x:f>IF(OR(K130="",L130=""),"",L130-K130)</x:f>
      </x:c>
      <x:c r="N130" s="46" t="str">
        <x:f>IF(OR(K130="",A129&lt;&gt;A130,K129=""),"",K130-K129)</x:f>
      </x:c>
      <x:c r="O130" s="42" t="str">
        <x:v>Sem informação</x:v>
      </x:c>
      <x:c r="P130" s="42"/>
      <x:c r="Q130" s="42" t="str"/>
      <x:c r="R130" s="42" t="str"/>
      <x:c r="S130" s="42" t="str"/>
      <x:c r="T130" s="42" t="str"/>
    </x:row>
    <x:row r="131">
      <x:c r="A131" s="42" t="str">
        <x:v>Breno Bidon</x:v>
      </x:c>
      <x:c r="B131" s="42" t="n">
        <x:v>2028</x:v>
      </x:c>
      <x:c r="C131" s="42" t="str">
        <x:v>T2</x:v>
      </x:c>
      <x:c r="D131" s="44" t="n">
        <x:v>46934</x:v>
      </x:c>
      <x:c r="E131" s="42" t="str">
        <x:v>Mezzala esquerdo</x:v>
      </x:c>
      <x:c r="F131" s="42" t="str">
        <x:v>SC Corinthians</x:v>
      </x:c>
      <x:c r="G131" s="46"/>
      <x:c r="H131" s="46"/>
      <x:c r="I131" s="46"/>
      <x:c r="J131" s="46"/>
      <x:c r="K131" s="46" t="str">
        <x:f>IF(COUNT(G131,I131)=0,"",AVERAGE(G131,I131))</x:f>
      </x:c>
      <x:c r="L131" s="46" t="str">
        <x:f>IF(COUNT(H131,J131)=0,"",AVERAGE(H131,J131))</x:f>
      </x:c>
      <x:c r="M131" s="46" t="str">
        <x:f>IF(OR(K131="",L131=""),"",L131-K131)</x:f>
      </x:c>
      <x:c r="N131" s="46" t="str">
        <x:f>IF(OR(K131="",A130&lt;&gt;A131,K130=""),"",K131-K130)</x:f>
      </x:c>
      <x:c r="O131" s="42" t="str">
        <x:v>Sem informação</x:v>
      </x:c>
      <x:c r="P131" s="42"/>
      <x:c r="Q131" s="42" t="str"/>
      <x:c r="R131" s="42" t="str"/>
      <x:c r="S131" s="42" t="str"/>
      <x:c r="T131" s="42" t="str"/>
    </x:row>
    <x:row r="132">
      <x:c r="A132" s="42" t="str">
        <x:v>Breno Bidon</x:v>
      </x:c>
      <x:c r="B132" s="42" t="n">
        <x:v>2028</x:v>
      </x:c>
      <x:c r="C132" s="42" t="str">
        <x:v>T3</x:v>
      </x:c>
      <x:c r="D132" s="44" t="n">
        <x:v>47026</x:v>
      </x:c>
      <x:c r="E132" s="42" t="str">
        <x:v>Mezzala esquerdo</x:v>
      </x:c>
      <x:c r="F132" s="42" t="str">
        <x:v>SC Corinthians</x:v>
      </x:c>
      <x:c r="G132" s="46"/>
      <x:c r="H132" s="46"/>
      <x:c r="I132" s="46"/>
      <x:c r="J132" s="46"/>
      <x:c r="K132" s="46" t="str">
        <x:f>IF(COUNT(G132,I132)=0,"",AVERAGE(G132,I132))</x:f>
      </x:c>
      <x:c r="L132" s="46" t="str">
        <x:f>IF(COUNT(H132,J132)=0,"",AVERAGE(H132,J132))</x:f>
      </x:c>
      <x:c r="M132" s="46" t="str">
        <x:f>IF(OR(K132="",L132=""),"",L132-K132)</x:f>
      </x:c>
      <x:c r="N132" s="46" t="str">
        <x:f>IF(OR(K132="",A131&lt;&gt;A132,K131=""),"",K132-K131)</x:f>
      </x:c>
      <x:c r="O132" s="42" t="str">
        <x:v>Sem informação</x:v>
      </x:c>
      <x:c r="P132" s="42"/>
      <x:c r="Q132" s="42" t="str"/>
      <x:c r="R132" s="42" t="str"/>
      <x:c r="S132" s="42" t="str"/>
      <x:c r="T132" s="42" t="str"/>
    </x:row>
    <x:row r="133">
      <x:c r="A133" s="42" t="str">
        <x:v>Breno Bidon</x:v>
      </x:c>
      <x:c r="B133" s="42" t="n">
        <x:v>2028</x:v>
      </x:c>
      <x:c r="C133" s="42" t="str">
        <x:v>T4</x:v>
      </x:c>
      <x:c r="D133" s="44" t="n">
        <x:v>47118</x:v>
      </x:c>
      <x:c r="E133" s="42" t="str">
        <x:v>Mezzala esquerdo</x:v>
      </x:c>
      <x:c r="F133" s="42" t="str">
        <x:v>SC Corinthians</x:v>
      </x:c>
      <x:c r="G133" s="46"/>
      <x:c r="H133" s="46"/>
      <x:c r="I133" s="46"/>
      <x:c r="J133" s="46"/>
      <x:c r="K133" s="46" t="str">
        <x:f>IF(COUNT(G133,I133)=0,"",AVERAGE(G133,I133))</x:f>
      </x:c>
      <x:c r="L133" s="46" t="str">
        <x:f>IF(COUNT(H133,J133)=0,"",AVERAGE(H133,J133))</x:f>
      </x:c>
      <x:c r="M133" s="46" t="str">
        <x:f>IF(OR(K133="",L133=""),"",L133-K133)</x:f>
      </x:c>
      <x:c r="N133" s="46" t="str">
        <x:f>IF(OR(K133="",A132&lt;&gt;A133,K132=""),"",K133-K132)</x:f>
      </x:c>
      <x:c r="O133" s="42" t="str">
        <x:v>Sem informação</x:v>
      </x:c>
      <x:c r="P133" s="42"/>
      <x:c r="Q133" s="42" t="str"/>
      <x:c r="R133" s="42" t="str"/>
      <x:c r="S133" s="42" t="str"/>
      <x:c r="T133" s="42" t="str"/>
    </x:row>
    <x:row r="134">
      <x:c r="A134" s="42" t="str">
        <x:v>Breno Bidon</x:v>
      </x:c>
      <x:c r="B134" s="42" t="n">
        <x:v>2029</x:v>
      </x:c>
      <x:c r="C134" s="42" t="str">
        <x:v>T1</x:v>
      </x:c>
      <x:c r="D134" s="44" t="n">
        <x:v>47208</x:v>
      </x:c>
      <x:c r="E134" s="42" t="str">
        <x:v>Mezzala esquerdo</x:v>
      </x:c>
      <x:c r="F134" s="42" t="str">
        <x:v>SC Corinthians</x:v>
      </x:c>
      <x:c r="G134" s="46"/>
      <x:c r="H134" s="46"/>
      <x:c r="I134" s="46"/>
      <x:c r="J134" s="46"/>
      <x:c r="K134" s="46" t="str">
        <x:f>IF(COUNT(G134,I134)=0,"",AVERAGE(G134,I134))</x:f>
      </x:c>
      <x:c r="L134" s="46" t="str">
        <x:f>IF(COUNT(H134,J134)=0,"",AVERAGE(H134,J134))</x:f>
      </x:c>
      <x:c r="M134" s="46" t="str">
        <x:f>IF(OR(K134="",L134=""),"",L134-K134)</x:f>
      </x:c>
      <x:c r="N134" s="46" t="str">
        <x:f>IF(OR(K134="",A133&lt;&gt;A134,K133=""),"",K134-K133)</x:f>
      </x:c>
      <x:c r="O134" s="42" t="str">
        <x:v>Sem informação</x:v>
      </x:c>
      <x:c r="P134" s="42"/>
      <x:c r="Q134" s="42" t="str"/>
      <x:c r="R134" s="42" t="str"/>
      <x:c r="S134" s="42" t="str"/>
      <x:c r="T134" s="42" t="str"/>
    </x:row>
    <x:row r="135">
      <x:c r="A135" s="42" t="str">
        <x:v>Breno Bidon</x:v>
      </x:c>
      <x:c r="B135" s="42" t="n">
        <x:v>2029</x:v>
      </x:c>
      <x:c r="C135" s="42" t="str">
        <x:v>T2</x:v>
      </x:c>
      <x:c r="D135" s="44" t="n">
        <x:v>47299</x:v>
      </x:c>
      <x:c r="E135" s="42" t="str">
        <x:v>Mezzala esquerdo</x:v>
      </x:c>
      <x:c r="F135" s="42" t="str">
        <x:v>SC Corinthians</x:v>
      </x:c>
      <x:c r="G135" s="46"/>
      <x:c r="H135" s="46"/>
      <x:c r="I135" s="46"/>
      <x:c r="J135" s="46"/>
      <x:c r="K135" s="46" t="str">
        <x:f>IF(COUNT(G135,I135)=0,"",AVERAGE(G135,I135))</x:f>
      </x:c>
      <x:c r="L135" s="46" t="str">
        <x:f>IF(COUNT(H135,J135)=0,"",AVERAGE(H135,J135))</x:f>
      </x:c>
      <x:c r="M135" s="46" t="str">
        <x:f>IF(OR(K135="",L135=""),"",L135-K135)</x:f>
      </x:c>
      <x:c r="N135" s="46" t="str">
        <x:f>IF(OR(K135="",A134&lt;&gt;A135,K134=""),"",K135-K134)</x:f>
      </x:c>
      <x:c r="O135" s="42" t="str">
        <x:v>Sem informação</x:v>
      </x:c>
      <x:c r="P135" s="42"/>
      <x:c r="Q135" s="42" t="str"/>
      <x:c r="R135" s="42" t="str"/>
      <x:c r="S135" s="42" t="str"/>
      <x:c r="T135" s="42" t="str"/>
    </x:row>
    <x:row r="136">
      <x:c r="A136" s="42" t="str">
        <x:v>Breno Bidon</x:v>
      </x:c>
      <x:c r="B136" s="42" t="n">
        <x:v>2029</x:v>
      </x:c>
      <x:c r="C136" s="42" t="str">
        <x:v>T3</x:v>
      </x:c>
      <x:c r="D136" s="44" t="n">
        <x:v>47391</x:v>
      </x:c>
      <x:c r="E136" s="42" t="str">
        <x:v>Mezzala esquerdo</x:v>
      </x:c>
      <x:c r="F136" s="42" t="str">
        <x:v>SC Corinthians</x:v>
      </x:c>
      <x:c r="G136" s="46"/>
      <x:c r="H136" s="46"/>
      <x:c r="I136" s="46"/>
      <x:c r="J136" s="46"/>
      <x:c r="K136" s="46" t="str">
        <x:f>IF(COUNT(G136,I136)=0,"",AVERAGE(G136,I136))</x:f>
      </x:c>
      <x:c r="L136" s="46" t="str">
        <x:f>IF(COUNT(H136,J136)=0,"",AVERAGE(H136,J136))</x:f>
      </x:c>
      <x:c r="M136" s="46" t="str">
        <x:f>IF(OR(K136="",L136=""),"",L136-K136)</x:f>
      </x:c>
      <x:c r="N136" s="46" t="str">
        <x:f>IF(OR(K136="",A135&lt;&gt;A136,K135=""),"",K136-K135)</x:f>
      </x:c>
      <x:c r="O136" s="42" t="str">
        <x:v>Sem informação</x:v>
      </x:c>
      <x:c r="P136" s="42"/>
      <x:c r="Q136" s="42" t="str"/>
      <x:c r="R136" s="42" t="str"/>
      <x:c r="S136" s="42" t="str"/>
      <x:c r="T136" s="42" t="str"/>
    </x:row>
    <x:row r="137">
      <x:c r="A137" s="42" t="str">
        <x:v>Breno Bidon</x:v>
      </x:c>
      <x:c r="B137" s="42" t="n">
        <x:v>2029</x:v>
      </x:c>
      <x:c r="C137" s="42" t="str">
        <x:v>T4</x:v>
      </x:c>
      <x:c r="D137" s="44" t="n">
        <x:v>47483</x:v>
      </x:c>
      <x:c r="E137" s="42" t="str">
        <x:v>Mezzala esquerdo</x:v>
      </x:c>
      <x:c r="F137" s="42" t="str">
        <x:v>SC Corinthians</x:v>
      </x:c>
      <x:c r="G137" s="46"/>
      <x:c r="H137" s="46"/>
      <x:c r="I137" s="46"/>
      <x:c r="J137" s="46"/>
      <x:c r="K137" s="46" t="str">
        <x:f>IF(COUNT(G137,I137)=0,"",AVERAGE(G137,I137))</x:f>
      </x:c>
      <x:c r="L137" s="46" t="str">
        <x:f>IF(COUNT(H137,J137)=0,"",AVERAGE(H137,J137))</x:f>
      </x:c>
      <x:c r="M137" s="46" t="str">
        <x:f>IF(OR(K137="",L137=""),"",L137-K137)</x:f>
      </x:c>
      <x:c r="N137" s="46" t="str">
        <x:f>IF(OR(K137="",A136&lt;&gt;A137,K136=""),"",K137-K136)</x:f>
      </x:c>
      <x:c r="O137" s="42" t="str">
        <x:v>Sem informação</x:v>
      </x:c>
      <x:c r="P137" s="42"/>
      <x:c r="Q137" s="42" t="str"/>
      <x:c r="R137" s="42" t="str"/>
      <x:c r="S137" s="42" t="str"/>
      <x:c r="T137" s="42" t="str"/>
    </x:row>
    <x:row r="138">
      <x:c r="A138" s="42" t="str">
        <x:v>Breno Bidon</x:v>
      </x:c>
      <x:c r="B138" s="42" t="n">
        <x:v>2030</x:v>
      </x:c>
      <x:c r="C138" s="42" t="str">
        <x:v>T1</x:v>
      </x:c>
      <x:c r="D138" s="44" t="n">
        <x:v>47573</x:v>
      </x:c>
      <x:c r="E138" s="42" t="str">
        <x:v>Mezzala esquerdo</x:v>
      </x:c>
      <x:c r="F138" s="42" t="str">
        <x:v>SC Corinthians</x:v>
      </x:c>
      <x:c r="G138" s="46"/>
      <x:c r="H138" s="46"/>
      <x:c r="I138" s="46"/>
      <x:c r="J138" s="46"/>
      <x:c r="K138" s="46" t="str">
        <x:f>IF(COUNT(G138,I138)=0,"",AVERAGE(G138,I138))</x:f>
      </x:c>
      <x:c r="L138" s="46" t="str">
        <x:f>IF(COUNT(H138,J138)=0,"",AVERAGE(H138,J138))</x:f>
      </x:c>
      <x:c r="M138" s="46" t="str">
        <x:f>IF(OR(K138="",L138=""),"",L138-K138)</x:f>
      </x:c>
      <x:c r="N138" s="46" t="str">
        <x:f>IF(OR(K138="",A137&lt;&gt;A138,K137=""),"",K138-K137)</x:f>
      </x:c>
      <x:c r="O138" s="42" t="str">
        <x:v>Sem informação</x:v>
      </x:c>
      <x:c r="P138" s="42"/>
      <x:c r="Q138" s="42" t="str"/>
      <x:c r="R138" s="42" t="str"/>
      <x:c r="S138" s="42" t="str"/>
      <x:c r="T138" s="42" t="str"/>
    </x:row>
    <x:row r="139">
      <x:c r="A139" s="42" t="str">
        <x:v>Breno Bidon</x:v>
      </x:c>
      <x:c r="B139" s="42" t="n">
        <x:v>2030</x:v>
      </x:c>
      <x:c r="C139" s="42" t="str">
        <x:v>T2</x:v>
      </x:c>
      <x:c r="D139" s="44" t="n">
        <x:v>47664</x:v>
      </x:c>
      <x:c r="E139" s="42" t="str">
        <x:v>Mezzala esquerdo</x:v>
      </x:c>
      <x:c r="F139" s="42" t="str">
        <x:v>SC Corinthians</x:v>
      </x:c>
      <x:c r="G139" s="46"/>
      <x:c r="H139" s="46"/>
      <x:c r="I139" s="46"/>
      <x:c r="J139" s="46"/>
      <x:c r="K139" s="46" t="str">
        <x:f>IF(COUNT(G139,I139)=0,"",AVERAGE(G139,I139))</x:f>
      </x:c>
      <x:c r="L139" s="46" t="str">
        <x:f>IF(COUNT(H139,J139)=0,"",AVERAGE(H139,J139))</x:f>
      </x:c>
      <x:c r="M139" s="46" t="str">
        <x:f>IF(OR(K139="",L139=""),"",L139-K139)</x:f>
      </x:c>
      <x:c r="N139" s="46" t="str">
        <x:f>IF(OR(K139="",A138&lt;&gt;A139,K138=""),"",K139-K138)</x:f>
      </x:c>
      <x:c r="O139" s="42" t="str">
        <x:v>Sem informação</x:v>
      </x:c>
      <x:c r="P139" s="42"/>
      <x:c r="Q139" s="42" t="str"/>
      <x:c r="R139" s="42" t="str"/>
      <x:c r="S139" s="42" t="str"/>
      <x:c r="T139" s="42" t="str"/>
    </x:row>
    <x:row r="140">
      <x:c r="A140" s="42" t="str">
        <x:v>Breno Bidon</x:v>
      </x:c>
      <x:c r="B140" s="42" t="n">
        <x:v>2030</x:v>
      </x:c>
      <x:c r="C140" s="42" t="str">
        <x:v>T3</x:v>
      </x:c>
      <x:c r="D140" s="44" t="n">
        <x:v>47756</x:v>
      </x:c>
      <x:c r="E140" s="42" t="str">
        <x:v>Mezzala esquerdo</x:v>
      </x:c>
      <x:c r="F140" s="42" t="str">
        <x:v>SC Corinthians</x:v>
      </x:c>
      <x:c r="G140" s="46"/>
      <x:c r="H140" s="46"/>
      <x:c r="I140" s="46"/>
      <x:c r="J140" s="46"/>
      <x:c r="K140" s="46" t="str">
        <x:f>IF(COUNT(G140,I140)=0,"",AVERAGE(G140,I140))</x:f>
      </x:c>
      <x:c r="L140" s="46" t="str">
        <x:f>IF(COUNT(H140,J140)=0,"",AVERAGE(H140,J140))</x:f>
      </x:c>
      <x:c r="M140" s="46" t="str">
        <x:f>IF(OR(K140="",L140=""),"",L140-K140)</x:f>
      </x:c>
      <x:c r="N140" s="46" t="str">
        <x:f>IF(OR(K140="",A139&lt;&gt;A140,K139=""),"",K140-K139)</x:f>
      </x:c>
      <x:c r="O140" s="42" t="str">
        <x:v>Sem informação</x:v>
      </x:c>
      <x:c r="P140" s="42"/>
      <x:c r="Q140" s="42" t="str"/>
      <x:c r="R140" s="42" t="str"/>
      <x:c r="S140" s="42" t="str"/>
      <x:c r="T140" s="42" t="str"/>
    </x:row>
    <x:row r="141">
      <x:c r="A141" s="42" t="str">
        <x:v>Breno Bidon</x:v>
      </x:c>
      <x:c r="B141" s="42" t="n">
        <x:v>2030</x:v>
      </x:c>
      <x:c r="C141" s="42" t="str">
        <x:v>T4</x:v>
      </x:c>
      <x:c r="D141" s="44" t="n">
        <x:v>47848</x:v>
      </x:c>
      <x:c r="E141" s="42" t="str">
        <x:v>Mezzala esquerdo</x:v>
      </x:c>
      <x:c r="F141" s="42" t="str">
        <x:v>SC Corinthians</x:v>
      </x:c>
      <x:c r="G141" s="46"/>
      <x:c r="H141" s="46"/>
      <x:c r="I141" s="46"/>
      <x:c r="J141" s="46"/>
      <x:c r="K141" s="46" t="str">
        <x:f>IF(COUNT(G141,I141)=0,"",AVERAGE(G141,I141))</x:f>
      </x:c>
      <x:c r="L141" s="46" t="str">
        <x:f>IF(COUNT(H141,J141)=0,"",AVERAGE(H141,J141))</x:f>
      </x:c>
      <x:c r="M141" s="46" t="str">
        <x:f>IF(OR(K141="",L141=""),"",L141-K141)</x:f>
      </x:c>
      <x:c r="N141" s="46" t="str">
        <x:f>IF(OR(K141="",A140&lt;&gt;A141,K140=""),"",K141-K140)</x:f>
      </x:c>
      <x:c r="O141" s="42" t="str">
        <x:v>Sem informação</x:v>
      </x:c>
      <x:c r="P141" s="42"/>
      <x:c r="Q141" s="42" t="str"/>
      <x:c r="R141" s="42" t="str"/>
      <x:c r="S141" s="42" t="str"/>
      <x:c r="T141" s="42" t="str"/>
    </x:row>
    <x:row r="142">
      <x:c r="A142" s="42" t="str">
        <x:v>Bruno Guimarães</x:v>
      </x:c>
      <x:c r="B142" s="42" t="n">
        <x:v>2026</x:v>
      </x:c>
      <x:c r="C142" s="42" t="str">
        <x:v>T1</x:v>
      </x:c>
      <x:c r="D142" s="44" t="n">
        <x:v>46112</x:v>
      </x:c>
      <x:c r="E142" s="42" t="str">
        <x:v>Mezzala esquerdo</x:v>
      </x:c>
      <x:c r="F142" s="42" t="str">
        <x:v>Newcastle United</x:v>
      </x:c>
      <x:c r="G142" s="46"/>
      <x:c r="H142" s="46"/>
      <x:c r="I142" s="46"/>
      <x:c r="J142" s="46"/>
      <x:c r="K142" s="46" t="str">
        <x:f>IF(COUNT(G142,I142)=0,"",AVERAGE(G142,I142))</x:f>
      </x:c>
      <x:c r="L142" s="46" t="str">
        <x:f>IF(COUNT(H142,J142)=0,"",AVERAGE(H142,J142))</x:f>
      </x:c>
      <x:c r="M142" s="46" t="str">
        <x:f>IF(OR(K142="",L142=""),"",L142-K142)</x:f>
      </x:c>
      <x:c r="N142" s="46" t="str">
        <x:f>IF(OR(K142="",A141&lt;&gt;A142,K141=""),"",K142-K141)</x:f>
      </x:c>
      <x:c r="O142" s="42" t="str">
        <x:v>Sem informação</x:v>
      </x:c>
      <x:c r="P142" s="42"/>
      <x:c r="Q142" s="42" t="str"/>
      <x:c r="R142" s="42" t="str"/>
      <x:c r="S142" s="42" t="str"/>
      <x:c r="T142" s="42" t="str"/>
    </x:row>
    <x:row r="143">
      <x:c r="A143" s="42" t="str">
        <x:v>Bruno Guimarães</x:v>
      </x:c>
      <x:c r="B143" s="42" t="n">
        <x:v>2026</x:v>
      </x:c>
      <x:c r="C143" s="42" t="str">
        <x:v>T2</x:v>
      </x:c>
      <x:c r="D143" s="44" t="n">
        <x:v>46203</x:v>
      </x:c>
      <x:c r="E143" s="42" t="str">
        <x:v>Mezzala esquerdo</x:v>
      </x:c>
      <x:c r="F143" s="42" t="str">
        <x:v>Newcastle United</x:v>
      </x:c>
      <x:c r="G143" s="46" t="n">
        <x:v>8</x:v>
      </x:c>
      <x:c r="H143" s="46" t="n">
        <x:v>7.5</x:v>
      </x:c>
      <x:c r="I143" s="46" t="n">
        <x:v>9</x:v>
      </x:c>
      <x:c r="J143" s="46" t="n">
        <x:v>8.5</x:v>
      </x:c>
      <x:c r="K143" s="46" t="n">
        <x:f>IF(COUNT(G143,I143)=0,"",AVERAGE(G143,I143))</x:f>
        <x:v>8.5</x:v>
      </x:c>
      <x:c r="L143" s="46" t="n">
        <x:f>IF(COUNT(H143,J143)=0,"",AVERAGE(H143,J143))</x:f>
        <x:v>8</x:v>
      </x:c>
      <x:c r="M143" s="46" t="n">
        <x:f>IF(OR(K143="",L143=""),"",L143-K143)</x:f>
        <x:v>-0.5</x:v>
      </x:c>
      <x:c r="N143" s="46" t="str">
        <x:f>IF(OR(K143="",A142&lt;&gt;A143,K142=""),"",K143-K142)</x:f>
      </x:c>
      <x:c r="O143" s="42" t="str">
        <x:v>Sem informação</x:v>
      </x:c>
      <x:c r="P143" s="42"/>
      <x:c r="Q143" s="42" t="str"/>
      <x:c r="R143" s="42" t="str">
        <x:v>Um dos melhores meias do mundo. Potencial de ser um dos líderes do novo ciclo.</x:v>
      </x:c>
      <x:c r="S143" s="42" t="str"/>
      <x:c r="T143" s="42" t="str"/>
    </x:row>
    <x:row r="144">
      <x:c r="A144" s="42" t="str">
        <x:v>Bruno Guimarães</x:v>
      </x:c>
      <x:c r="B144" s="42" t="n">
        <x:v>2026</x:v>
      </x:c>
      <x:c r="C144" s="42" t="str">
        <x:v>T3</x:v>
      </x:c>
      <x:c r="D144" s="44" t="n">
        <x:v>46295</x:v>
      </x:c>
      <x:c r="E144" s="42" t="str">
        <x:v>Mezzala esquerdo</x:v>
      </x:c>
      <x:c r="F144" s="42" t="str">
        <x:v>Newcastle United</x:v>
      </x:c>
      <x:c r="G144" s="46"/>
      <x:c r="H144" s="46"/>
      <x:c r="I144" s="46"/>
      <x:c r="J144" s="46"/>
      <x:c r="K144" s="46" t="str">
        <x:f>IF(COUNT(G144,I144)=0,"",AVERAGE(G144,I144))</x:f>
      </x:c>
      <x:c r="L144" s="46" t="str">
        <x:f>IF(COUNT(H144,J144)=0,"",AVERAGE(H144,J144))</x:f>
      </x:c>
      <x:c r="M144" s="46" t="str">
        <x:f>IF(OR(K144="",L144=""),"",L144-K144)</x:f>
      </x:c>
      <x:c r="N144" s="46" t="str">
        <x:f>IF(OR(K144="",A143&lt;&gt;A144,K143=""),"",K144-K143)</x:f>
      </x:c>
      <x:c r="O144" s="42" t="str">
        <x:v>Sem informação</x:v>
      </x:c>
      <x:c r="P144" s="42"/>
      <x:c r="Q144" s="42" t="str"/>
      <x:c r="R144" s="42" t="str"/>
      <x:c r="S144" s="42" t="str"/>
      <x:c r="T144" s="42" t="str"/>
    </x:row>
    <x:row r="145">
      <x:c r="A145" s="42" t="str">
        <x:v>Bruno Guimarães</x:v>
      </x:c>
      <x:c r="B145" s="42" t="n">
        <x:v>2026</x:v>
      </x:c>
      <x:c r="C145" s="42" t="str">
        <x:v>T4</x:v>
      </x:c>
      <x:c r="D145" s="44" t="n">
        <x:v>46387</x:v>
      </x:c>
      <x:c r="E145" s="42" t="str">
        <x:v>Mezzala esquerdo</x:v>
      </x:c>
      <x:c r="F145" s="42" t="str">
        <x:v>Newcastle United</x:v>
      </x:c>
      <x:c r="G145" s="46"/>
      <x:c r="H145" s="46"/>
      <x:c r="I145" s="46"/>
      <x:c r="J145" s="46"/>
      <x:c r="K145" s="46" t="str">
        <x:f>IF(COUNT(G145,I145)=0,"",AVERAGE(G145,I145))</x:f>
      </x:c>
      <x:c r="L145" s="46" t="str">
        <x:f>IF(COUNT(H145,J145)=0,"",AVERAGE(H145,J145))</x:f>
      </x:c>
      <x:c r="M145" s="46" t="str">
        <x:f>IF(OR(K145="",L145=""),"",L145-K145)</x:f>
      </x:c>
      <x:c r="N145" s="46" t="str">
        <x:f>IF(OR(K145="",A144&lt;&gt;A145,K144=""),"",K145-K144)</x:f>
      </x:c>
      <x:c r="O145" s="42" t="str">
        <x:v>Sem informação</x:v>
      </x:c>
      <x:c r="P145" s="42"/>
      <x:c r="Q145" s="42" t="str"/>
      <x:c r="R145" s="42" t="str"/>
      <x:c r="S145" s="42" t="str"/>
      <x:c r="T145" s="42" t="str"/>
    </x:row>
    <x:row r="146">
      <x:c r="A146" s="42" t="str">
        <x:v>Bruno Guimarães</x:v>
      </x:c>
      <x:c r="B146" s="42" t="n">
        <x:v>2027</x:v>
      </x:c>
      <x:c r="C146" s="42" t="str">
        <x:v>T1</x:v>
      </x:c>
      <x:c r="D146" s="44" t="n">
        <x:v>46477</x:v>
      </x:c>
      <x:c r="E146" s="42" t="str">
        <x:v>Mezzala esquerdo</x:v>
      </x:c>
      <x:c r="F146" s="42" t="str">
        <x:v>Newcastle United</x:v>
      </x:c>
      <x:c r="G146" s="46"/>
      <x:c r="H146" s="46"/>
      <x:c r="I146" s="46"/>
      <x:c r="J146" s="46"/>
      <x:c r="K146" s="46" t="str">
        <x:f>IF(COUNT(G146,I146)=0,"",AVERAGE(G146,I146))</x:f>
      </x:c>
      <x:c r="L146" s="46" t="str">
        <x:f>IF(COUNT(H146,J146)=0,"",AVERAGE(H146,J146))</x:f>
      </x:c>
      <x:c r="M146" s="46" t="str">
        <x:f>IF(OR(K146="",L146=""),"",L146-K146)</x:f>
      </x:c>
      <x:c r="N146" s="46" t="str">
        <x:f>IF(OR(K146="",A145&lt;&gt;A146,K145=""),"",K146-K145)</x:f>
      </x:c>
      <x:c r="O146" s="42" t="str">
        <x:v>Sem informação</x:v>
      </x:c>
      <x:c r="P146" s="42"/>
      <x:c r="Q146" s="42" t="str"/>
      <x:c r="R146" s="42" t="str"/>
      <x:c r="S146" s="42" t="str"/>
      <x:c r="T146" s="42" t="str"/>
    </x:row>
    <x:row r="147">
      <x:c r="A147" s="42" t="str">
        <x:v>Bruno Guimarães</x:v>
      </x:c>
      <x:c r="B147" s="42" t="n">
        <x:v>2027</x:v>
      </x:c>
      <x:c r="C147" s="42" t="str">
        <x:v>T2</x:v>
      </x:c>
      <x:c r="D147" s="44" t="n">
        <x:v>46568</x:v>
      </x:c>
      <x:c r="E147" s="42" t="str">
        <x:v>Mezzala esquerdo</x:v>
      </x:c>
      <x:c r="F147" s="42" t="str">
        <x:v>Newcastle United</x:v>
      </x:c>
      <x:c r="G147" s="46"/>
      <x:c r="H147" s="46"/>
      <x:c r="I147" s="46"/>
      <x:c r="J147" s="46"/>
      <x:c r="K147" s="46" t="str">
        <x:f>IF(COUNT(G147,I147)=0,"",AVERAGE(G147,I147))</x:f>
      </x:c>
      <x:c r="L147" s="46" t="str">
        <x:f>IF(COUNT(H147,J147)=0,"",AVERAGE(H147,J147))</x:f>
      </x:c>
      <x:c r="M147" s="46" t="str">
        <x:f>IF(OR(K147="",L147=""),"",L147-K147)</x:f>
      </x:c>
      <x:c r="N147" s="46" t="str">
        <x:f>IF(OR(K147="",A146&lt;&gt;A147,K146=""),"",K147-K146)</x:f>
      </x:c>
      <x:c r="O147" s="42" t="str">
        <x:v>Sem informação</x:v>
      </x:c>
      <x:c r="P147" s="42"/>
      <x:c r="Q147" s="42" t="str"/>
      <x:c r="R147" s="42" t="str"/>
      <x:c r="S147" s="42" t="str"/>
      <x:c r="T147" s="42" t="str"/>
    </x:row>
    <x:row r="148">
      <x:c r="A148" s="42" t="str">
        <x:v>Bruno Guimarães</x:v>
      </x:c>
      <x:c r="B148" s="42" t="n">
        <x:v>2027</x:v>
      </x:c>
      <x:c r="C148" s="42" t="str">
        <x:v>T3</x:v>
      </x:c>
      <x:c r="D148" s="44" t="n">
        <x:v>46660</x:v>
      </x:c>
      <x:c r="E148" s="42" t="str">
        <x:v>Mezzala esquerdo</x:v>
      </x:c>
      <x:c r="F148" s="42" t="str">
        <x:v>Newcastle United</x:v>
      </x:c>
      <x:c r="G148" s="46"/>
      <x:c r="H148" s="46"/>
      <x:c r="I148" s="46"/>
      <x:c r="J148" s="46"/>
      <x:c r="K148" s="46" t="str">
        <x:f>IF(COUNT(G148,I148)=0,"",AVERAGE(G148,I148))</x:f>
      </x:c>
      <x:c r="L148" s="46" t="str">
        <x:f>IF(COUNT(H148,J148)=0,"",AVERAGE(H148,J148))</x:f>
      </x:c>
      <x:c r="M148" s="46" t="str">
        <x:f>IF(OR(K148="",L148=""),"",L148-K148)</x:f>
      </x:c>
      <x:c r="N148" s="46" t="str">
        <x:f>IF(OR(K148="",A147&lt;&gt;A148,K147=""),"",K148-K147)</x:f>
      </x:c>
      <x:c r="O148" s="42" t="str">
        <x:v>Sem informação</x:v>
      </x:c>
      <x:c r="P148" s="42"/>
      <x:c r="Q148" s="42" t="str"/>
      <x:c r="R148" s="42" t="str"/>
      <x:c r="S148" s="42" t="str"/>
      <x:c r="T148" s="42" t="str"/>
    </x:row>
    <x:row r="149">
      <x:c r="A149" s="42" t="str">
        <x:v>Bruno Guimarães</x:v>
      </x:c>
      <x:c r="B149" s="42" t="n">
        <x:v>2027</x:v>
      </x:c>
      <x:c r="C149" s="42" t="str">
        <x:v>T4</x:v>
      </x:c>
      <x:c r="D149" s="44" t="n">
        <x:v>46752</x:v>
      </x:c>
      <x:c r="E149" s="42" t="str">
        <x:v>Mezzala esquerdo</x:v>
      </x:c>
      <x:c r="F149" s="42" t="str">
        <x:v>Newcastle United</x:v>
      </x:c>
      <x:c r="G149" s="46"/>
      <x:c r="H149" s="46"/>
      <x:c r="I149" s="46"/>
      <x:c r="J149" s="46"/>
      <x:c r="K149" s="46" t="str">
        <x:f>IF(COUNT(G149,I149)=0,"",AVERAGE(G149,I149))</x:f>
      </x:c>
      <x:c r="L149" s="46" t="str">
        <x:f>IF(COUNT(H149,J149)=0,"",AVERAGE(H149,J149))</x:f>
      </x:c>
      <x:c r="M149" s="46" t="str">
        <x:f>IF(OR(K149="",L149=""),"",L149-K149)</x:f>
      </x:c>
      <x:c r="N149" s="46" t="str">
        <x:f>IF(OR(K149="",A148&lt;&gt;A149,K148=""),"",K149-K148)</x:f>
      </x:c>
      <x:c r="O149" s="42" t="str">
        <x:v>Sem informação</x:v>
      </x:c>
      <x:c r="P149" s="42"/>
      <x:c r="Q149" s="42" t="str"/>
      <x:c r="R149" s="42" t="str"/>
      <x:c r="S149" s="42" t="str"/>
      <x:c r="T149" s="42" t="str"/>
    </x:row>
    <x:row r="150">
      <x:c r="A150" s="42" t="str">
        <x:v>Bruno Guimarães</x:v>
      </x:c>
      <x:c r="B150" s="42" t="n">
        <x:v>2028</x:v>
      </x:c>
      <x:c r="C150" s="42" t="str">
        <x:v>T1</x:v>
      </x:c>
      <x:c r="D150" s="44" t="n">
        <x:v>46843</x:v>
      </x:c>
      <x:c r="E150" s="42" t="str">
        <x:v>Mezzala esquerdo</x:v>
      </x:c>
      <x:c r="F150" s="42" t="str">
        <x:v>Newcastle United</x:v>
      </x:c>
      <x:c r="G150" s="46"/>
      <x:c r="H150" s="46"/>
      <x:c r="I150" s="46"/>
      <x:c r="J150" s="46"/>
      <x:c r="K150" s="46" t="str">
        <x:f>IF(COUNT(G150,I150)=0,"",AVERAGE(G150,I150))</x:f>
      </x:c>
      <x:c r="L150" s="46" t="str">
        <x:f>IF(COUNT(H150,J150)=0,"",AVERAGE(H150,J150))</x:f>
      </x:c>
      <x:c r="M150" s="46" t="str">
        <x:f>IF(OR(K150="",L150=""),"",L150-K150)</x:f>
      </x:c>
      <x:c r="N150" s="46" t="str">
        <x:f>IF(OR(K150="",A149&lt;&gt;A150,K149=""),"",K150-K149)</x:f>
      </x:c>
      <x:c r="O150" s="42" t="str">
        <x:v>Sem informação</x:v>
      </x:c>
      <x:c r="P150" s="42"/>
      <x:c r="Q150" s="42" t="str"/>
      <x:c r="R150" s="42" t="str"/>
      <x:c r="S150" s="42" t="str"/>
      <x:c r="T150" s="42" t="str"/>
    </x:row>
    <x:row r="151">
      <x:c r="A151" s="42" t="str">
        <x:v>Bruno Guimarães</x:v>
      </x:c>
      <x:c r="B151" s="42" t="n">
        <x:v>2028</x:v>
      </x:c>
      <x:c r="C151" s="42" t="str">
        <x:v>T2</x:v>
      </x:c>
      <x:c r="D151" s="44" t="n">
        <x:v>46934</x:v>
      </x:c>
      <x:c r="E151" s="42" t="str">
        <x:v>Mezzala esquerdo</x:v>
      </x:c>
      <x:c r="F151" s="42" t="str">
        <x:v>Newcastle United</x:v>
      </x:c>
      <x:c r="G151" s="46"/>
      <x:c r="H151" s="46"/>
      <x:c r="I151" s="46"/>
      <x:c r="J151" s="46"/>
      <x:c r="K151" s="46" t="str">
        <x:f>IF(COUNT(G151,I151)=0,"",AVERAGE(G151,I151))</x:f>
      </x:c>
      <x:c r="L151" s="46" t="str">
        <x:f>IF(COUNT(H151,J151)=0,"",AVERAGE(H151,J151))</x:f>
      </x:c>
      <x:c r="M151" s="46" t="str">
        <x:f>IF(OR(K151="",L151=""),"",L151-K151)</x:f>
      </x:c>
      <x:c r="N151" s="46" t="str">
        <x:f>IF(OR(K151="",A150&lt;&gt;A151,K150=""),"",K151-K150)</x:f>
      </x:c>
      <x:c r="O151" s="42" t="str">
        <x:v>Sem informação</x:v>
      </x:c>
      <x:c r="P151" s="42"/>
      <x:c r="Q151" s="42" t="str"/>
      <x:c r="R151" s="42" t="str"/>
      <x:c r="S151" s="42" t="str"/>
      <x:c r="T151" s="42" t="str"/>
    </x:row>
    <x:row r="152">
      <x:c r="A152" s="42" t="str">
        <x:v>Bruno Guimarães</x:v>
      </x:c>
      <x:c r="B152" s="42" t="n">
        <x:v>2028</x:v>
      </x:c>
      <x:c r="C152" s="42" t="str">
        <x:v>T3</x:v>
      </x:c>
      <x:c r="D152" s="44" t="n">
        <x:v>47026</x:v>
      </x:c>
      <x:c r="E152" s="42" t="str">
        <x:v>Mezzala esquerdo</x:v>
      </x:c>
      <x:c r="F152" s="42" t="str">
        <x:v>Newcastle United</x:v>
      </x:c>
      <x:c r="G152" s="46"/>
      <x:c r="H152" s="46"/>
      <x:c r="I152" s="46"/>
      <x:c r="J152" s="46"/>
      <x:c r="K152" s="46" t="str">
        <x:f>IF(COUNT(G152,I152)=0,"",AVERAGE(G152,I152))</x:f>
      </x:c>
      <x:c r="L152" s="46" t="str">
        <x:f>IF(COUNT(H152,J152)=0,"",AVERAGE(H152,J152))</x:f>
      </x:c>
      <x:c r="M152" s="46" t="str">
        <x:f>IF(OR(K152="",L152=""),"",L152-K152)</x:f>
      </x:c>
      <x:c r="N152" s="46" t="str">
        <x:f>IF(OR(K152="",A151&lt;&gt;A152,K151=""),"",K152-K151)</x:f>
      </x:c>
      <x:c r="O152" s="42" t="str">
        <x:v>Sem informação</x:v>
      </x:c>
      <x:c r="P152" s="42"/>
      <x:c r="Q152" s="42" t="str"/>
      <x:c r="R152" s="42" t="str"/>
      <x:c r="S152" s="42" t="str"/>
      <x:c r="T152" s="42" t="str"/>
    </x:row>
    <x:row r="153">
      <x:c r="A153" s="42" t="str">
        <x:v>Bruno Guimarães</x:v>
      </x:c>
      <x:c r="B153" s="42" t="n">
        <x:v>2028</x:v>
      </x:c>
      <x:c r="C153" s="42" t="str">
        <x:v>T4</x:v>
      </x:c>
      <x:c r="D153" s="44" t="n">
        <x:v>47118</x:v>
      </x:c>
      <x:c r="E153" s="42" t="str">
        <x:v>Mezzala esquerdo</x:v>
      </x:c>
      <x:c r="F153" s="42" t="str">
        <x:v>Newcastle United</x:v>
      </x:c>
      <x:c r="G153" s="46"/>
      <x:c r="H153" s="46"/>
      <x:c r="I153" s="46"/>
      <x:c r="J153" s="46"/>
      <x:c r="K153" s="46" t="str">
        <x:f>IF(COUNT(G153,I153)=0,"",AVERAGE(G153,I153))</x:f>
      </x:c>
      <x:c r="L153" s="46" t="str">
        <x:f>IF(COUNT(H153,J153)=0,"",AVERAGE(H153,J153))</x:f>
      </x:c>
      <x:c r="M153" s="46" t="str">
        <x:f>IF(OR(K153="",L153=""),"",L153-K153)</x:f>
      </x:c>
      <x:c r="N153" s="46" t="str">
        <x:f>IF(OR(K153="",A152&lt;&gt;A153,K152=""),"",K153-K152)</x:f>
      </x:c>
      <x:c r="O153" s="42" t="str">
        <x:v>Sem informação</x:v>
      </x:c>
      <x:c r="P153" s="42"/>
      <x:c r="Q153" s="42" t="str"/>
      <x:c r="R153" s="42" t="str"/>
      <x:c r="S153" s="42" t="str"/>
      <x:c r="T153" s="42" t="str"/>
    </x:row>
    <x:row r="154">
      <x:c r="A154" s="42" t="str">
        <x:v>Bruno Guimarães</x:v>
      </x:c>
      <x:c r="B154" s="42" t="n">
        <x:v>2029</x:v>
      </x:c>
      <x:c r="C154" s="42" t="str">
        <x:v>T1</x:v>
      </x:c>
      <x:c r="D154" s="44" t="n">
        <x:v>47208</x:v>
      </x:c>
      <x:c r="E154" s="42" t="str">
        <x:v>Mezzala esquerdo</x:v>
      </x:c>
      <x:c r="F154" s="42" t="str">
        <x:v>Newcastle United</x:v>
      </x:c>
      <x:c r="G154" s="46"/>
      <x:c r="H154" s="46"/>
      <x:c r="I154" s="46"/>
      <x:c r="J154" s="46"/>
      <x:c r="K154" s="46" t="str">
        <x:f>IF(COUNT(G154,I154)=0,"",AVERAGE(G154,I154))</x:f>
      </x:c>
      <x:c r="L154" s="46" t="str">
        <x:f>IF(COUNT(H154,J154)=0,"",AVERAGE(H154,J154))</x:f>
      </x:c>
      <x:c r="M154" s="46" t="str">
        <x:f>IF(OR(K154="",L154=""),"",L154-K154)</x:f>
      </x:c>
      <x:c r="N154" s="46" t="str">
        <x:f>IF(OR(K154="",A153&lt;&gt;A154,K153=""),"",K154-K153)</x:f>
      </x:c>
      <x:c r="O154" s="42" t="str">
        <x:v>Sem informação</x:v>
      </x:c>
      <x:c r="P154" s="42"/>
      <x:c r="Q154" s="42" t="str"/>
      <x:c r="R154" s="42" t="str"/>
      <x:c r="S154" s="42" t="str"/>
      <x:c r="T154" s="42" t="str"/>
    </x:row>
    <x:row r="155">
      <x:c r="A155" s="42" t="str">
        <x:v>Bruno Guimarães</x:v>
      </x:c>
      <x:c r="B155" s="42" t="n">
        <x:v>2029</x:v>
      </x:c>
      <x:c r="C155" s="42" t="str">
        <x:v>T2</x:v>
      </x:c>
      <x:c r="D155" s="44" t="n">
        <x:v>47299</x:v>
      </x:c>
      <x:c r="E155" s="42" t="str">
        <x:v>Mezzala esquerdo</x:v>
      </x:c>
      <x:c r="F155" s="42" t="str">
        <x:v>Newcastle United</x:v>
      </x:c>
      <x:c r="G155" s="46"/>
      <x:c r="H155" s="46"/>
      <x:c r="I155" s="46"/>
      <x:c r="J155" s="46"/>
      <x:c r="K155" s="46" t="str">
        <x:f>IF(COUNT(G155,I155)=0,"",AVERAGE(G155,I155))</x:f>
      </x:c>
      <x:c r="L155" s="46" t="str">
        <x:f>IF(COUNT(H155,J155)=0,"",AVERAGE(H155,J155))</x:f>
      </x:c>
      <x:c r="M155" s="46" t="str">
        <x:f>IF(OR(K155="",L155=""),"",L155-K155)</x:f>
      </x:c>
      <x:c r="N155" s="46" t="str">
        <x:f>IF(OR(K155="",A154&lt;&gt;A155,K154=""),"",K155-K154)</x:f>
      </x:c>
      <x:c r="O155" s="42" t="str">
        <x:v>Sem informação</x:v>
      </x:c>
      <x:c r="P155" s="42"/>
      <x:c r="Q155" s="42" t="str"/>
      <x:c r="R155" s="42" t="str"/>
      <x:c r="S155" s="42" t="str"/>
      <x:c r="T155" s="42" t="str"/>
    </x:row>
    <x:row r="156">
      <x:c r="A156" s="42" t="str">
        <x:v>Bruno Guimarães</x:v>
      </x:c>
      <x:c r="B156" s="42" t="n">
        <x:v>2029</x:v>
      </x:c>
      <x:c r="C156" s="42" t="str">
        <x:v>T3</x:v>
      </x:c>
      <x:c r="D156" s="44" t="n">
        <x:v>47391</x:v>
      </x:c>
      <x:c r="E156" s="42" t="str">
        <x:v>Mezzala esquerdo</x:v>
      </x:c>
      <x:c r="F156" s="42" t="str">
        <x:v>Newcastle United</x:v>
      </x:c>
      <x:c r="G156" s="46"/>
      <x:c r="H156" s="46"/>
      <x:c r="I156" s="46"/>
      <x:c r="J156" s="46"/>
      <x:c r="K156" s="46" t="str">
        <x:f>IF(COUNT(G156,I156)=0,"",AVERAGE(G156,I156))</x:f>
      </x:c>
      <x:c r="L156" s="46" t="str">
        <x:f>IF(COUNT(H156,J156)=0,"",AVERAGE(H156,J156))</x:f>
      </x:c>
      <x:c r="M156" s="46" t="str">
        <x:f>IF(OR(K156="",L156=""),"",L156-K156)</x:f>
      </x:c>
      <x:c r="N156" s="46" t="str">
        <x:f>IF(OR(K156="",A155&lt;&gt;A156,K155=""),"",K156-K155)</x:f>
      </x:c>
      <x:c r="O156" s="42" t="str">
        <x:v>Sem informação</x:v>
      </x:c>
      <x:c r="P156" s="42"/>
      <x:c r="Q156" s="42" t="str"/>
      <x:c r="R156" s="42" t="str"/>
      <x:c r="S156" s="42" t="str"/>
      <x:c r="T156" s="42" t="str"/>
    </x:row>
    <x:row r="157">
      <x:c r="A157" s="42" t="str">
        <x:v>Bruno Guimarães</x:v>
      </x:c>
      <x:c r="B157" s="42" t="n">
        <x:v>2029</x:v>
      </x:c>
      <x:c r="C157" s="42" t="str">
        <x:v>T4</x:v>
      </x:c>
      <x:c r="D157" s="44" t="n">
        <x:v>47483</x:v>
      </x:c>
      <x:c r="E157" s="42" t="str">
        <x:v>Mezzala esquerdo</x:v>
      </x:c>
      <x:c r="F157" s="42" t="str">
        <x:v>Newcastle United</x:v>
      </x:c>
      <x:c r="G157" s="46"/>
      <x:c r="H157" s="46"/>
      <x:c r="I157" s="46"/>
      <x:c r="J157" s="46"/>
      <x:c r="K157" s="46" t="str">
        <x:f>IF(COUNT(G157,I157)=0,"",AVERAGE(G157,I157))</x:f>
      </x:c>
      <x:c r="L157" s="46" t="str">
        <x:f>IF(COUNT(H157,J157)=0,"",AVERAGE(H157,J157))</x:f>
      </x:c>
      <x:c r="M157" s="46" t="str">
        <x:f>IF(OR(K157="",L157=""),"",L157-K157)</x:f>
      </x:c>
      <x:c r="N157" s="46" t="str">
        <x:f>IF(OR(K157="",A156&lt;&gt;A157,K156=""),"",K157-K156)</x:f>
      </x:c>
      <x:c r="O157" s="42" t="str">
        <x:v>Sem informação</x:v>
      </x:c>
      <x:c r="P157" s="42"/>
      <x:c r="Q157" s="42" t="str"/>
      <x:c r="R157" s="42" t="str"/>
      <x:c r="S157" s="42" t="str"/>
      <x:c r="T157" s="42" t="str"/>
    </x:row>
    <x:row r="158">
      <x:c r="A158" s="42" t="str">
        <x:v>Bruno Guimarães</x:v>
      </x:c>
      <x:c r="B158" s="42" t="n">
        <x:v>2030</x:v>
      </x:c>
      <x:c r="C158" s="42" t="str">
        <x:v>T1</x:v>
      </x:c>
      <x:c r="D158" s="44" t="n">
        <x:v>47573</x:v>
      </x:c>
      <x:c r="E158" s="42" t="str">
        <x:v>Mezzala esquerdo</x:v>
      </x:c>
      <x:c r="F158" s="42" t="str">
        <x:v>Newcastle United</x:v>
      </x:c>
      <x:c r="G158" s="46"/>
      <x:c r="H158" s="46"/>
      <x:c r="I158" s="46"/>
      <x:c r="J158" s="46"/>
      <x:c r="K158" s="46" t="str">
        <x:f>IF(COUNT(G158,I158)=0,"",AVERAGE(G158,I158))</x:f>
      </x:c>
      <x:c r="L158" s="46" t="str">
        <x:f>IF(COUNT(H158,J158)=0,"",AVERAGE(H158,J158))</x:f>
      </x:c>
      <x:c r="M158" s="46" t="str">
        <x:f>IF(OR(K158="",L158=""),"",L158-K158)</x:f>
      </x:c>
      <x:c r="N158" s="46" t="str">
        <x:f>IF(OR(K158="",A157&lt;&gt;A158,K157=""),"",K158-K157)</x:f>
      </x:c>
      <x:c r="O158" s="42" t="str">
        <x:v>Sem informação</x:v>
      </x:c>
      <x:c r="P158" s="42"/>
      <x:c r="Q158" s="42" t="str"/>
      <x:c r="R158" s="42" t="str"/>
      <x:c r="S158" s="42" t="str"/>
      <x:c r="T158" s="42" t="str"/>
    </x:row>
    <x:row r="159">
      <x:c r="A159" s="42" t="str">
        <x:v>Bruno Guimarães</x:v>
      </x:c>
      <x:c r="B159" s="42" t="n">
        <x:v>2030</x:v>
      </x:c>
      <x:c r="C159" s="42" t="str">
        <x:v>T2</x:v>
      </x:c>
      <x:c r="D159" s="44" t="n">
        <x:v>47664</x:v>
      </x:c>
      <x:c r="E159" s="42" t="str">
        <x:v>Mezzala esquerdo</x:v>
      </x:c>
      <x:c r="F159" s="42" t="str">
        <x:v>Newcastle United</x:v>
      </x:c>
      <x:c r="G159" s="46"/>
      <x:c r="H159" s="46"/>
      <x:c r="I159" s="46"/>
      <x:c r="J159" s="46"/>
      <x:c r="K159" s="46" t="str">
        <x:f>IF(COUNT(G159,I159)=0,"",AVERAGE(G159,I159))</x:f>
      </x:c>
      <x:c r="L159" s="46" t="str">
        <x:f>IF(COUNT(H159,J159)=0,"",AVERAGE(H159,J159))</x:f>
      </x:c>
      <x:c r="M159" s="46" t="str">
        <x:f>IF(OR(K159="",L159=""),"",L159-K159)</x:f>
      </x:c>
      <x:c r="N159" s="46" t="str">
        <x:f>IF(OR(K159="",A158&lt;&gt;A159,K158=""),"",K159-K158)</x:f>
      </x:c>
      <x:c r="O159" s="42" t="str">
        <x:v>Sem informação</x:v>
      </x:c>
      <x:c r="P159" s="42"/>
      <x:c r="Q159" s="42" t="str"/>
      <x:c r="R159" s="42" t="str"/>
      <x:c r="S159" s="42" t="str"/>
      <x:c r="T159" s="42" t="str"/>
    </x:row>
    <x:row r="160">
      <x:c r="A160" s="42" t="str">
        <x:v>Bruno Guimarães</x:v>
      </x:c>
      <x:c r="B160" s="42" t="n">
        <x:v>2030</x:v>
      </x:c>
      <x:c r="C160" s="42" t="str">
        <x:v>T3</x:v>
      </x:c>
      <x:c r="D160" s="44" t="n">
        <x:v>47756</x:v>
      </x:c>
      <x:c r="E160" s="42" t="str">
        <x:v>Mezzala esquerdo</x:v>
      </x:c>
      <x:c r="F160" s="42" t="str">
        <x:v>Newcastle United</x:v>
      </x:c>
      <x:c r="G160" s="46"/>
      <x:c r="H160" s="46"/>
      <x:c r="I160" s="46"/>
      <x:c r="J160" s="46"/>
      <x:c r="K160" s="46" t="str">
        <x:f>IF(COUNT(G160,I160)=0,"",AVERAGE(G160,I160))</x:f>
      </x:c>
      <x:c r="L160" s="46" t="str">
        <x:f>IF(COUNT(H160,J160)=0,"",AVERAGE(H160,J160))</x:f>
      </x:c>
      <x:c r="M160" s="46" t="str">
        <x:f>IF(OR(K160="",L160=""),"",L160-K160)</x:f>
      </x:c>
      <x:c r="N160" s="46" t="str">
        <x:f>IF(OR(K160="",A159&lt;&gt;A160,K159=""),"",K160-K159)</x:f>
      </x:c>
      <x:c r="O160" s="42" t="str">
        <x:v>Sem informação</x:v>
      </x:c>
      <x:c r="P160" s="42"/>
      <x:c r="Q160" s="42" t="str"/>
      <x:c r="R160" s="42" t="str"/>
      <x:c r="S160" s="42" t="str"/>
      <x:c r="T160" s="42" t="str"/>
    </x:row>
    <x:row r="161">
      <x:c r="A161" s="42" t="str">
        <x:v>Bruno Guimarães</x:v>
      </x:c>
      <x:c r="B161" s="42" t="n">
        <x:v>2030</x:v>
      </x:c>
      <x:c r="C161" s="42" t="str">
        <x:v>T4</x:v>
      </x:c>
      <x:c r="D161" s="44" t="n">
        <x:v>47848</x:v>
      </x:c>
      <x:c r="E161" s="42" t="str">
        <x:v>Mezzala esquerdo</x:v>
      </x:c>
      <x:c r="F161" s="42" t="str">
        <x:v>Newcastle United</x:v>
      </x:c>
      <x:c r="G161" s="46"/>
      <x:c r="H161" s="46"/>
      <x:c r="I161" s="46"/>
      <x:c r="J161" s="46"/>
      <x:c r="K161" s="46" t="str">
        <x:f>IF(COUNT(G161,I161)=0,"",AVERAGE(G161,I161))</x:f>
      </x:c>
      <x:c r="L161" s="46" t="str">
        <x:f>IF(COUNT(H161,J161)=0,"",AVERAGE(H161,J161))</x:f>
      </x:c>
      <x:c r="M161" s="46" t="str">
        <x:f>IF(OR(K161="",L161=""),"",L161-K161)</x:f>
      </x:c>
      <x:c r="N161" s="46" t="str">
        <x:f>IF(OR(K161="",A160&lt;&gt;A161,K160=""),"",K161-K160)</x:f>
      </x:c>
      <x:c r="O161" s="42" t="str">
        <x:v>Sem informação</x:v>
      </x:c>
      <x:c r="P161" s="42"/>
      <x:c r="Q161" s="42" t="str"/>
      <x:c r="R161" s="42" t="str"/>
      <x:c r="S161" s="42" t="str"/>
      <x:c r="T161" s="42" t="str"/>
    </x:row>
    <x:row r="162">
      <x:c r="A162" s="42" t="str">
        <x:v>Carlos Miguel</x:v>
      </x:c>
      <x:c r="B162" s="42" t="n">
        <x:v>2026</x:v>
      </x:c>
      <x:c r="C162" s="42" t="str">
        <x:v>T1</x:v>
      </x:c>
      <x:c r="D162" s="44" t="n">
        <x:v>46112</x:v>
      </x:c>
      <x:c r="E162" s="42" t="str">
        <x:v>Goleiro</x:v>
      </x:c>
      <x:c r="F162" s="42" t="str">
        <x:v>SE Palmeiras</x:v>
      </x:c>
      <x:c r="G162" s="46"/>
      <x:c r="H162" s="46"/>
      <x:c r="I162" s="46"/>
      <x:c r="J162" s="46"/>
      <x:c r="K162" s="46" t="str">
        <x:f>IF(COUNT(G162,I162)=0,"",AVERAGE(G162,I162))</x:f>
      </x:c>
      <x:c r="L162" s="46" t="str">
        <x:f>IF(COUNT(H162,J162)=0,"",AVERAGE(H162,J162))</x:f>
      </x:c>
      <x:c r="M162" s="46" t="str">
        <x:f>IF(OR(K162="",L162=""),"",L162-K162)</x:f>
      </x:c>
      <x:c r="N162" s="46" t="str">
        <x:f>IF(OR(K162="",A161&lt;&gt;A162,K161=""),"",K162-K161)</x:f>
      </x:c>
      <x:c r="O162" s="42" t="str">
        <x:v>Sem informação</x:v>
      </x:c>
      <x:c r="P162" s="42"/>
      <x:c r="Q162" s="42" t="str"/>
      <x:c r="R162" s="42" t="str"/>
      <x:c r="S162" s="42" t="str"/>
      <x:c r="T162" s="42" t="str"/>
    </x:row>
    <x:row r="163">
      <x:c r="A163" s="42" t="str">
        <x:v>Carlos Miguel</x:v>
      </x:c>
      <x:c r="B163" s="42" t="n">
        <x:v>2026</x:v>
      </x:c>
      <x:c r="C163" s="42" t="str">
        <x:v>T2</x:v>
      </x:c>
      <x:c r="D163" s="44" t="n">
        <x:v>46203</x:v>
      </x:c>
      <x:c r="E163" s="42" t="str">
        <x:v>Goleiro</x:v>
      </x:c>
      <x:c r="F163" s="42" t="str">
        <x:v>SE Palmeiras</x:v>
      </x:c>
      <x:c r="G163" s="46" t="n">
        <x:v>7</x:v>
      </x:c>
      <x:c r="H163" s="46" t="n">
        <x:v>8</x:v>
      </x:c>
      <x:c r="I163" s="46" t="n">
        <x:v>7</x:v>
      </x:c>
      <x:c r="J163" s="46" t="n">
        <x:v>8.5</x:v>
      </x:c>
      <x:c r="K163" s="46" t="n">
        <x:f>IF(COUNT(G163,I163)=0,"",AVERAGE(G163,I163))</x:f>
        <x:v>7</x:v>
      </x:c>
      <x:c r="L163" s="46" t="n">
        <x:f>IF(COUNT(H163,J163)=0,"",AVERAGE(H163,J163))</x:f>
        <x:v>8.25</x:v>
      </x:c>
      <x:c r="M163" s="46" t="n">
        <x:f>IF(OR(K163="",L163=""),"",L163-K163)</x:f>
        <x:v>1.25</x:v>
      </x:c>
      <x:c r="N163" s="46" t="str">
        <x:f>IF(OR(K163="",A162&lt;&gt;A163,K162=""),"",K163-K162)</x:f>
      </x:c>
      <x:c r="O163" s="42" t="str">
        <x:v>Sem informação</x:v>
      </x:c>
      <x:c r="P163" s="42"/>
      <x:c r="Q163" s="42" t="str">
        <x:v>Excelente envergadura. Parece ter tudo que um goleiro completo precisa, menos a cabeça.</x:v>
      </x:c>
      <x:c r="R163" s="42" t="str">
        <x:v>Potencial para ser um grande goleiro. Mental fraco</x:v>
      </x:c>
      <x:c r="S163" s="42" t="str"/>
      <x:c r="T163" s="42" t="str"/>
    </x:row>
    <x:row r="164">
      <x:c r="A164" s="42" t="str">
        <x:v>Carlos Miguel</x:v>
      </x:c>
      <x:c r="B164" s="42" t="n">
        <x:v>2026</x:v>
      </x:c>
      <x:c r="C164" s="42" t="str">
        <x:v>T3</x:v>
      </x:c>
      <x:c r="D164" s="44" t="n">
        <x:v>46295</x:v>
      </x:c>
      <x:c r="E164" s="42" t="str">
        <x:v>Goleiro</x:v>
      </x:c>
      <x:c r="F164" s="42" t="str">
        <x:v>SE Palmeiras</x:v>
      </x:c>
      <x:c r="G164" s="46"/>
      <x:c r="H164" s="46"/>
      <x:c r="I164" s="46"/>
      <x:c r="J164" s="46"/>
      <x:c r="K164" s="46" t="str">
        <x:f>IF(COUNT(G164,I164)=0,"",AVERAGE(G164,I164))</x:f>
      </x:c>
      <x:c r="L164" s="46" t="str">
        <x:f>IF(COUNT(H164,J164)=0,"",AVERAGE(H164,J164))</x:f>
      </x:c>
      <x:c r="M164" s="46" t="str">
        <x:f>IF(OR(K164="",L164=""),"",L164-K164)</x:f>
      </x:c>
      <x:c r="N164" s="46" t="str">
        <x:f>IF(OR(K164="",A163&lt;&gt;A164,K163=""),"",K164-K163)</x:f>
      </x:c>
      <x:c r="O164" s="42" t="str">
        <x:v>Sem informação</x:v>
      </x:c>
      <x:c r="P164" s="42"/>
      <x:c r="Q164" s="42" t="str"/>
      <x:c r="R164" s="42" t="str"/>
      <x:c r="S164" s="42" t="str"/>
      <x:c r="T164" s="42" t="str"/>
    </x:row>
    <x:row r="165">
      <x:c r="A165" s="42" t="str">
        <x:v>Carlos Miguel</x:v>
      </x:c>
      <x:c r="B165" s="42" t="n">
        <x:v>2026</x:v>
      </x:c>
      <x:c r="C165" s="42" t="str">
        <x:v>T4</x:v>
      </x:c>
      <x:c r="D165" s="44" t="n">
        <x:v>46387</x:v>
      </x:c>
      <x:c r="E165" s="42" t="str">
        <x:v>Goleiro</x:v>
      </x:c>
      <x:c r="F165" s="42" t="str">
        <x:v>SE Palmeiras</x:v>
      </x:c>
      <x:c r="G165" s="46"/>
      <x:c r="H165" s="46"/>
      <x:c r="I165" s="46"/>
      <x:c r="J165" s="46"/>
      <x:c r="K165" s="46" t="str">
        <x:f>IF(COUNT(G165,I165)=0,"",AVERAGE(G165,I165))</x:f>
      </x:c>
      <x:c r="L165" s="46" t="str">
        <x:f>IF(COUNT(H165,J165)=0,"",AVERAGE(H165,J165))</x:f>
      </x:c>
      <x:c r="M165" s="46" t="str">
        <x:f>IF(OR(K165="",L165=""),"",L165-K165)</x:f>
      </x:c>
      <x:c r="N165" s="46" t="str">
        <x:f>IF(OR(K165="",A164&lt;&gt;A165,K164=""),"",K165-K164)</x:f>
      </x:c>
      <x:c r="O165" s="42" t="str">
        <x:v>Sem informação</x:v>
      </x:c>
      <x:c r="P165" s="42"/>
      <x:c r="Q165" s="42" t="str"/>
      <x:c r="R165" s="42" t="str"/>
      <x:c r="S165" s="42" t="str"/>
      <x:c r="T165" s="42" t="str"/>
    </x:row>
    <x:row r="166">
      <x:c r="A166" s="42" t="str">
        <x:v>Carlos Miguel</x:v>
      </x:c>
      <x:c r="B166" s="42" t="n">
        <x:v>2027</x:v>
      </x:c>
      <x:c r="C166" s="42" t="str">
        <x:v>T1</x:v>
      </x:c>
      <x:c r="D166" s="44" t="n">
        <x:v>46477</x:v>
      </x:c>
      <x:c r="E166" s="42" t="str">
        <x:v>Goleiro</x:v>
      </x:c>
      <x:c r="F166" s="42" t="str">
        <x:v>SE Palmeiras</x:v>
      </x:c>
      <x:c r="G166" s="46"/>
      <x:c r="H166" s="46"/>
      <x:c r="I166" s="46"/>
      <x:c r="J166" s="46"/>
      <x:c r="K166" s="46" t="str">
        <x:f>IF(COUNT(G166,I166)=0,"",AVERAGE(G166,I166))</x:f>
      </x:c>
      <x:c r="L166" s="46" t="str">
        <x:f>IF(COUNT(H166,J166)=0,"",AVERAGE(H166,J166))</x:f>
      </x:c>
      <x:c r="M166" s="46" t="str">
        <x:f>IF(OR(K166="",L166=""),"",L166-K166)</x:f>
      </x:c>
      <x:c r="N166" s="46" t="str">
        <x:f>IF(OR(K166="",A165&lt;&gt;A166,K165=""),"",K166-K165)</x:f>
      </x:c>
      <x:c r="O166" s="42" t="str">
        <x:v>Sem informação</x:v>
      </x:c>
      <x:c r="P166" s="42"/>
      <x:c r="Q166" s="42" t="str"/>
      <x:c r="R166" s="42" t="str"/>
      <x:c r="S166" s="42" t="str"/>
      <x:c r="T166" s="42" t="str"/>
    </x:row>
    <x:row r="167">
      <x:c r="A167" s="42" t="str">
        <x:v>Carlos Miguel</x:v>
      </x:c>
      <x:c r="B167" s="42" t="n">
        <x:v>2027</x:v>
      </x:c>
      <x:c r="C167" s="42" t="str">
        <x:v>T2</x:v>
      </x:c>
      <x:c r="D167" s="44" t="n">
        <x:v>46568</x:v>
      </x:c>
      <x:c r="E167" s="42" t="str">
        <x:v>Goleiro</x:v>
      </x:c>
      <x:c r="F167" s="42" t="str">
        <x:v>SE Palmeiras</x:v>
      </x:c>
      <x:c r="G167" s="46"/>
      <x:c r="H167" s="46"/>
      <x:c r="I167" s="46"/>
      <x:c r="J167" s="46"/>
      <x:c r="K167" s="46" t="str">
        <x:f>IF(COUNT(G167,I167)=0,"",AVERAGE(G167,I167))</x:f>
      </x:c>
      <x:c r="L167" s="46" t="str">
        <x:f>IF(COUNT(H167,J167)=0,"",AVERAGE(H167,J167))</x:f>
      </x:c>
      <x:c r="M167" s="46" t="str">
        <x:f>IF(OR(K167="",L167=""),"",L167-K167)</x:f>
      </x:c>
      <x:c r="N167" s="46" t="str">
        <x:f>IF(OR(K167="",A166&lt;&gt;A167,K166=""),"",K167-K166)</x:f>
      </x:c>
      <x:c r="O167" s="42" t="str">
        <x:v>Sem informação</x:v>
      </x:c>
      <x:c r="P167" s="42"/>
      <x:c r="Q167" s="42" t="str"/>
      <x:c r="R167" s="42" t="str"/>
      <x:c r="S167" s="42" t="str"/>
      <x:c r="T167" s="42" t="str"/>
    </x:row>
    <x:row r="168">
      <x:c r="A168" s="42" t="str">
        <x:v>Carlos Miguel</x:v>
      </x:c>
      <x:c r="B168" s="42" t="n">
        <x:v>2027</x:v>
      </x:c>
      <x:c r="C168" s="42" t="str">
        <x:v>T3</x:v>
      </x:c>
      <x:c r="D168" s="44" t="n">
        <x:v>46660</x:v>
      </x:c>
      <x:c r="E168" s="42" t="str">
        <x:v>Goleiro</x:v>
      </x:c>
      <x:c r="F168" s="42" t="str">
        <x:v>SE Palmeiras</x:v>
      </x:c>
      <x:c r="G168" s="46"/>
      <x:c r="H168" s="46"/>
      <x:c r="I168" s="46"/>
      <x:c r="J168" s="46"/>
      <x:c r="K168" s="46" t="str">
        <x:f>IF(COUNT(G168,I168)=0,"",AVERAGE(G168,I168))</x:f>
      </x:c>
      <x:c r="L168" s="46" t="str">
        <x:f>IF(COUNT(H168,J168)=0,"",AVERAGE(H168,J168))</x:f>
      </x:c>
      <x:c r="M168" s="46" t="str">
        <x:f>IF(OR(K168="",L168=""),"",L168-K168)</x:f>
      </x:c>
      <x:c r="N168" s="46" t="str">
        <x:f>IF(OR(K168="",A167&lt;&gt;A168,K167=""),"",K168-K167)</x:f>
      </x:c>
      <x:c r="O168" s="42" t="str">
        <x:v>Sem informação</x:v>
      </x:c>
      <x:c r="P168" s="42"/>
      <x:c r="Q168" s="42" t="str"/>
      <x:c r="R168" s="42" t="str"/>
      <x:c r="S168" s="42" t="str"/>
      <x:c r="T168" s="42" t="str"/>
    </x:row>
    <x:row r="169">
      <x:c r="A169" s="42" t="str">
        <x:v>Carlos Miguel</x:v>
      </x:c>
      <x:c r="B169" s="42" t="n">
        <x:v>2027</x:v>
      </x:c>
      <x:c r="C169" s="42" t="str">
        <x:v>T4</x:v>
      </x:c>
      <x:c r="D169" s="44" t="n">
        <x:v>46752</x:v>
      </x:c>
      <x:c r="E169" s="42" t="str">
        <x:v>Goleiro</x:v>
      </x:c>
      <x:c r="F169" s="42" t="str">
        <x:v>SE Palmeiras</x:v>
      </x:c>
      <x:c r="G169" s="46"/>
      <x:c r="H169" s="46"/>
      <x:c r="I169" s="46"/>
      <x:c r="J169" s="46"/>
      <x:c r="K169" s="46" t="str">
        <x:f>IF(COUNT(G169,I169)=0,"",AVERAGE(G169,I169))</x:f>
      </x:c>
      <x:c r="L169" s="46" t="str">
        <x:f>IF(COUNT(H169,J169)=0,"",AVERAGE(H169,J169))</x:f>
      </x:c>
      <x:c r="M169" s="46" t="str">
        <x:f>IF(OR(K169="",L169=""),"",L169-K169)</x:f>
      </x:c>
      <x:c r="N169" s="46" t="str">
        <x:f>IF(OR(K169="",A168&lt;&gt;A169,K168=""),"",K169-K168)</x:f>
      </x:c>
      <x:c r="O169" s="42" t="str">
        <x:v>Sem informação</x:v>
      </x:c>
      <x:c r="P169" s="42"/>
      <x:c r="Q169" s="42" t="str"/>
      <x:c r="R169" s="42" t="str"/>
      <x:c r="S169" s="42" t="str"/>
      <x:c r="T169" s="42" t="str"/>
    </x:row>
    <x:row r="170">
      <x:c r="A170" s="42" t="str">
        <x:v>Carlos Miguel</x:v>
      </x:c>
      <x:c r="B170" s="42" t="n">
        <x:v>2028</x:v>
      </x:c>
      <x:c r="C170" s="42" t="str">
        <x:v>T1</x:v>
      </x:c>
      <x:c r="D170" s="44" t="n">
        <x:v>46843</x:v>
      </x:c>
      <x:c r="E170" s="42" t="str">
        <x:v>Goleiro</x:v>
      </x:c>
      <x:c r="F170" s="42" t="str">
        <x:v>SE Palmeiras</x:v>
      </x:c>
      <x:c r="G170" s="46"/>
      <x:c r="H170" s="46"/>
      <x:c r="I170" s="46"/>
      <x:c r="J170" s="46"/>
      <x:c r="K170" s="46" t="str">
        <x:f>IF(COUNT(G170,I170)=0,"",AVERAGE(G170,I170))</x:f>
      </x:c>
      <x:c r="L170" s="46" t="str">
        <x:f>IF(COUNT(H170,J170)=0,"",AVERAGE(H170,J170))</x:f>
      </x:c>
      <x:c r="M170" s="46" t="str">
        <x:f>IF(OR(K170="",L170=""),"",L170-K170)</x:f>
      </x:c>
      <x:c r="N170" s="46" t="str">
        <x:f>IF(OR(K170="",A169&lt;&gt;A170,K169=""),"",K170-K169)</x:f>
      </x:c>
      <x:c r="O170" s="42" t="str">
        <x:v>Sem informação</x:v>
      </x:c>
      <x:c r="P170" s="42"/>
      <x:c r="Q170" s="42" t="str"/>
      <x:c r="R170" s="42" t="str"/>
      <x:c r="S170" s="42" t="str"/>
      <x:c r="T170" s="42" t="str"/>
    </x:row>
    <x:row r="171">
      <x:c r="A171" s="42" t="str">
        <x:v>Carlos Miguel</x:v>
      </x:c>
      <x:c r="B171" s="42" t="n">
        <x:v>2028</x:v>
      </x:c>
      <x:c r="C171" s="42" t="str">
        <x:v>T2</x:v>
      </x:c>
      <x:c r="D171" s="44" t="n">
        <x:v>46934</x:v>
      </x:c>
      <x:c r="E171" s="42" t="str">
        <x:v>Goleiro</x:v>
      </x:c>
      <x:c r="F171" s="42" t="str">
        <x:v>SE Palmeiras</x:v>
      </x:c>
      <x:c r="G171" s="46"/>
      <x:c r="H171" s="46"/>
      <x:c r="I171" s="46"/>
      <x:c r="J171" s="46"/>
      <x:c r="K171" s="46" t="str">
        <x:f>IF(COUNT(G171,I171)=0,"",AVERAGE(G171,I171))</x:f>
      </x:c>
      <x:c r="L171" s="46" t="str">
        <x:f>IF(COUNT(H171,J171)=0,"",AVERAGE(H171,J171))</x:f>
      </x:c>
      <x:c r="M171" s="46" t="str">
        <x:f>IF(OR(K171="",L171=""),"",L171-K171)</x:f>
      </x:c>
      <x:c r="N171" s="46" t="str">
        <x:f>IF(OR(K171="",A170&lt;&gt;A171,K170=""),"",K171-K170)</x:f>
      </x:c>
      <x:c r="O171" s="42" t="str">
        <x:v>Sem informação</x:v>
      </x:c>
      <x:c r="P171" s="42"/>
      <x:c r="Q171" s="42" t="str"/>
      <x:c r="R171" s="42" t="str"/>
      <x:c r="S171" s="42" t="str"/>
      <x:c r="T171" s="42" t="str"/>
    </x:row>
    <x:row r="172">
      <x:c r="A172" s="42" t="str">
        <x:v>Carlos Miguel</x:v>
      </x:c>
      <x:c r="B172" s="42" t="n">
        <x:v>2028</x:v>
      </x:c>
      <x:c r="C172" s="42" t="str">
        <x:v>T3</x:v>
      </x:c>
      <x:c r="D172" s="44" t="n">
        <x:v>47026</x:v>
      </x:c>
      <x:c r="E172" s="42" t="str">
        <x:v>Goleiro</x:v>
      </x:c>
      <x:c r="F172" s="42" t="str">
        <x:v>SE Palmeiras</x:v>
      </x:c>
      <x:c r="G172" s="46"/>
      <x:c r="H172" s="46"/>
      <x:c r="I172" s="46"/>
      <x:c r="J172" s="46"/>
      <x:c r="K172" s="46" t="str">
        <x:f>IF(COUNT(G172,I172)=0,"",AVERAGE(G172,I172))</x:f>
      </x:c>
      <x:c r="L172" s="46" t="str">
        <x:f>IF(COUNT(H172,J172)=0,"",AVERAGE(H172,J172))</x:f>
      </x:c>
      <x:c r="M172" s="46" t="str">
        <x:f>IF(OR(K172="",L172=""),"",L172-K172)</x:f>
      </x:c>
      <x:c r="N172" s="46" t="str">
        <x:f>IF(OR(K172="",A171&lt;&gt;A172,K171=""),"",K172-K171)</x:f>
      </x:c>
      <x:c r="O172" s="42" t="str">
        <x:v>Sem informação</x:v>
      </x:c>
      <x:c r="P172" s="42"/>
      <x:c r="Q172" s="42" t="str"/>
      <x:c r="R172" s="42" t="str"/>
      <x:c r="S172" s="42" t="str"/>
      <x:c r="T172" s="42" t="str"/>
    </x:row>
    <x:row r="173">
      <x:c r="A173" s="42" t="str">
        <x:v>Carlos Miguel</x:v>
      </x:c>
      <x:c r="B173" s="42" t="n">
        <x:v>2028</x:v>
      </x:c>
      <x:c r="C173" s="42" t="str">
        <x:v>T4</x:v>
      </x:c>
      <x:c r="D173" s="44" t="n">
        <x:v>47118</x:v>
      </x:c>
      <x:c r="E173" s="42" t="str">
        <x:v>Goleiro</x:v>
      </x:c>
      <x:c r="F173" s="42" t="str">
        <x:v>SE Palmeiras</x:v>
      </x:c>
      <x:c r="G173" s="46"/>
      <x:c r="H173" s="46"/>
      <x:c r="I173" s="46"/>
      <x:c r="J173" s="46"/>
      <x:c r="K173" s="46" t="str">
        <x:f>IF(COUNT(G173,I173)=0,"",AVERAGE(G173,I173))</x:f>
      </x:c>
      <x:c r="L173" s="46" t="str">
        <x:f>IF(COUNT(H173,J173)=0,"",AVERAGE(H173,J173))</x:f>
      </x:c>
      <x:c r="M173" s="46" t="str">
        <x:f>IF(OR(K173="",L173=""),"",L173-K173)</x:f>
      </x:c>
      <x:c r="N173" s="46" t="str">
        <x:f>IF(OR(K173="",A172&lt;&gt;A173,K172=""),"",K173-K172)</x:f>
      </x:c>
      <x:c r="O173" s="42" t="str">
        <x:v>Sem informação</x:v>
      </x:c>
      <x:c r="P173" s="42"/>
      <x:c r="Q173" s="42" t="str"/>
      <x:c r="R173" s="42" t="str"/>
      <x:c r="S173" s="42" t="str"/>
      <x:c r="T173" s="42" t="str"/>
    </x:row>
    <x:row r="174">
      <x:c r="A174" s="42" t="str">
        <x:v>Carlos Miguel</x:v>
      </x:c>
      <x:c r="B174" s="42" t="n">
        <x:v>2029</x:v>
      </x:c>
      <x:c r="C174" s="42" t="str">
        <x:v>T1</x:v>
      </x:c>
      <x:c r="D174" s="44" t="n">
        <x:v>47208</x:v>
      </x:c>
      <x:c r="E174" s="42" t="str">
        <x:v>Goleiro</x:v>
      </x:c>
      <x:c r="F174" s="42" t="str">
        <x:v>SE Palmeiras</x:v>
      </x:c>
      <x:c r="G174" s="46"/>
      <x:c r="H174" s="46"/>
      <x:c r="I174" s="46"/>
      <x:c r="J174" s="46"/>
      <x:c r="K174" s="46" t="str">
        <x:f>IF(COUNT(G174,I174)=0,"",AVERAGE(G174,I174))</x:f>
      </x:c>
      <x:c r="L174" s="46" t="str">
        <x:f>IF(COUNT(H174,J174)=0,"",AVERAGE(H174,J174))</x:f>
      </x:c>
      <x:c r="M174" s="46" t="str">
        <x:f>IF(OR(K174="",L174=""),"",L174-K174)</x:f>
      </x:c>
      <x:c r="N174" s="46" t="str">
        <x:f>IF(OR(K174="",A173&lt;&gt;A174,K173=""),"",K174-K173)</x:f>
      </x:c>
      <x:c r="O174" s="42" t="str">
        <x:v>Sem informação</x:v>
      </x:c>
      <x:c r="P174" s="42"/>
      <x:c r="Q174" s="42" t="str"/>
      <x:c r="R174" s="42" t="str"/>
      <x:c r="S174" s="42" t="str"/>
      <x:c r="T174" s="42" t="str"/>
    </x:row>
    <x:row r="175">
      <x:c r="A175" s="42" t="str">
        <x:v>Carlos Miguel</x:v>
      </x:c>
      <x:c r="B175" s="42" t="n">
        <x:v>2029</x:v>
      </x:c>
      <x:c r="C175" s="42" t="str">
        <x:v>T2</x:v>
      </x:c>
      <x:c r="D175" s="44" t="n">
        <x:v>47299</x:v>
      </x:c>
      <x:c r="E175" s="42" t="str">
        <x:v>Goleiro</x:v>
      </x:c>
      <x:c r="F175" s="42" t="str">
        <x:v>SE Palmeiras</x:v>
      </x:c>
      <x:c r="G175" s="46"/>
      <x:c r="H175" s="46"/>
      <x:c r="I175" s="46"/>
      <x:c r="J175" s="46"/>
      <x:c r="K175" s="46" t="str">
        <x:f>IF(COUNT(G175,I175)=0,"",AVERAGE(G175,I175))</x:f>
      </x:c>
      <x:c r="L175" s="46" t="str">
        <x:f>IF(COUNT(H175,J175)=0,"",AVERAGE(H175,J175))</x:f>
      </x:c>
      <x:c r="M175" s="46" t="str">
        <x:f>IF(OR(K175="",L175=""),"",L175-K175)</x:f>
      </x:c>
      <x:c r="N175" s="46" t="str">
        <x:f>IF(OR(K175="",A174&lt;&gt;A175,K174=""),"",K175-K174)</x:f>
      </x:c>
      <x:c r="O175" s="42" t="str">
        <x:v>Sem informação</x:v>
      </x:c>
      <x:c r="P175" s="42"/>
      <x:c r="Q175" s="42" t="str"/>
      <x:c r="R175" s="42" t="str"/>
      <x:c r="S175" s="42" t="str"/>
      <x:c r="T175" s="42" t="str"/>
    </x:row>
    <x:row r="176">
      <x:c r="A176" s="42" t="str">
        <x:v>Carlos Miguel</x:v>
      </x:c>
      <x:c r="B176" s="42" t="n">
        <x:v>2029</x:v>
      </x:c>
      <x:c r="C176" s="42" t="str">
        <x:v>T3</x:v>
      </x:c>
      <x:c r="D176" s="44" t="n">
        <x:v>47391</x:v>
      </x:c>
      <x:c r="E176" s="42" t="str">
        <x:v>Goleiro</x:v>
      </x:c>
      <x:c r="F176" s="42" t="str">
        <x:v>SE Palmeiras</x:v>
      </x:c>
      <x:c r="G176" s="46"/>
      <x:c r="H176" s="46"/>
      <x:c r="I176" s="46"/>
      <x:c r="J176" s="46"/>
      <x:c r="K176" s="46" t="str">
        <x:f>IF(COUNT(G176,I176)=0,"",AVERAGE(G176,I176))</x:f>
      </x:c>
      <x:c r="L176" s="46" t="str">
        <x:f>IF(COUNT(H176,J176)=0,"",AVERAGE(H176,J176))</x:f>
      </x:c>
      <x:c r="M176" s="46" t="str">
        <x:f>IF(OR(K176="",L176=""),"",L176-K176)</x:f>
      </x:c>
      <x:c r="N176" s="46" t="str">
        <x:f>IF(OR(K176="",A175&lt;&gt;A176,K175=""),"",K176-K175)</x:f>
      </x:c>
      <x:c r="O176" s="42" t="str">
        <x:v>Sem informação</x:v>
      </x:c>
      <x:c r="P176" s="42"/>
      <x:c r="Q176" s="42" t="str"/>
      <x:c r="R176" s="42" t="str"/>
      <x:c r="S176" s="42" t="str"/>
      <x:c r="T176" s="42" t="str"/>
    </x:row>
    <x:row r="177">
      <x:c r="A177" s="42" t="str">
        <x:v>Carlos Miguel</x:v>
      </x:c>
      <x:c r="B177" s="42" t="n">
        <x:v>2029</x:v>
      </x:c>
      <x:c r="C177" s="42" t="str">
        <x:v>T4</x:v>
      </x:c>
      <x:c r="D177" s="44" t="n">
        <x:v>47483</x:v>
      </x:c>
      <x:c r="E177" s="42" t="str">
        <x:v>Goleiro</x:v>
      </x:c>
      <x:c r="F177" s="42" t="str">
        <x:v>SE Palmeiras</x:v>
      </x:c>
      <x:c r="G177" s="46"/>
      <x:c r="H177" s="46"/>
      <x:c r="I177" s="46"/>
      <x:c r="J177" s="46"/>
      <x:c r="K177" s="46" t="str">
        <x:f>IF(COUNT(G177,I177)=0,"",AVERAGE(G177,I177))</x:f>
      </x:c>
      <x:c r="L177" s="46" t="str">
        <x:f>IF(COUNT(H177,J177)=0,"",AVERAGE(H177,J177))</x:f>
      </x:c>
      <x:c r="M177" s="46" t="str">
        <x:f>IF(OR(K177="",L177=""),"",L177-K177)</x:f>
      </x:c>
      <x:c r="N177" s="46" t="str">
        <x:f>IF(OR(K177="",A176&lt;&gt;A177,K176=""),"",K177-K176)</x:f>
      </x:c>
      <x:c r="O177" s="42" t="str">
        <x:v>Sem informação</x:v>
      </x:c>
      <x:c r="P177" s="42"/>
      <x:c r="Q177" s="42" t="str"/>
      <x:c r="R177" s="42" t="str"/>
      <x:c r="S177" s="42" t="str"/>
      <x:c r="T177" s="42" t="str"/>
    </x:row>
    <x:row r="178">
      <x:c r="A178" s="42" t="str">
        <x:v>Carlos Miguel</x:v>
      </x:c>
      <x:c r="B178" s="42" t="n">
        <x:v>2030</x:v>
      </x:c>
      <x:c r="C178" s="42" t="str">
        <x:v>T1</x:v>
      </x:c>
      <x:c r="D178" s="44" t="n">
        <x:v>47573</x:v>
      </x:c>
      <x:c r="E178" s="42" t="str">
        <x:v>Goleiro</x:v>
      </x:c>
      <x:c r="F178" s="42" t="str">
        <x:v>SE Palmeiras</x:v>
      </x:c>
      <x:c r="G178" s="46"/>
      <x:c r="H178" s="46"/>
      <x:c r="I178" s="46"/>
      <x:c r="J178" s="46"/>
      <x:c r="K178" s="46" t="str">
        <x:f>IF(COUNT(G178,I178)=0,"",AVERAGE(G178,I178))</x:f>
      </x:c>
      <x:c r="L178" s="46" t="str">
        <x:f>IF(COUNT(H178,J178)=0,"",AVERAGE(H178,J178))</x:f>
      </x:c>
      <x:c r="M178" s="46" t="str">
        <x:f>IF(OR(K178="",L178=""),"",L178-K178)</x:f>
      </x:c>
      <x:c r="N178" s="46" t="str">
        <x:f>IF(OR(K178="",A177&lt;&gt;A178,K177=""),"",K178-K177)</x:f>
      </x:c>
      <x:c r="O178" s="42" t="str">
        <x:v>Sem informação</x:v>
      </x:c>
      <x:c r="P178" s="42"/>
      <x:c r="Q178" s="42" t="str"/>
      <x:c r="R178" s="42" t="str"/>
      <x:c r="S178" s="42" t="str"/>
      <x:c r="T178" s="42" t="str"/>
    </x:row>
    <x:row r="179">
      <x:c r="A179" s="42" t="str">
        <x:v>Carlos Miguel</x:v>
      </x:c>
      <x:c r="B179" s="42" t="n">
        <x:v>2030</x:v>
      </x:c>
      <x:c r="C179" s="42" t="str">
        <x:v>T2</x:v>
      </x:c>
      <x:c r="D179" s="44" t="n">
        <x:v>47664</x:v>
      </x:c>
      <x:c r="E179" s="42" t="str">
        <x:v>Goleiro</x:v>
      </x:c>
      <x:c r="F179" s="42" t="str">
        <x:v>SE Palmeiras</x:v>
      </x:c>
      <x:c r="G179" s="46"/>
      <x:c r="H179" s="46"/>
      <x:c r="I179" s="46"/>
      <x:c r="J179" s="46"/>
      <x:c r="K179" s="46" t="str">
        <x:f>IF(COUNT(G179,I179)=0,"",AVERAGE(G179,I179))</x:f>
      </x:c>
      <x:c r="L179" s="46" t="str">
        <x:f>IF(COUNT(H179,J179)=0,"",AVERAGE(H179,J179))</x:f>
      </x:c>
      <x:c r="M179" s="46" t="str">
        <x:f>IF(OR(K179="",L179=""),"",L179-K179)</x:f>
      </x:c>
      <x:c r="N179" s="46" t="str">
        <x:f>IF(OR(K179="",A178&lt;&gt;A179,K178=""),"",K179-K178)</x:f>
      </x:c>
      <x:c r="O179" s="42" t="str">
        <x:v>Sem informação</x:v>
      </x:c>
      <x:c r="P179" s="42"/>
      <x:c r="Q179" s="42" t="str"/>
      <x:c r="R179" s="42" t="str"/>
      <x:c r="S179" s="42" t="str"/>
      <x:c r="T179" s="42" t="str"/>
    </x:row>
    <x:row r="180">
      <x:c r="A180" s="42" t="str">
        <x:v>Carlos Miguel</x:v>
      </x:c>
      <x:c r="B180" s="42" t="n">
        <x:v>2030</x:v>
      </x:c>
      <x:c r="C180" s="42" t="str">
        <x:v>T3</x:v>
      </x:c>
      <x:c r="D180" s="44" t="n">
        <x:v>47756</x:v>
      </x:c>
      <x:c r="E180" s="42" t="str">
        <x:v>Goleiro</x:v>
      </x:c>
      <x:c r="F180" s="42" t="str">
        <x:v>SE Palmeiras</x:v>
      </x:c>
      <x:c r="G180" s="46"/>
      <x:c r="H180" s="46"/>
      <x:c r="I180" s="46"/>
      <x:c r="J180" s="46"/>
      <x:c r="K180" s="46" t="str">
        <x:f>IF(COUNT(G180,I180)=0,"",AVERAGE(G180,I180))</x:f>
      </x:c>
      <x:c r="L180" s="46" t="str">
        <x:f>IF(COUNT(H180,J180)=0,"",AVERAGE(H180,J180))</x:f>
      </x:c>
      <x:c r="M180" s="46" t="str">
        <x:f>IF(OR(K180="",L180=""),"",L180-K180)</x:f>
      </x:c>
      <x:c r="N180" s="46" t="str">
        <x:f>IF(OR(K180="",A179&lt;&gt;A180,K179=""),"",K180-K179)</x:f>
      </x:c>
      <x:c r="O180" s="42" t="str">
        <x:v>Sem informação</x:v>
      </x:c>
      <x:c r="P180" s="42"/>
      <x:c r="Q180" s="42" t="str"/>
      <x:c r="R180" s="42" t="str"/>
      <x:c r="S180" s="42" t="str"/>
      <x:c r="T180" s="42" t="str"/>
    </x:row>
    <x:row r="181">
      <x:c r="A181" s="42" t="str">
        <x:v>Carlos Miguel</x:v>
      </x:c>
      <x:c r="B181" s="42" t="n">
        <x:v>2030</x:v>
      </x:c>
      <x:c r="C181" s="42" t="str">
        <x:v>T4</x:v>
      </x:c>
      <x:c r="D181" s="44" t="n">
        <x:v>47848</x:v>
      </x:c>
      <x:c r="E181" s="42" t="str">
        <x:v>Goleiro</x:v>
      </x:c>
      <x:c r="F181" s="42" t="str">
        <x:v>SE Palmeiras</x:v>
      </x:c>
      <x:c r="G181" s="46"/>
      <x:c r="H181" s="46"/>
      <x:c r="I181" s="46"/>
      <x:c r="J181" s="46"/>
      <x:c r="K181" s="46" t="str">
        <x:f>IF(COUNT(G181,I181)=0,"",AVERAGE(G181,I181))</x:f>
      </x:c>
      <x:c r="L181" s="46" t="str">
        <x:f>IF(COUNT(H181,J181)=0,"",AVERAGE(H181,J181))</x:f>
      </x:c>
      <x:c r="M181" s="46" t="str">
        <x:f>IF(OR(K181="",L181=""),"",L181-K181)</x:f>
      </x:c>
      <x:c r="N181" s="46" t="str">
        <x:f>IF(OR(K181="",A180&lt;&gt;A181,K180=""),"",K181-K180)</x:f>
      </x:c>
      <x:c r="O181" s="42" t="str">
        <x:v>Sem informação</x:v>
      </x:c>
      <x:c r="P181" s="42"/>
      <x:c r="Q181" s="42" t="str"/>
      <x:c r="R181" s="42" t="str"/>
      <x:c r="S181" s="42" t="str"/>
      <x:c r="T181" s="42" t="str"/>
    </x:row>
    <x:row r="182">
      <x:c r="A182" s="42" t="str">
        <x:v>Danilo</x:v>
      </x:c>
      <x:c r="B182" s="42" t="n">
        <x:v>2026</x:v>
      </x:c>
      <x:c r="C182" s="42" t="str">
        <x:v>T1</x:v>
      </x:c>
      <x:c r="D182" s="44" t="n">
        <x:v>46112</x:v>
      </x:c>
      <x:c r="E182" s="42" t="str">
        <x:v>Volante</x:v>
      </x:c>
      <x:c r="F182" s="42" t="str">
        <x:v>Botafogo FR</x:v>
      </x:c>
      <x:c r="G182" s="46"/>
      <x:c r="H182" s="46"/>
      <x:c r="I182" s="46"/>
      <x:c r="J182" s="46"/>
      <x:c r="K182" s="46" t="str">
        <x:f>IF(COUNT(G182,I182)=0,"",AVERAGE(G182,I182))</x:f>
      </x:c>
      <x:c r="L182" s="46" t="str">
        <x:f>IF(COUNT(H182,J182)=0,"",AVERAGE(H182,J182))</x:f>
      </x:c>
      <x:c r="M182" s="46" t="str">
        <x:f>IF(OR(K182="",L182=""),"",L182-K182)</x:f>
      </x:c>
      <x:c r="N182" s="46" t="str">
        <x:f>IF(OR(K182="",A181&lt;&gt;A182,K181=""),"",K182-K181)</x:f>
      </x:c>
      <x:c r="O182" s="42" t="str">
        <x:v>Sem informação</x:v>
      </x:c>
      <x:c r="P182" s="42"/>
      <x:c r="Q182" s="42" t="str"/>
      <x:c r="R182" s="42" t="str"/>
      <x:c r="S182" s="42" t="str"/>
      <x:c r="T182" s="42" t="str"/>
    </x:row>
    <x:row r="183">
      <x:c r="A183" s="42" t="str">
        <x:v>Danilo</x:v>
      </x:c>
      <x:c r="B183" s="42" t="n">
        <x:v>2026</x:v>
      </x:c>
      <x:c r="C183" s="42" t="str">
        <x:v>T2</x:v>
      </x:c>
      <x:c r="D183" s="44" t="n">
        <x:v>46203</x:v>
      </x:c>
      <x:c r="E183" s="42" t="str">
        <x:v>Volante</x:v>
      </x:c>
      <x:c r="F183" s="42" t="str">
        <x:v>Botafogo FR</x:v>
      </x:c>
      <x:c r="G183" s="46" t="n">
        <x:v>7.5</x:v>
      </x:c>
      <x:c r="H183" s="46" t="n">
        <x:v>8</x:v>
      </x:c>
      <x:c r="I183" s="46" t="n">
        <x:v>7.5</x:v>
      </x:c>
      <x:c r="J183" s="46" t="n">
        <x:v>8</x:v>
      </x:c>
      <x:c r="K183" s="46" t="n">
        <x:f>IF(COUNT(G183,I183)=0,"",AVERAGE(G183,I183))</x:f>
        <x:v>7.5</x:v>
      </x:c>
      <x:c r="L183" s="46" t="n">
        <x:f>IF(COUNT(H183,J183)=0,"",AVERAGE(H183,J183))</x:f>
        <x:v>8</x:v>
      </x:c>
      <x:c r="M183" s="46" t="n">
        <x:f>IF(OR(K183="",L183=""),"",L183-K183)</x:f>
        <x:v>0.5</x:v>
      </x:c>
      <x:c r="N183" s="46" t="str">
        <x:f>IF(OR(K183="",A182&lt;&gt;A183,K182=""),"",K183-K182)</x:f>
      </x:c>
      <x:c r="O183" s="42" t="str">
        <x:v>Sem informação</x:v>
      </x:c>
      <x:c r="P183" s="42"/>
      <x:c r="Q183" s="42" t="str"/>
      <x:c r="R183" s="42" t="str"/>
      <x:c r="S183" s="42" t="str"/>
      <x:c r="T183" s="42" t="str"/>
    </x:row>
    <x:row r="184">
      <x:c r="A184" s="42" t="str">
        <x:v>Danilo</x:v>
      </x:c>
      <x:c r="B184" s="42" t="n">
        <x:v>2026</x:v>
      </x:c>
      <x:c r="C184" s="42" t="str">
        <x:v>T3</x:v>
      </x:c>
      <x:c r="D184" s="44" t="n">
        <x:v>46295</x:v>
      </x:c>
      <x:c r="E184" s="42" t="str">
        <x:v>Volante</x:v>
      </x:c>
      <x:c r="F184" s="42" t="str">
        <x:v>Botafogo FR</x:v>
      </x:c>
      <x:c r="G184" s="46"/>
      <x:c r="H184" s="46"/>
      <x:c r="I184" s="46"/>
      <x:c r="J184" s="46"/>
      <x:c r="K184" s="46" t="str">
        <x:f>IF(COUNT(G184,I184)=0,"",AVERAGE(G184,I184))</x:f>
      </x:c>
      <x:c r="L184" s="46" t="str">
        <x:f>IF(COUNT(H184,J184)=0,"",AVERAGE(H184,J184))</x:f>
      </x:c>
      <x:c r="M184" s="46" t="str">
        <x:f>IF(OR(K184="",L184=""),"",L184-K184)</x:f>
      </x:c>
      <x:c r="N184" s="46" t="str">
        <x:f>IF(OR(K184="",A183&lt;&gt;A184,K183=""),"",K184-K183)</x:f>
      </x:c>
      <x:c r="O184" s="42" t="str">
        <x:v>Sem informação</x:v>
      </x:c>
      <x:c r="P184" s="42"/>
      <x:c r="Q184" s="42" t="str"/>
      <x:c r="R184" s="42" t="str"/>
      <x:c r="S184" s="42" t="str"/>
      <x:c r="T184" s="42" t="str"/>
    </x:row>
    <x:row r="185">
      <x:c r="A185" s="42" t="str">
        <x:v>Danilo</x:v>
      </x:c>
      <x:c r="B185" s="42" t="n">
        <x:v>2026</x:v>
      </x:c>
      <x:c r="C185" s="42" t="str">
        <x:v>T4</x:v>
      </x:c>
      <x:c r="D185" s="44" t="n">
        <x:v>46387</x:v>
      </x:c>
      <x:c r="E185" s="42" t="str">
        <x:v>Volante</x:v>
      </x:c>
      <x:c r="F185" s="42" t="str">
        <x:v>Botafogo FR</x:v>
      </x:c>
      <x:c r="G185" s="46"/>
      <x:c r="H185" s="46"/>
      <x:c r="I185" s="46"/>
      <x:c r="J185" s="46"/>
      <x:c r="K185" s="46" t="str">
        <x:f>IF(COUNT(G185,I185)=0,"",AVERAGE(G185,I185))</x:f>
      </x:c>
      <x:c r="L185" s="46" t="str">
        <x:f>IF(COUNT(H185,J185)=0,"",AVERAGE(H185,J185))</x:f>
      </x:c>
      <x:c r="M185" s="46" t="str">
        <x:f>IF(OR(K185="",L185=""),"",L185-K185)</x:f>
      </x:c>
      <x:c r="N185" s="46" t="str">
        <x:f>IF(OR(K185="",A184&lt;&gt;A185,K184=""),"",K185-K184)</x:f>
      </x:c>
      <x:c r="O185" s="42" t="str">
        <x:v>Sem informação</x:v>
      </x:c>
      <x:c r="P185" s="42"/>
      <x:c r="Q185" s="42" t="str"/>
      <x:c r="R185" s="42" t="str"/>
      <x:c r="S185" s="42" t="str"/>
      <x:c r="T185" s="42" t="str"/>
    </x:row>
    <x:row r="186">
      <x:c r="A186" s="42" t="str">
        <x:v>Danilo</x:v>
      </x:c>
      <x:c r="B186" s="42" t="n">
        <x:v>2027</x:v>
      </x:c>
      <x:c r="C186" s="42" t="str">
        <x:v>T1</x:v>
      </x:c>
      <x:c r="D186" s="44" t="n">
        <x:v>46477</x:v>
      </x:c>
      <x:c r="E186" s="42" t="str">
        <x:v>Volante</x:v>
      </x:c>
      <x:c r="F186" s="42" t="str">
        <x:v>Botafogo FR</x:v>
      </x:c>
      <x:c r="G186" s="46"/>
      <x:c r="H186" s="46"/>
      <x:c r="I186" s="46"/>
      <x:c r="J186" s="46"/>
      <x:c r="K186" s="46" t="str">
        <x:f>IF(COUNT(G186,I186)=0,"",AVERAGE(G186,I186))</x:f>
      </x:c>
      <x:c r="L186" s="46" t="str">
        <x:f>IF(COUNT(H186,J186)=0,"",AVERAGE(H186,J186))</x:f>
      </x:c>
      <x:c r="M186" s="46" t="str">
        <x:f>IF(OR(K186="",L186=""),"",L186-K186)</x:f>
      </x:c>
      <x:c r="N186" s="46" t="str">
        <x:f>IF(OR(K186="",A185&lt;&gt;A186,K185=""),"",K186-K185)</x:f>
      </x:c>
      <x:c r="O186" s="42" t="str">
        <x:v>Sem informação</x:v>
      </x:c>
      <x:c r="P186" s="42"/>
      <x:c r="Q186" s="42" t="str"/>
      <x:c r="R186" s="42" t="str"/>
      <x:c r="S186" s="42" t="str"/>
      <x:c r="T186" s="42" t="str"/>
    </x:row>
    <x:row r="187">
      <x:c r="A187" s="42" t="str">
        <x:v>Danilo</x:v>
      </x:c>
      <x:c r="B187" s="42" t="n">
        <x:v>2027</x:v>
      </x:c>
      <x:c r="C187" s="42" t="str">
        <x:v>T2</x:v>
      </x:c>
      <x:c r="D187" s="44" t="n">
        <x:v>46568</x:v>
      </x:c>
      <x:c r="E187" s="42" t="str">
        <x:v>Volante</x:v>
      </x:c>
      <x:c r="F187" s="42" t="str">
        <x:v>Botafogo FR</x:v>
      </x:c>
      <x:c r="G187" s="46"/>
      <x:c r="H187" s="46"/>
      <x:c r="I187" s="46"/>
      <x:c r="J187" s="46"/>
      <x:c r="K187" s="46" t="str">
        <x:f>IF(COUNT(G187,I187)=0,"",AVERAGE(G187,I187))</x:f>
      </x:c>
      <x:c r="L187" s="46" t="str">
        <x:f>IF(COUNT(H187,J187)=0,"",AVERAGE(H187,J187))</x:f>
      </x:c>
      <x:c r="M187" s="46" t="str">
        <x:f>IF(OR(K187="",L187=""),"",L187-K187)</x:f>
      </x:c>
      <x:c r="N187" s="46" t="str">
        <x:f>IF(OR(K187="",A186&lt;&gt;A187,K186=""),"",K187-K186)</x:f>
      </x:c>
      <x:c r="O187" s="42" t="str">
        <x:v>Sem informação</x:v>
      </x:c>
      <x:c r="P187" s="42"/>
      <x:c r="Q187" s="42" t="str"/>
      <x:c r="R187" s="42" t="str"/>
      <x:c r="S187" s="42" t="str"/>
      <x:c r="T187" s="42" t="str"/>
    </x:row>
    <x:row r="188">
      <x:c r="A188" s="42" t="str">
        <x:v>Danilo</x:v>
      </x:c>
      <x:c r="B188" s="42" t="n">
        <x:v>2027</x:v>
      </x:c>
      <x:c r="C188" s="42" t="str">
        <x:v>T3</x:v>
      </x:c>
      <x:c r="D188" s="44" t="n">
        <x:v>46660</x:v>
      </x:c>
      <x:c r="E188" s="42" t="str">
        <x:v>Volante</x:v>
      </x:c>
      <x:c r="F188" s="42" t="str">
        <x:v>Botafogo FR</x:v>
      </x:c>
      <x:c r="G188" s="46"/>
      <x:c r="H188" s="46"/>
      <x:c r="I188" s="46"/>
      <x:c r="J188" s="46"/>
      <x:c r="K188" s="46" t="str">
        <x:f>IF(COUNT(G188,I188)=0,"",AVERAGE(G188,I188))</x:f>
      </x:c>
      <x:c r="L188" s="46" t="str">
        <x:f>IF(COUNT(H188,J188)=0,"",AVERAGE(H188,J188))</x:f>
      </x:c>
      <x:c r="M188" s="46" t="str">
        <x:f>IF(OR(K188="",L188=""),"",L188-K188)</x:f>
      </x:c>
      <x:c r="N188" s="46" t="str">
        <x:f>IF(OR(K188="",A187&lt;&gt;A188,K187=""),"",K188-K187)</x:f>
      </x:c>
      <x:c r="O188" s="42" t="str">
        <x:v>Sem informação</x:v>
      </x:c>
      <x:c r="P188" s="42"/>
      <x:c r="Q188" s="42" t="str"/>
      <x:c r="R188" s="42" t="str"/>
      <x:c r="S188" s="42" t="str"/>
      <x:c r="T188" s="42" t="str"/>
    </x:row>
    <x:row r="189">
      <x:c r="A189" s="42" t="str">
        <x:v>Danilo</x:v>
      </x:c>
      <x:c r="B189" s="42" t="n">
        <x:v>2027</x:v>
      </x:c>
      <x:c r="C189" s="42" t="str">
        <x:v>T4</x:v>
      </x:c>
      <x:c r="D189" s="44" t="n">
        <x:v>46752</x:v>
      </x:c>
      <x:c r="E189" s="42" t="str">
        <x:v>Volante</x:v>
      </x:c>
      <x:c r="F189" s="42" t="str">
        <x:v>Botafogo FR</x:v>
      </x:c>
      <x:c r="G189" s="46"/>
      <x:c r="H189" s="46"/>
      <x:c r="I189" s="46"/>
      <x:c r="J189" s="46"/>
      <x:c r="K189" s="46" t="str">
        <x:f>IF(COUNT(G189,I189)=0,"",AVERAGE(G189,I189))</x:f>
      </x:c>
      <x:c r="L189" s="46" t="str">
        <x:f>IF(COUNT(H189,J189)=0,"",AVERAGE(H189,J189))</x:f>
      </x:c>
      <x:c r="M189" s="46" t="str">
        <x:f>IF(OR(K189="",L189=""),"",L189-K189)</x:f>
      </x:c>
      <x:c r="N189" s="46" t="str">
        <x:f>IF(OR(K189="",A188&lt;&gt;A189,K188=""),"",K189-K188)</x:f>
      </x:c>
      <x:c r="O189" s="42" t="str">
        <x:v>Sem informação</x:v>
      </x:c>
      <x:c r="P189" s="42"/>
      <x:c r="Q189" s="42" t="str"/>
      <x:c r="R189" s="42" t="str"/>
      <x:c r="S189" s="42" t="str"/>
      <x:c r="T189" s="42" t="str"/>
    </x:row>
    <x:row r="190">
      <x:c r="A190" s="42" t="str">
        <x:v>Danilo</x:v>
      </x:c>
      <x:c r="B190" s="42" t="n">
        <x:v>2028</x:v>
      </x:c>
      <x:c r="C190" s="42" t="str">
        <x:v>T1</x:v>
      </x:c>
      <x:c r="D190" s="44" t="n">
        <x:v>46843</x:v>
      </x:c>
      <x:c r="E190" s="42" t="str">
        <x:v>Volante</x:v>
      </x:c>
      <x:c r="F190" s="42" t="str">
        <x:v>Botafogo FR</x:v>
      </x:c>
      <x:c r="G190" s="46"/>
      <x:c r="H190" s="46"/>
      <x:c r="I190" s="46"/>
      <x:c r="J190" s="46"/>
      <x:c r="K190" s="46" t="str">
        <x:f>IF(COUNT(G190,I190)=0,"",AVERAGE(G190,I190))</x:f>
      </x:c>
      <x:c r="L190" s="46" t="str">
        <x:f>IF(COUNT(H190,J190)=0,"",AVERAGE(H190,J190))</x:f>
      </x:c>
      <x:c r="M190" s="46" t="str">
        <x:f>IF(OR(K190="",L190=""),"",L190-K190)</x:f>
      </x:c>
      <x:c r="N190" s="46" t="str">
        <x:f>IF(OR(K190="",A189&lt;&gt;A190,K189=""),"",K190-K189)</x:f>
      </x:c>
      <x:c r="O190" s="42" t="str">
        <x:v>Sem informação</x:v>
      </x:c>
      <x:c r="P190" s="42"/>
      <x:c r="Q190" s="42" t="str"/>
      <x:c r="R190" s="42" t="str"/>
      <x:c r="S190" s="42" t="str"/>
      <x:c r="T190" s="42" t="str"/>
    </x:row>
    <x:row r="191">
      <x:c r="A191" s="42" t="str">
        <x:v>Danilo</x:v>
      </x:c>
      <x:c r="B191" s="42" t="n">
        <x:v>2028</x:v>
      </x:c>
      <x:c r="C191" s="42" t="str">
        <x:v>T2</x:v>
      </x:c>
      <x:c r="D191" s="44" t="n">
        <x:v>46934</x:v>
      </x:c>
      <x:c r="E191" s="42" t="str">
        <x:v>Volante</x:v>
      </x:c>
      <x:c r="F191" s="42" t="str">
        <x:v>Botafogo FR</x:v>
      </x:c>
      <x:c r="G191" s="46"/>
      <x:c r="H191" s="46"/>
      <x:c r="I191" s="46"/>
      <x:c r="J191" s="46"/>
      <x:c r="K191" s="46" t="str">
        <x:f>IF(COUNT(G191,I191)=0,"",AVERAGE(G191,I191))</x:f>
      </x:c>
      <x:c r="L191" s="46" t="str">
        <x:f>IF(COUNT(H191,J191)=0,"",AVERAGE(H191,J191))</x:f>
      </x:c>
      <x:c r="M191" s="46" t="str">
        <x:f>IF(OR(K191="",L191=""),"",L191-K191)</x:f>
      </x:c>
      <x:c r="N191" s="46" t="str">
        <x:f>IF(OR(K191="",A190&lt;&gt;A191,K190=""),"",K191-K190)</x:f>
      </x:c>
      <x:c r="O191" s="42" t="str">
        <x:v>Sem informação</x:v>
      </x:c>
      <x:c r="P191" s="42"/>
      <x:c r="Q191" s="42" t="str"/>
      <x:c r="R191" s="42" t="str"/>
      <x:c r="S191" s="42" t="str"/>
      <x:c r="T191" s="42" t="str"/>
    </x:row>
    <x:row r="192">
      <x:c r="A192" s="42" t="str">
        <x:v>Danilo</x:v>
      </x:c>
      <x:c r="B192" s="42" t="n">
        <x:v>2028</x:v>
      </x:c>
      <x:c r="C192" s="42" t="str">
        <x:v>T3</x:v>
      </x:c>
      <x:c r="D192" s="44" t="n">
        <x:v>47026</x:v>
      </x:c>
      <x:c r="E192" s="42" t="str">
        <x:v>Volante</x:v>
      </x:c>
      <x:c r="F192" s="42" t="str">
        <x:v>Botafogo FR</x:v>
      </x:c>
      <x:c r="G192" s="46"/>
      <x:c r="H192" s="46"/>
      <x:c r="I192" s="46"/>
      <x:c r="J192" s="46"/>
      <x:c r="K192" s="46" t="str">
        <x:f>IF(COUNT(G192,I192)=0,"",AVERAGE(G192,I192))</x:f>
      </x:c>
      <x:c r="L192" s="46" t="str">
        <x:f>IF(COUNT(H192,J192)=0,"",AVERAGE(H192,J192))</x:f>
      </x:c>
      <x:c r="M192" s="46" t="str">
        <x:f>IF(OR(K192="",L192=""),"",L192-K192)</x:f>
      </x:c>
      <x:c r="N192" s="46" t="str">
        <x:f>IF(OR(K192="",A191&lt;&gt;A192,K191=""),"",K192-K191)</x:f>
      </x:c>
      <x:c r="O192" s="42" t="str">
        <x:v>Sem informação</x:v>
      </x:c>
      <x:c r="P192" s="42"/>
      <x:c r="Q192" s="42" t="str"/>
      <x:c r="R192" s="42" t="str"/>
      <x:c r="S192" s="42" t="str"/>
      <x:c r="T192" s="42" t="str"/>
    </x:row>
    <x:row r="193">
      <x:c r="A193" s="42" t="str">
        <x:v>Danilo</x:v>
      </x:c>
      <x:c r="B193" s="42" t="n">
        <x:v>2028</x:v>
      </x:c>
      <x:c r="C193" s="42" t="str">
        <x:v>T4</x:v>
      </x:c>
      <x:c r="D193" s="44" t="n">
        <x:v>47118</x:v>
      </x:c>
      <x:c r="E193" s="42" t="str">
        <x:v>Volante</x:v>
      </x:c>
      <x:c r="F193" s="42" t="str">
        <x:v>Botafogo FR</x:v>
      </x:c>
      <x:c r="G193" s="46"/>
      <x:c r="H193" s="46"/>
      <x:c r="I193" s="46"/>
      <x:c r="J193" s="46"/>
      <x:c r="K193" s="46" t="str">
        <x:f>IF(COUNT(G193,I193)=0,"",AVERAGE(G193,I193))</x:f>
      </x:c>
      <x:c r="L193" s="46" t="str">
        <x:f>IF(COUNT(H193,J193)=0,"",AVERAGE(H193,J193))</x:f>
      </x:c>
      <x:c r="M193" s="46" t="str">
        <x:f>IF(OR(K193="",L193=""),"",L193-K193)</x:f>
      </x:c>
      <x:c r="N193" s="46" t="str">
        <x:f>IF(OR(K193="",A192&lt;&gt;A193,K192=""),"",K193-K192)</x:f>
      </x:c>
      <x:c r="O193" s="42" t="str">
        <x:v>Sem informação</x:v>
      </x:c>
      <x:c r="P193" s="42"/>
      <x:c r="Q193" s="42" t="str"/>
      <x:c r="R193" s="42" t="str"/>
      <x:c r="S193" s="42" t="str"/>
      <x:c r="T193" s="42" t="str"/>
    </x:row>
    <x:row r="194">
      <x:c r="A194" s="42" t="str">
        <x:v>Danilo</x:v>
      </x:c>
      <x:c r="B194" s="42" t="n">
        <x:v>2029</x:v>
      </x:c>
      <x:c r="C194" s="42" t="str">
        <x:v>T1</x:v>
      </x:c>
      <x:c r="D194" s="44" t="n">
        <x:v>47208</x:v>
      </x:c>
      <x:c r="E194" s="42" t="str">
        <x:v>Volante</x:v>
      </x:c>
      <x:c r="F194" s="42" t="str">
        <x:v>Botafogo FR</x:v>
      </x:c>
      <x:c r="G194" s="46"/>
      <x:c r="H194" s="46"/>
      <x:c r="I194" s="46"/>
      <x:c r="J194" s="46"/>
      <x:c r="K194" s="46" t="str">
        <x:f>IF(COUNT(G194,I194)=0,"",AVERAGE(G194,I194))</x:f>
      </x:c>
      <x:c r="L194" s="46" t="str">
        <x:f>IF(COUNT(H194,J194)=0,"",AVERAGE(H194,J194))</x:f>
      </x:c>
      <x:c r="M194" s="46" t="str">
        <x:f>IF(OR(K194="",L194=""),"",L194-K194)</x:f>
      </x:c>
      <x:c r="N194" s="46" t="str">
        <x:f>IF(OR(K194="",A193&lt;&gt;A194,K193=""),"",K194-K193)</x:f>
      </x:c>
      <x:c r="O194" s="42" t="str">
        <x:v>Sem informação</x:v>
      </x:c>
      <x:c r="P194" s="42"/>
      <x:c r="Q194" s="42" t="str"/>
      <x:c r="R194" s="42" t="str"/>
      <x:c r="S194" s="42" t="str"/>
      <x:c r="T194" s="42" t="str"/>
    </x:row>
    <x:row r="195">
      <x:c r="A195" s="42" t="str">
        <x:v>Danilo</x:v>
      </x:c>
      <x:c r="B195" s="42" t="n">
        <x:v>2029</x:v>
      </x:c>
      <x:c r="C195" s="42" t="str">
        <x:v>T2</x:v>
      </x:c>
      <x:c r="D195" s="44" t="n">
        <x:v>47299</x:v>
      </x:c>
      <x:c r="E195" s="42" t="str">
        <x:v>Volante</x:v>
      </x:c>
      <x:c r="F195" s="42" t="str">
        <x:v>Botafogo FR</x:v>
      </x:c>
      <x:c r="G195" s="46"/>
      <x:c r="H195" s="46"/>
      <x:c r="I195" s="46"/>
      <x:c r="J195" s="46"/>
      <x:c r="K195" s="46" t="str">
        <x:f>IF(COUNT(G195,I195)=0,"",AVERAGE(G195,I195))</x:f>
      </x:c>
      <x:c r="L195" s="46" t="str">
        <x:f>IF(COUNT(H195,J195)=0,"",AVERAGE(H195,J195))</x:f>
      </x:c>
      <x:c r="M195" s="46" t="str">
        <x:f>IF(OR(K195="",L195=""),"",L195-K195)</x:f>
      </x:c>
      <x:c r="N195" s="46" t="str">
        <x:f>IF(OR(K195="",A194&lt;&gt;A195,K194=""),"",K195-K194)</x:f>
      </x:c>
      <x:c r="O195" s="42" t="str">
        <x:v>Sem informação</x:v>
      </x:c>
      <x:c r="P195" s="42"/>
      <x:c r="Q195" s="42" t="str"/>
      <x:c r="R195" s="42" t="str"/>
      <x:c r="S195" s="42" t="str"/>
      <x:c r="T195" s="42" t="str"/>
    </x:row>
    <x:row r="196">
      <x:c r="A196" s="42" t="str">
        <x:v>Danilo</x:v>
      </x:c>
      <x:c r="B196" s="42" t="n">
        <x:v>2029</x:v>
      </x:c>
      <x:c r="C196" s="42" t="str">
        <x:v>T3</x:v>
      </x:c>
      <x:c r="D196" s="44" t="n">
        <x:v>47391</x:v>
      </x:c>
      <x:c r="E196" s="42" t="str">
        <x:v>Volante</x:v>
      </x:c>
      <x:c r="F196" s="42" t="str">
        <x:v>Botafogo FR</x:v>
      </x:c>
      <x:c r="G196" s="46"/>
      <x:c r="H196" s="46"/>
      <x:c r="I196" s="46"/>
      <x:c r="J196" s="46"/>
      <x:c r="K196" s="46" t="str">
        <x:f>IF(COUNT(G196,I196)=0,"",AVERAGE(G196,I196))</x:f>
      </x:c>
      <x:c r="L196" s="46" t="str">
        <x:f>IF(COUNT(H196,J196)=0,"",AVERAGE(H196,J196))</x:f>
      </x:c>
      <x:c r="M196" s="46" t="str">
        <x:f>IF(OR(K196="",L196=""),"",L196-K196)</x:f>
      </x:c>
      <x:c r="N196" s="46" t="str">
        <x:f>IF(OR(K196="",A195&lt;&gt;A196,K195=""),"",K196-K195)</x:f>
      </x:c>
      <x:c r="O196" s="42" t="str">
        <x:v>Sem informação</x:v>
      </x:c>
      <x:c r="P196" s="42"/>
      <x:c r="Q196" s="42" t="str"/>
      <x:c r="R196" s="42" t="str"/>
      <x:c r="S196" s="42" t="str"/>
      <x:c r="T196" s="42" t="str"/>
    </x:row>
    <x:row r="197">
      <x:c r="A197" s="42" t="str">
        <x:v>Danilo</x:v>
      </x:c>
      <x:c r="B197" s="42" t="n">
        <x:v>2029</x:v>
      </x:c>
      <x:c r="C197" s="42" t="str">
        <x:v>T4</x:v>
      </x:c>
      <x:c r="D197" s="44" t="n">
        <x:v>47483</x:v>
      </x:c>
      <x:c r="E197" s="42" t="str">
        <x:v>Volante</x:v>
      </x:c>
      <x:c r="F197" s="42" t="str">
        <x:v>Botafogo FR</x:v>
      </x:c>
      <x:c r="G197" s="46"/>
      <x:c r="H197" s="46"/>
      <x:c r="I197" s="46"/>
      <x:c r="J197" s="46"/>
      <x:c r="K197" s="46" t="str">
        <x:f>IF(COUNT(G197,I197)=0,"",AVERAGE(G197,I197))</x:f>
      </x:c>
      <x:c r="L197" s="46" t="str">
        <x:f>IF(COUNT(H197,J197)=0,"",AVERAGE(H197,J197))</x:f>
      </x:c>
      <x:c r="M197" s="46" t="str">
        <x:f>IF(OR(K197="",L197=""),"",L197-K197)</x:f>
      </x:c>
      <x:c r="N197" s="46" t="str">
        <x:f>IF(OR(K197="",A196&lt;&gt;A197,K196=""),"",K197-K196)</x:f>
      </x:c>
      <x:c r="O197" s="42" t="str">
        <x:v>Sem informação</x:v>
      </x:c>
      <x:c r="P197" s="42"/>
      <x:c r="Q197" s="42" t="str"/>
      <x:c r="R197" s="42" t="str"/>
      <x:c r="S197" s="42" t="str"/>
      <x:c r="T197" s="42" t="str"/>
    </x:row>
    <x:row r="198">
      <x:c r="A198" s="42" t="str">
        <x:v>Danilo</x:v>
      </x:c>
      <x:c r="B198" s="42" t="n">
        <x:v>2030</x:v>
      </x:c>
      <x:c r="C198" s="42" t="str">
        <x:v>T1</x:v>
      </x:c>
      <x:c r="D198" s="44" t="n">
        <x:v>47573</x:v>
      </x:c>
      <x:c r="E198" s="42" t="str">
        <x:v>Volante</x:v>
      </x:c>
      <x:c r="F198" s="42" t="str">
        <x:v>Botafogo FR</x:v>
      </x:c>
      <x:c r="G198" s="46"/>
      <x:c r="H198" s="46"/>
      <x:c r="I198" s="46"/>
      <x:c r="J198" s="46"/>
      <x:c r="K198" s="46" t="str">
        <x:f>IF(COUNT(G198,I198)=0,"",AVERAGE(G198,I198))</x:f>
      </x:c>
      <x:c r="L198" s="46" t="str">
        <x:f>IF(COUNT(H198,J198)=0,"",AVERAGE(H198,J198))</x:f>
      </x:c>
      <x:c r="M198" s="46" t="str">
        <x:f>IF(OR(K198="",L198=""),"",L198-K198)</x:f>
      </x:c>
      <x:c r="N198" s="46" t="str">
        <x:f>IF(OR(K198="",A197&lt;&gt;A198,K197=""),"",K198-K197)</x:f>
      </x:c>
      <x:c r="O198" s="42" t="str">
        <x:v>Sem informação</x:v>
      </x:c>
      <x:c r="P198" s="42"/>
      <x:c r="Q198" s="42" t="str"/>
      <x:c r="R198" s="42" t="str"/>
      <x:c r="S198" s="42" t="str"/>
      <x:c r="T198" s="42" t="str"/>
    </x:row>
    <x:row r="199">
      <x:c r="A199" s="42" t="str">
        <x:v>Danilo</x:v>
      </x:c>
      <x:c r="B199" s="42" t="n">
        <x:v>2030</x:v>
      </x:c>
      <x:c r="C199" s="42" t="str">
        <x:v>T2</x:v>
      </x:c>
      <x:c r="D199" s="44" t="n">
        <x:v>47664</x:v>
      </x:c>
      <x:c r="E199" s="42" t="str">
        <x:v>Volante</x:v>
      </x:c>
      <x:c r="F199" s="42" t="str">
        <x:v>Botafogo FR</x:v>
      </x:c>
      <x:c r="G199" s="46"/>
      <x:c r="H199" s="46"/>
      <x:c r="I199" s="46"/>
      <x:c r="J199" s="46"/>
      <x:c r="K199" s="46" t="str">
        <x:f>IF(COUNT(G199,I199)=0,"",AVERAGE(G199,I199))</x:f>
      </x:c>
      <x:c r="L199" s="46" t="str">
        <x:f>IF(COUNT(H199,J199)=0,"",AVERAGE(H199,J199))</x:f>
      </x:c>
      <x:c r="M199" s="46" t="str">
        <x:f>IF(OR(K199="",L199=""),"",L199-K199)</x:f>
      </x:c>
      <x:c r="N199" s="46" t="str">
        <x:f>IF(OR(K199="",A198&lt;&gt;A199,K198=""),"",K199-K198)</x:f>
      </x:c>
      <x:c r="O199" s="42" t="str">
        <x:v>Sem informação</x:v>
      </x:c>
      <x:c r="P199" s="42"/>
      <x:c r="Q199" s="42" t="str"/>
      <x:c r="R199" s="42" t="str"/>
      <x:c r="S199" s="42" t="str"/>
      <x:c r="T199" s="42" t="str"/>
    </x:row>
    <x:row r="200">
      <x:c r="A200" s="42" t="str">
        <x:v>Danilo</x:v>
      </x:c>
      <x:c r="B200" s="42" t="n">
        <x:v>2030</x:v>
      </x:c>
      <x:c r="C200" s="42" t="str">
        <x:v>T3</x:v>
      </x:c>
      <x:c r="D200" s="44" t="n">
        <x:v>47756</x:v>
      </x:c>
      <x:c r="E200" s="42" t="str">
        <x:v>Volante</x:v>
      </x:c>
      <x:c r="F200" s="42" t="str">
        <x:v>Botafogo FR</x:v>
      </x:c>
      <x:c r="G200" s="46"/>
      <x:c r="H200" s="46"/>
      <x:c r="I200" s="46"/>
      <x:c r="J200" s="46"/>
      <x:c r="K200" s="46" t="str">
        <x:f>IF(COUNT(G200,I200)=0,"",AVERAGE(G200,I200))</x:f>
      </x:c>
      <x:c r="L200" s="46" t="str">
        <x:f>IF(COUNT(H200,J200)=0,"",AVERAGE(H200,J200))</x:f>
      </x:c>
      <x:c r="M200" s="46" t="str">
        <x:f>IF(OR(K200="",L200=""),"",L200-K200)</x:f>
      </x:c>
      <x:c r="N200" s="46" t="str">
        <x:f>IF(OR(K200="",A199&lt;&gt;A200,K199=""),"",K200-K199)</x:f>
      </x:c>
      <x:c r="O200" s="42" t="str">
        <x:v>Sem informação</x:v>
      </x:c>
      <x:c r="P200" s="42"/>
      <x:c r="Q200" s="42" t="str"/>
      <x:c r="R200" s="42" t="str"/>
      <x:c r="S200" s="42" t="str"/>
      <x:c r="T200" s="42" t="str"/>
    </x:row>
    <x:row r="201">
      <x:c r="A201" s="42" t="str">
        <x:v>Danilo</x:v>
      </x:c>
      <x:c r="B201" s="42" t="n">
        <x:v>2030</x:v>
      </x:c>
      <x:c r="C201" s="42" t="str">
        <x:v>T4</x:v>
      </x:c>
      <x:c r="D201" s="44" t="n">
        <x:v>47848</x:v>
      </x:c>
      <x:c r="E201" s="42" t="str">
        <x:v>Volante</x:v>
      </x:c>
      <x:c r="F201" s="42" t="str">
        <x:v>Botafogo FR</x:v>
      </x:c>
      <x:c r="G201" s="46"/>
      <x:c r="H201" s="46"/>
      <x:c r="I201" s="46"/>
      <x:c r="J201" s="46"/>
      <x:c r="K201" s="46" t="str">
        <x:f>IF(COUNT(G201,I201)=0,"",AVERAGE(G201,I201))</x:f>
      </x:c>
      <x:c r="L201" s="46" t="str">
        <x:f>IF(COUNT(H201,J201)=0,"",AVERAGE(H201,J201))</x:f>
      </x:c>
      <x:c r="M201" s="46" t="str">
        <x:f>IF(OR(K201="",L201=""),"",L201-K201)</x:f>
      </x:c>
      <x:c r="N201" s="46" t="str">
        <x:f>IF(OR(K201="",A200&lt;&gt;A201,K200=""),"",K201-K200)</x:f>
      </x:c>
      <x:c r="O201" s="42" t="str">
        <x:v>Sem informação</x:v>
      </x:c>
      <x:c r="P201" s="42"/>
      <x:c r="Q201" s="42" t="str"/>
      <x:c r="R201" s="42" t="str"/>
      <x:c r="S201" s="42" t="str"/>
      <x:c r="T201" s="42" t="str"/>
    </x:row>
    <x:row r="202">
      <x:c r="A202" s="42" t="str">
        <x:v>Denner</x:v>
      </x:c>
      <x:c r="B202" s="42" t="n">
        <x:v>2026</x:v>
      </x:c>
      <x:c r="C202" s="42" t="str">
        <x:v>T1</x:v>
      </x:c>
      <x:c r="D202" s="44" t="n">
        <x:v>46112</x:v>
      </x:c>
      <x:c r="E202" s="42" t="str">
        <x:v>Lateral-esquerdo</x:v>
      </x:c>
      <x:c r="F202" s="42" t="str">
        <x:v>Chelsea FC</x:v>
      </x:c>
      <x:c r="G202" s="46"/>
      <x:c r="H202" s="46"/>
      <x:c r="I202" s="46"/>
      <x:c r="J202" s="46"/>
      <x:c r="K202" s="46" t="str">
        <x:f>IF(COUNT(G202,I202)=0,"",AVERAGE(G202,I202))</x:f>
      </x:c>
      <x:c r="L202" s="46" t="str">
        <x:f>IF(COUNT(H202,J202)=0,"",AVERAGE(H202,J202))</x:f>
      </x:c>
      <x:c r="M202" s="46" t="str">
        <x:f>IF(OR(K202="",L202=""),"",L202-K202)</x:f>
      </x:c>
      <x:c r="N202" s="46" t="str">
        <x:f>IF(OR(K202="",A201&lt;&gt;A202,K201=""),"",K202-K201)</x:f>
      </x:c>
      <x:c r="O202" s="42" t="str">
        <x:v>Sem informação</x:v>
      </x:c>
      <x:c r="P202" s="42"/>
      <x:c r="Q202" s="42" t="str"/>
      <x:c r="R202" s="42" t="str"/>
      <x:c r="S202" s="42" t="str"/>
      <x:c r="T202" s="42" t="str"/>
    </x:row>
    <x:row r="203">
      <x:c r="A203" s="42" t="str">
        <x:v>Denner</x:v>
      </x:c>
      <x:c r="B203" s="42" t="n">
        <x:v>2026</x:v>
      </x:c>
      <x:c r="C203" s="42" t="str">
        <x:v>T2</x:v>
      </x:c>
      <x:c r="D203" s="44" t="n">
        <x:v>46203</x:v>
      </x:c>
      <x:c r="E203" s="42" t="str">
        <x:v>Lateral-esquerdo</x:v>
      </x:c>
      <x:c r="F203" s="42" t="str">
        <x:v>Corinthians</x:v>
      </x:c>
      <x:c r="G203" s="46" t="n">
        <x:v>6</x:v>
      </x:c>
      <x:c r="H203" s="46" t="n">
        <x:v>8</x:v>
      </x:c>
      <x:c r="I203" s="46" t="n">
        <x:v>6</x:v>
      </x:c>
      <x:c r="J203" s="46" t="n">
        <x:v>8.5</x:v>
      </x:c>
      <x:c r="K203" s="46" t="n">
        <x:f>IF(COUNT(G203,I203)=0,"",AVERAGE(G203,I203))</x:f>
        <x:v>6</x:v>
      </x:c>
      <x:c r="L203" s="46" t="n">
        <x:f>IF(COUNT(H203,J203)=0,"",AVERAGE(H203,J203))</x:f>
        <x:v>8.25</x:v>
      </x:c>
      <x:c r="M203" s="46" t="n">
        <x:f>IF(OR(K203="",L203=""),"",L203-K203)</x:f>
        <x:v>2.25</x:v>
      </x:c>
      <x:c r="N203" s="46" t="str">
        <x:f>IF(OR(K203="",A202&lt;&gt;A203,K202=""),"",K203-K202)</x:f>
      </x:c>
      <x:c r="O203" s="42" t="str">
        <x:v>Sem informação</x:v>
      </x:c>
      <x:c r="P203" s="42"/>
      <x:c r="Q203" s="42" t="str"/>
      <x:c r="R203" s="42" t="str"/>
      <x:c r="S203" s="42" t="str"/>
      <x:c r="T203" s="42" t="str"/>
    </x:row>
    <x:row r="204">
      <x:c r="A204" s="42" t="str">
        <x:v>Denner</x:v>
      </x:c>
      <x:c r="B204" s="42" t="n">
        <x:v>2026</x:v>
      </x:c>
      <x:c r="C204" s="42" t="str">
        <x:v>T3</x:v>
      </x:c>
      <x:c r="D204" s="44" t="n">
        <x:v>46295</x:v>
      </x:c>
      <x:c r="E204" s="42" t="str">
        <x:v>Lateral-esquerdo</x:v>
      </x:c>
      <x:c r="F204" s="42" t="str">
        <x:v>Chelsea FC</x:v>
      </x:c>
      <x:c r="G204" s="46"/>
      <x:c r="H204" s="46"/>
      <x:c r="I204" s="46"/>
      <x:c r="J204" s="46"/>
      <x:c r="K204" s="46" t="str">
        <x:f>IF(COUNT(G204,I204)=0,"",AVERAGE(G204,I204))</x:f>
      </x:c>
      <x:c r="L204" s="46" t="str">
        <x:f>IF(COUNT(H204,J204)=0,"",AVERAGE(H204,J204))</x:f>
      </x:c>
      <x:c r="M204" s="46" t="str">
        <x:f>IF(OR(K204="",L204=""),"",L204-K204)</x:f>
      </x:c>
      <x:c r="N204" s="46" t="str">
        <x:f>IF(OR(K204="",A203&lt;&gt;A204,K203=""),"",K204-K203)</x:f>
      </x:c>
      <x:c r="O204" s="42" t="str">
        <x:v>Sem informação</x:v>
      </x:c>
      <x:c r="P204" s="42"/>
      <x:c r="Q204" s="42" t="str"/>
      <x:c r="R204" s="42" t="str"/>
      <x:c r="S204" s="42" t="str"/>
      <x:c r="T204" s="42" t="str"/>
    </x:row>
    <x:row r="205">
      <x:c r="A205" s="42" t="str">
        <x:v>Denner</x:v>
      </x:c>
      <x:c r="B205" s="42" t="n">
        <x:v>2026</x:v>
      </x:c>
      <x:c r="C205" s="42" t="str">
        <x:v>T4</x:v>
      </x:c>
      <x:c r="D205" s="44" t="n">
        <x:v>46387</x:v>
      </x:c>
      <x:c r="E205" s="42" t="str">
        <x:v>Lateral-esquerdo</x:v>
      </x:c>
      <x:c r="F205" s="42" t="str">
        <x:v>Chelsea FC</x:v>
      </x:c>
      <x:c r="G205" s="46"/>
      <x:c r="H205" s="46"/>
      <x:c r="I205" s="46"/>
      <x:c r="J205" s="46"/>
      <x:c r="K205" s="46" t="str">
        <x:f>IF(COUNT(G205,I205)=0,"",AVERAGE(G205,I205))</x:f>
      </x:c>
      <x:c r="L205" s="46" t="str">
        <x:f>IF(COUNT(H205,J205)=0,"",AVERAGE(H205,J205))</x:f>
      </x:c>
      <x:c r="M205" s="46" t="str">
        <x:f>IF(OR(K205="",L205=""),"",L205-K205)</x:f>
      </x:c>
      <x:c r="N205" s="46" t="str">
        <x:f>IF(OR(K205="",A204&lt;&gt;A205,K204=""),"",K205-K204)</x:f>
      </x:c>
      <x:c r="O205" s="42" t="str">
        <x:v>Sem informação</x:v>
      </x:c>
      <x:c r="P205" s="42"/>
      <x:c r="Q205" s="42" t="str"/>
      <x:c r="R205" s="42" t="str"/>
      <x:c r="S205" s="42" t="str"/>
      <x:c r="T205" s="42" t="str"/>
    </x:row>
    <x:row r="206">
      <x:c r="A206" s="42" t="str">
        <x:v>Denner</x:v>
      </x:c>
      <x:c r="B206" s="42" t="n">
        <x:v>2027</x:v>
      </x:c>
      <x:c r="C206" s="42" t="str">
        <x:v>T1</x:v>
      </x:c>
      <x:c r="D206" s="44" t="n">
        <x:v>46477</x:v>
      </x:c>
      <x:c r="E206" s="42" t="str">
        <x:v>Lateral-esquerdo</x:v>
      </x:c>
      <x:c r="F206" s="42" t="str">
        <x:v>Chelsea FC</x:v>
      </x:c>
      <x:c r="G206" s="46"/>
      <x:c r="H206" s="46"/>
      <x:c r="I206" s="46"/>
      <x:c r="J206" s="46"/>
      <x:c r="K206" s="46" t="str">
        <x:f>IF(COUNT(G206,I206)=0,"",AVERAGE(G206,I206))</x:f>
      </x:c>
      <x:c r="L206" s="46" t="str">
        <x:f>IF(COUNT(H206,J206)=0,"",AVERAGE(H206,J206))</x:f>
      </x:c>
      <x:c r="M206" s="46" t="str">
        <x:f>IF(OR(K206="",L206=""),"",L206-K206)</x:f>
      </x:c>
      <x:c r="N206" s="46" t="str">
        <x:f>IF(OR(K206="",A205&lt;&gt;A206,K205=""),"",K206-K205)</x:f>
      </x:c>
      <x:c r="O206" s="42" t="str">
        <x:v>Sem informação</x:v>
      </x:c>
      <x:c r="P206" s="42"/>
      <x:c r="Q206" s="42" t="str"/>
      <x:c r="R206" s="42" t="str"/>
      <x:c r="S206" s="42" t="str"/>
      <x:c r="T206" s="42" t="str"/>
    </x:row>
    <x:row r="207">
      <x:c r="A207" s="42" t="str">
        <x:v>Denner</x:v>
      </x:c>
      <x:c r="B207" s="42" t="n">
        <x:v>2027</x:v>
      </x:c>
      <x:c r="C207" s="42" t="str">
        <x:v>T2</x:v>
      </x:c>
      <x:c r="D207" s="44" t="n">
        <x:v>46568</x:v>
      </x:c>
      <x:c r="E207" s="42" t="str">
        <x:v>Lateral-esquerdo</x:v>
      </x:c>
      <x:c r="F207" s="42" t="str">
        <x:v>Chelsea FC</x:v>
      </x:c>
      <x:c r="G207" s="46"/>
      <x:c r="H207" s="46"/>
      <x:c r="I207" s="46"/>
      <x:c r="J207" s="46"/>
      <x:c r="K207" s="46" t="str">
        <x:f>IF(COUNT(G207,I207)=0,"",AVERAGE(G207,I207))</x:f>
      </x:c>
      <x:c r="L207" s="46" t="str">
        <x:f>IF(COUNT(H207,J207)=0,"",AVERAGE(H207,J207))</x:f>
      </x:c>
      <x:c r="M207" s="46" t="str">
        <x:f>IF(OR(K207="",L207=""),"",L207-K207)</x:f>
      </x:c>
      <x:c r="N207" s="46" t="str">
        <x:f>IF(OR(K207="",A206&lt;&gt;A207,K206=""),"",K207-K206)</x:f>
      </x:c>
      <x:c r="O207" s="42" t="str">
        <x:v>Sem informação</x:v>
      </x:c>
      <x:c r="P207" s="42"/>
      <x:c r="Q207" s="42" t="str"/>
      <x:c r="R207" s="42" t="str"/>
      <x:c r="S207" s="42" t="str"/>
      <x:c r="T207" s="42" t="str"/>
    </x:row>
    <x:row r="208">
      <x:c r="A208" s="42" t="str">
        <x:v>Denner</x:v>
      </x:c>
      <x:c r="B208" s="42" t="n">
        <x:v>2027</x:v>
      </x:c>
      <x:c r="C208" s="42" t="str">
        <x:v>T3</x:v>
      </x:c>
      <x:c r="D208" s="44" t="n">
        <x:v>46660</x:v>
      </x:c>
      <x:c r="E208" s="42" t="str">
        <x:v>Lateral-esquerdo</x:v>
      </x:c>
      <x:c r="F208" s="42" t="str">
        <x:v>Chelsea FC</x:v>
      </x:c>
      <x:c r="G208" s="46"/>
      <x:c r="H208" s="46"/>
      <x:c r="I208" s="46"/>
      <x:c r="J208" s="46"/>
      <x:c r="K208" s="46" t="str">
        <x:f>IF(COUNT(G208,I208)=0,"",AVERAGE(G208,I208))</x:f>
      </x:c>
      <x:c r="L208" s="46" t="str">
        <x:f>IF(COUNT(H208,J208)=0,"",AVERAGE(H208,J208))</x:f>
      </x:c>
      <x:c r="M208" s="46" t="str">
        <x:f>IF(OR(K208="",L208=""),"",L208-K208)</x:f>
      </x:c>
      <x:c r="N208" s="46" t="str">
        <x:f>IF(OR(K208="",A207&lt;&gt;A208,K207=""),"",K208-K207)</x:f>
      </x:c>
      <x:c r="O208" s="42" t="str">
        <x:v>Sem informação</x:v>
      </x:c>
      <x:c r="P208" s="42"/>
      <x:c r="Q208" s="42" t="str"/>
      <x:c r="R208" s="42" t="str"/>
      <x:c r="S208" s="42" t="str"/>
      <x:c r="T208" s="42" t="str"/>
    </x:row>
    <x:row r="209">
      <x:c r="A209" s="42" t="str">
        <x:v>Denner</x:v>
      </x:c>
      <x:c r="B209" s="42" t="n">
        <x:v>2027</x:v>
      </x:c>
      <x:c r="C209" s="42" t="str">
        <x:v>T4</x:v>
      </x:c>
      <x:c r="D209" s="44" t="n">
        <x:v>46752</x:v>
      </x:c>
      <x:c r="E209" s="42" t="str">
        <x:v>Lateral-esquerdo</x:v>
      </x:c>
      <x:c r="F209" s="42" t="str">
        <x:v>Chelsea FC</x:v>
      </x:c>
      <x:c r="G209" s="46"/>
      <x:c r="H209" s="46"/>
      <x:c r="I209" s="46"/>
      <x:c r="J209" s="46"/>
      <x:c r="K209" s="46" t="str">
        <x:f>IF(COUNT(G209,I209)=0,"",AVERAGE(G209,I209))</x:f>
      </x:c>
      <x:c r="L209" s="46" t="str">
        <x:f>IF(COUNT(H209,J209)=0,"",AVERAGE(H209,J209))</x:f>
      </x:c>
      <x:c r="M209" s="46" t="str">
        <x:f>IF(OR(K209="",L209=""),"",L209-K209)</x:f>
      </x:c>
      <x:c r="N209" s="46" t="str">
        <x:f>IF(OR(K209="",A208&lt;&gt;A209,K208=""),"",K209-K208)</x:f>
      </x:c>
      <x:c r="O209" s="42" t="str">
        <x:v>Sem informação</x:v>
      </x:c>
      <x:c r="P209" s="42"/>
      <x:c r="Q209" s="42" t="str"/>
      <x:c r="R209" s="42" t="str"/>
      <x:c r="S209" s="42" t="str"/>
      <x:c r="T209" s="42" t="str"/>
    </x:row>
    <x:row r="210">
      <x:c r="A210" s="42" t="str">
        <x:v>Denner</x:v>
      </x:c>
      <x:c r="B210" s="42" t="n">
        <x:v>2028</x:v>
      </x:c>
      <x:c r="C210" s="42" t="str">
        <x:v>T1</x:v>
      </x:c>
      <x:c r="D210" s="44" t="n">
        <x:v>46843</x:v>
      </x:c>
      <x:c r="E210" s="42" t="str">
        <x:v>Lateral-esquerdo</x:v>
      </x:c>
      <x:c r="F210" s="42" t="str">
        <x:v>Chelsea FC</x:v>
      </x:c>
      <x:c r="G210" s="46"/>
      <x:c r="H210" s="46"/>
      <x:c r="I210" s="46"/>
      <x:c r="J210" s="46"/>
      <x:c r="K210" s="46" t="str">
        <x:f>IF(COUNT(G210,I210)=0,"",AVERAGE(G210,I210))</x:f>
      </x:c>
      <x:c r="L210" s="46" t="str">
        <x:f>IF(COUNT(H210,J210)=0,"",AVERAGE(H210,J210))</x:f>
      </x:c>
      <x:c r="M210" s="46" t="str">
        <x:f>IF(OR(K210="",L210=""),"",L210-K210)</x:f>
      </x:c>
      <x:c r="N210" s="46" t="str">
        <x:f>IF(OR(K210="",A209&lt;&gt;A210,K209=""),"",K210-K209)</x:f>
      </x:c>
      <x:c r="O210" s="42" t="str">
        <x:v>Sem informação</x:v>
      </x:c>
      <x:c r="P210" s="42"/>
      <x:c r="Q210" s="42" t="str"/>
      <x:c r="R210" s="42" t="str"/>
      <x:c r="S210" s="42" t="str"/>
      <x:c r="T210" s="42" t="str"/>
    </x:row>
    <x:row r="211">
      <x:c r="A211" s="42" t="str">
        <x:v>Denner</x:v>
      </x:c>
      <x:c r="B211" s="42" t="n">
        <x:v>2028</x:v>
      </x:c>
      <x:c r="C211" s="42" t="str">
        <x:v>T2</x:v>
      </x:c>
      <x:c r="D211" s="44" t="n">
        <x:v>46934</x:v>
      </x:c>
      <x:c r="E211" s="42" t="str">
        <x:v>Lateral-esquerdo</x:v>
      </x:c>
      <x:c r="F211" s="42" t="str">
        <x:v>Chelsea FC</x:v>
      </x:c>
      <x:c r="G211" s="46"/>
      <x:c r="H211" s="46"/>
      <x:c r="I211" s="46"/>
      <x:c r="J211" s="46"/>
      <x:c r="K211" s="46" t="str">
        <x:f>IF(COUNT(G211,I211)=0,"",AVERAGE(G211,I211))</x:f>
      </x:c>
      <x:c r="L211" s="46" t="str">
        <x:f>IF(COUNT(H211,J211)=0,"",AVERAGE(H211,J211))</x:f>
      </x:c>
      <x:c r="M211" s="46" t="str">
        <x:f>IF(OR(K211="",L211=""),"",L211-K211)</x:f>
      </x:c>
      <x:c r="N211" s="46" t="str">
        <x:f>IF(OR(K211="",A210&lt;&gt;A211,K210=""),"",K211-K210)</x:f>
      </x:c>
      <x:c r="O211" s="42" t="str">
        <x:v>Sem informação</x:v>
      </x:c>
      <x:c r="P211" s="42"/>
      <x:c r="Q211" s="42" t="str"/>
      <x:c r="R211" s="42" t="str"/>
      <x:c r="S211" s="42" t="str"/>
      <x:c r="T211" s="42" t="str"/>
    </x:row>
    <x:row r="212">
      <x:c r="A212" s="42" t="str">
        <x:v>Denner</x:v>
      </x:c>
      <x:c r="B212" s="42" t="n">
        <x:v>2028</x:v>
      </x:c>
      <x:c r="C212" s="42" t="str">
        <x:v>T3</x:v>
      </x:c>
      <x:c r="D212" s="44" t="n">
        <x:v>47026</x:v>
      </x:c>
      <x:c r="E212" s="42" t="str">
        <x:v>Lateral-esquerdo</x:v>
      </x:c>
      <x:c r="F212" s="42" t="str">
        <x:v>Chelsea FC</x:v>
      </x:c>
      <x:c r="G212" s="46"/>
      <x:c r="H212" s="46"/>
      <x:c r="I212" s="46"/>
      <x:c r="J212" s="46"/>
      <x:c r="K212" s="46" t="str">
        <x:f>IF(COUNT(G212,I212)=0,"",AVERAGE(G212,I212))</x:f>
      </x:c>
      <x:c r="L212" s="46" t="str">
        <x:f>IF(COUNT(H212,J212)=0,"",AVERAGE(H212,J212))</x:f>
      </x:c>
      <x:c r="M212" s="46" t="str">
        <x:f>IF(OR(K212="",L212=""),"",L212-K212)</x:f>
      </x:c>
      <x:c r="N212" s="46" t="str">
        <x:f>IF(OR(K212="",A211&lt;&gt;A212,K211=""),"",K212-K211)</x:f>
      </x:c>
      <x:c r="O212" s="42" t="str">
        <x:v>Sem informação</x:v>
      </x:c>
      <x:c r="P212" s="42"/>
      <x:c r="Q212" s="42" t="str"/>
      <x:c r="R212" s="42" t="str"/>
      <x:c r="S212" s="42" t="str"/>
      <x:c r="T212" s="42" t="str"/>
    </x:row>
    <x:row r="213">
      <x:c r="A213" s="42" t="str">
        <x:v>Denner</x:v>
      </x:c>
      <x:c r="B213" s="42" t="n">
        <x:v>2028</x:v>
      </x:c>
      <x:c r="C213" s="42" t="str">
        <x:v>T4</x:v>
      </x:c>
      <x:c r="D213" s="44" t="n">
        <x:v>47118</x:v>
      </x:c>
      <x:c r="E213" s="42" t="str">
        <x:v>Lateral-esquerdo</x:v>
      </x:c>
      <x:c r="F213" s="42" t="str">
        <x:v>Chelsea FC</x:v>
      </x:c>
      <x:c r="G213" s="46"/>
      <x:c r="H213" s="46"/>
      <x:c r="I213" s="46"/>
      <x:c r="J213" s="46"/>
      <x:c r="K213" s="46" t="str">
        <x:f>IF(COUNT(G213,I213)=0,"",AVERAGE(G213,I213))</x:f>
      </x:c>
      <x:c r="L213" s="46" t="str">
        <x:f>IF(COUNT(H213,J213)=0,"",AVERAGE(H213,J213))</x:f>
      </x:c>
      <x:c r="M213" s="46" t="str">
        <x:f>IF(OR(K213="",L213=""),"",L213-K213)</x:f>
      </x:c>
      <x:c r="N213" s="46" t="str">
        <x:f>IF(OR(K213="",A212&lt;&gt;A213,K212=""),"",K213-K212)</x:f>
      </x:c>
      <x:c r="O213" s="42" t="str">
        <x:v>Sem informação</x:v>
      </x:c>
      <x:c r="P213" s="42"/>
      <x:c r="Q213" s="42" t="str"/>
      <x:c r="R213" s="42" t="str"/>
      <x:c r="S213" s="42" t="str"/>
      <x:c r="T213" s="42" t="str"/>
    </x:row>
    <x:row r="214">
      <x:c r="A214" s="42" t="str">
        <x:v>Denner</x:v>
      </x:c>
      <x:c r="B214" s="42" t="n">
        <x:v>2029</x:v>
      </x:c>
      <x:c r="C214" s="42" t="str">
        <x:v>T1</x:v>
      </x:c>
      <x:c r="D214" s="44" t="n">
        <x:v>47208</x:v>
      </x:c>
      <x:c r="E214" s="42" t="str">
        <x:v>Lateral-esquerdo</x:v>
      </x:c>
      <x:c r="F214" s="42" t="str">
        <x:v>Chelsea FC</x:v>
      </x:c>
      <x:c r="G214" s="46"/>
      <x:c r="H214" s="46"/>
      <x:c r="I214" s="46"/>
      <x:c r="J214" s="46"/>
      <x:c r="K214" s="46" t="str">
        <x:f>IF(COUNT(G214,I214)=0,"",AVERAGE(G214,I214))</x:f>
      </x:c>
      <x:c r="L214" s="46" t="str">
        <x:f>IF(COUNT(H214,J214)=0,"",AVERAGE(H214,J214))</x:f>
      </x:c>
      <x:c r="M214" s="46" t="str">
        <x:f>IF(OR(K214="",L214=""),"",L214-K214)</x:f>
      </x:c>
      <x:c r="N214" s="46" t="str">
        <x:f>IF(OR(K214="",A213&lt;&gt;A214,K213=""),"",K214-K213)</x:f>
      </x:c>
      <x:c r="O214" s="42" t="str">
        <x:v>Sem informação</x:v>
      </x:c>
      <x:c r="P214" s="42"/>
      <x:c r="Q214" s="42" t="str"/>
      <x:c r="R214" s="42" t="str"/>
      <x:c r="S214" s="42" t="str"/>
      <x:c r="T214" s="42" t="str"/>
    </x:row>
    <x:row r="215">
      <x:c r="A215" s="42" t="str">
        <x:v>Denner</x:v>
      </x:c>
      <x:c r="B215" s="42" t="n">
        <x:v>2029</x:v>
      </x:c>
      <x:c r="C215" s="42" t="str">
        <x:v>T2</x:v>
      </x:c>
      <x:c r="D215" s="44" t="n">
        <x:v>47299</x:v>
      </x:c>
      <x:c r="E215" s="42" t="str">
        <x:v>Lateral-esquerdo</x:v>
      </x:c>
      <x:c r="F215" s="42" t="str">
        <x:v>Chelsea FC</x:v>
      </x:c>
      <x:c r="G215" s="46"/>
      <x:c r="H215" s="46"/>
      <x:c r="I215" s="46"/>
      <x:c r="J215" s="46"/>
      <x:c r="K215" s="46" t="str">
        <x:f>IF(COUNT(G215,I215)=0,"",AVERAGE(G215,I215))</x:f>
      </x:c>
      <x:c r="L215" s="46" t="str">
        <x:f>IF(COUNT(H215,J215)=0,"",AVERAGE(H215,J215))</x:f>
      </x:c>
      <x:c r="M215" s="46" t="str">
        <x:f>IF(OR(K215="",L215=""),"",L215-K215)</x:f>
      </x:c>
      <x:c r="N215" s="46" t="str">
        <x:f>IF(OR(K215="",A214&lt;&gt;A215,K214=""),"",K215-K214)</x:f>
      </x:c>
      <x:c r="O215" s="42" t="str">
        <x:v>Sem informação</x:v>
      </x:c>
      <x:c r="P215" s="42"/>
      <x:c r="Q215" s="42" t="str"/>
      <x:c r="R215" s="42" t="str"/>
      <x:c r="S215" s="42" t="str"/>
      <x:c r="T215" s="42" t="str"/>
    </x:row>
    <x:row r="216">
      <x:c r="A216" s="42" t="str">
        <x:v>Denner</x:v>
      </x:c>
      <x:c r="B216" s="42" t="n">
        <x:v>2029</x:v>
      </x:c>
      <x:c r="C216" s="42" t="str">
        <x:v>T3</x:v>
      </x:c>
      <x:c r="D216" s="44" t="n">
        <x:v>47391</x:v>
      </x:c>
      <x:c r="E216" s="42" t="str">
        <x:v>Lateral-esquerdo</x:v>
      </x:c>
      <x:c r="F216" s="42" t="str">
        <x:v>Chelsea FC</x:v>
      </x:c>
      <x:c r="G216" s="46"/>
      <x:c r="H216" s="46"/>
      <x:c r="I216" s="46"/>
      <x:c r="J216" s="46"/>
      <x:c r="K216" s="46" t="str">
        <x:f>IF(COUNT(G216,I216)=0,"",AVERAGE(G216,I216))</x:f>
      </x:c>
      <x:c r="L216" s="46" t="str">
        <x:f>IF(COUNT(H216,J216)=0,"",AVERAGE(H216,J216))</x:f>
      </x:c>
      <x:c r="M216" s="46" t="str">
        <x:f>IF(OR(K216="",L216=""),"",L216-K216)</x:f>
      </x:c>
      <x:c r="N216" s="46" t="str">
        <x:f>IF(OR(K216="",A215&lt;&gt;A216,K215=""),"",K216-K215)</x:f>
      </x:c>
      <x:c r="O216" s="42" t="str">
        <x:v>Sem informação</x:v>
      </x:c>
      <x:c r="P216" s="42"/>
      <x:c r="Q216" s="42" t="str"/>
      <x:c r="R216" s="42" t="str"/>
      <x:c r="S216" s="42" t="str"/>
      <x:c r="T216" s="42" t="str"/>
    </x:row>
    <x:row r="217">
      <x:c r="A217" s="42" t="str">
        <x:v>Denner</x:v>
      </x:c>
      <x:c r="B217" s="42" t="n">
        <x:v>2029</x:v>
      </x:c>
      <x:c r="C217" s="42" t="str">
        <x:v>T4</x:v>
      </x:c>
      <x:c r="D217" s="44" t="n">
        <x:v>47483</x:v>
      </x:c>
      <x:c r="E217" s="42" t="str">
        <x:v>Lateral-esquerdo</x:v>
      </x:c>
      <x:c r="F217" s="42" t="str">
        <x:v>Chelsea FC</x:v>
      </x:c>
      <x:c r="G217" s="46"/>
      <x:c r="H217" s="46"/>
      <x:c r="I217" s="46"/>
      <x:c r="J217" s="46"/>
      <x:c r="K217" s="46" t="str">
        <x:f>IF(COUNT(G217,I217)=0,"",AVERAGE(G217,I217))</x:f>
      </x:c>
      <x:c r="L217" s="46" t="str">
        <x:f>IF(COUNT(H217,J217)=0,"",AVERAGE(H217,J217))</x:f>
      </x:c>
      <x:c r="M217" s="46" t="str">
        <x:f>IF(OR(K217="",L217=""),"",L217-K217)</x:f>
      </x:c>
      <x:c r="N217" s="46" t="str">
        <x:f>IF(OR(K217="",A216&lt;&gt;A217,K216=""),"",K217-K216)</x:f>
      </x:c>
      <x:c r="O217" s="42" t="str">
        <x:v>Sem informação</x:v>
      </x:c>
      <x:c r="P217" s="42"/>
      <x:c r="Q217" s="42" t="str"/>
      <x:c r="R217" s="42" t="str"/>
      <x:c r="S217" s="42" t="str"/>
      <x:c r="T217" s="42" t="str"/>
    </x:row>
    <x:row r="218">
      <x:c r="A218" s="42" t="str">
        <x:v>Denner</x:v>
      </x:c>
      <x:c r="B218" s="42" t="n">
        <x:v>2030</x:v>
      </x:c>
      <x:c r="C218" s="42" t="str">
        <x:v>T1</x:v>
      </x:c>
      <x:c r="D218" s="44" t="n">
        <x:v>47573</x:v>
      </x:c>
      <x:c r="E218" s="42" t="str">
        <x:v>Lateral-esquerdo</x:v>
      </x:c>
      <x:c r="F218" s="42" t="str">
        <x:v>Chelsea FC</x:v>
      </x:c>
      <x:c r="G218" s="46"/>
      <x:c r="H218" s="46"/>
      <x:c r="I218" s="46"/>
      <x:c r="J218" s="46"/>
      <x:c r="K218" s="46" t="str">
        <x:f>IF(COUNT(G218,I218)=0,"",AVERAGE(G218,I218))</x:f>
      </x:c>
      <x:c r="L218" s="46" t="str">
        <x:f>IF(COUNT(H218,J218)=0,"",AVERAGE(H218,J218))</x:f>
      </x:c>
      <x:c r="M218" s="46" t="str">
        <x:f>IF(OR(K218="",L218=""),"",L218-K218)</x:f>
      </x:c>
      <x:c r="N218" s="46" t="str">
        <x:f>IF(OR(K218="",A217&lt;&gt;A218,K217=""),"",K218-K217)</x:f>
      </x:c>
      <x:c r="O218" s="42" t="str">
        <x:v>Sem informação</x:v>
      </x:c>
      <x:c r="P218" s="42"/>
      <x:c r="Q218" s="42" t="str"/>
      <x:c r="R218" s="42" t="str"/>
      <x:c r="S218" s="42" t="str"/>
      <x:c r="T218" s="42" t="str"/>
    </x:row>
    <x:row r="219">
      <x:c r="A219" s="42" t="str">
        <x:v>Denner</x:v>
      </x:c>
      <x:c r="B219" s="42" t="n">
        <x:v>2030</x:v>
      </x:c>
      <x:c r="C219" s="42" t="str">
        <x:v>T2</x:v>
      </x:c>
      <x:c r="D219" s="44" t="n">
        <x:v>47664</x:v>
      </x:c>
      <x:c r="E219" s="42" t="str">
        <x:v>Lateral-esquerdo</x:v>
      </x:c>
      <x:c r="F219" s="42" t="str">
        <x:v>Chelsea FC</x:v>
      </x:c>
      <x:c r="G219" s="46"/>
      <x:c r="H219" s="46"/>
      <x:c r="I219" s="46"/>
      <x:c r="J219" s="46"/>
      <x:c r="K219" s="46" t="str">
        <x:f>IF(COUNT(G219,I219)=0,"",AVERAGE(G219,I219))</x:f>
      </x:c>
      <x:c r="L219" s="46" t="str">
        <x:f>IF(COUNT(H219,J219)=0,"",AVERAGE(H219,J219))</x:f>
      </x:c>
      <x:c r="M219" s="46" t="str">
        <x:f>IF(OR(K219="",L219=""),"",L219-K219)</x:f>
      </x:c>
      <x:c r="N219" s="46" t="str">
        <x:f>IF(OR(K219="",A218&lt;&gt;A219,K218=""),"",K219-K218)</x:f>
      </x:c>
      <x:c r="O219" s="42" t="str">
        <x:v>Sem informação</x:v>
      </x:c>
      <x:c r="P219" s="42"/>
      <x:c r="Q219" s="42" t="str"/>
      <x:c r="R219" s="42" t="str"/>
      <x:c r="S219" s="42" t="str"/>
      <x:c r="T219" s="42" t="str"/>
    </x:row>
    <x:row r="220">
      <x:c r="A220" s="42" t="str">
        <x:v>Denner</x:v>
      </x:c>
      <x:c r="B220" s="42" t="n">
        <x:v>2030</x:v>
      </x:c>
      <x:c r="C220" s="42" t="str">
        <x:v>T3</x:v>
      </x:c>
      <x:c r="D220" s="44" t="n">
        <x:v>47756</x:v>
      </x:c>
      <x:c r="E220" s="42" t="str">
        <x:v>Lateral-esquerdo</x:v>
      </x:c>
      <x:c r="F220" s="42" t="str">
        <x:v>Chelsea FC</x:v>
      </x:c>
      <x:c r="G220" s="46"/>
      <x:c r="H220" s="46"/>
      <x:c r="I220" s="46"/>
      <x:c r="J220" s="46"/>
      <x:c r="K220" s="46" t="str">
        <x:f>IF(COUNT(G220,I220)=0,"",AVERAGE(G220,I220))</x:f>
      </x:c>
      <x:c r="L220" s="46" t="str">
        <x:f>IF(COUNT(H220,J220)=0,"",AVERAGE(H220,J220))</x:f>
      </x:c>
      <x:c r="M220" s="46" t="str">
        <x:f>IF(OR(K220="",L220=""),"",L220-K220)</x:f>
      </x:c>
      <x:c r="N220" s="46" t="str">
        <x:f>IF(OR(K220="",A219&lt;&gt;A220,K219=""),"",K220-K219)</x:f>
      </x:c>
      <x:c r="O220" s="42" t="str">
        <x:v>Sem informação</x:v>
      </x:c>
      <x:c r="P220" s="42"/>
      <x:c r="Q220" s="42" t="str"/>
      <x:c r="R220" s="42" t="str"/>
      <x:c r="S220" s="42" t="str"/>
      <x:c r="T220" s="42" t="str"/>
    </x:row>
    <x:row r="221">
      <x:c r="A221" s="42" t="str">
        <x:v>Denner</x:v>
      </x:c>
      <x:c r="B221" s="42" t="n">
        <x:v>2030</x:v>
      </x:c>
      <x:c r="C221" s="42" t="str">
        <x:v>T4</x:v>
      </x:c>
      <x:c r="D221" s="44" t="n">
        <x:v>47848</x:v>
      </x:c>
      <x:c r="E221" s="42" t="str">
        <x:v>Lateral-esquerdo</x:v>
      </x:c>
      <x:c r="F221" s="42" t="str">
        <x:v>Chelsea FC</x:v>
      </x:c>
      <x:c r="G221" s="46"/>
      <x:c r="H221" s="46"/>
      <x:c r="I221" s="46"/>
      <x:c r="J221" s="46"/>
      <x:c r="K221" s="46" t="str">
        <x:f>IF(COUNT(G221,I221)=0,"",AVERAGE(G221,I221))</x:f>
      </x:c>
      <x:c r="L221" s="46" t="str">
        <x:f>IF(COUNT(H221,J221)=0,"",AVERAGE(H221,J221))</x:f>
      </x:c>
      <x:c r="M221" s="46" t="str">
        <x:f>IF(OR(K221="",L221=""),"",L221-K221)</x:f>
      </x:c>
      <x:c r="N221" s="46" t="str">
        <x:f>IF(OR(K221="",A220&lt;&gt;A221,K220=""),"",K221-K220)</x:f>
      </x:c>
      <x:c r="O221" s="42" t="str">
        <x:v>Sem informação</x:v>
      </x:c>
      <x:c r="P221" s="42"/>
      <x:c r="Q221" s="42" t="str"/>
      <x:c r="R221" s="42" t="str"/>
      <x:c r="S221" s="42" t="str"/>
      <x:c r="T221" s="42" t="str"/>
    </x:row>
    <x:row r="222">
      <x:c r="A222" s="42" t="str">
        <x:v>Diego Callai</x:v>
      </x:c>
      <x:c r="B222" s="42" t="n">
        <x:v>2026</x:v>
      </x:c>
      <x:c r="C222" s="42" t="str">
        <x:v>T1</x:v>
      </x:c>
      <x:c r="D222" s="44" t="n">
        <x:v>46112</x:v>
      </x:c>
      <x:c r="E222" s="42" t="str">
        <x:v>Goleiro</x:v>
      </x:c>
      <x:c r="F222" s="42" t="str">
        <x:v>Sporting CP B</x:v>
      </x:c>
      <x:c r="G222" s="46"/>
      <x:c r="H222" s="46"/>
      <x:c r="I222" s="46"/>
      <x:c r="J222" s="46"/>
      <x:c r="K222" s="46" t="str">
        <x:f>IF(COUNT(G222,I222)=0,"",AVERAGE(G222,I222))</x:f>
      </x:c>
      <x:c r="L222" s="46" t="str">
        <x:f>IF(COUNT(H222,J222)=0,"",AVERAGE(H222,J222))</x:f>
      </x:c>
      <x:c r="M222" s="46" t="str">
        <x:f>IF(OR(K222="",L222=""),"",L222-K222)</x:f>
      </x:c>
      <x:c r="N222" s="46" t="str">
        <x:f>IF(OR(K222="",A221&lt;&gt;A222,K221=""),"",K222-K221)</x:f>
      </x:c>
      <x:c r="O222" s="42" t="str">
        <x:v>Sem informação</x:v>
      </x:c>
      <x:c r="P222" s="42"/>
      <x:c r="Q222" s="42" t="str"/>
      <x:c r="R222" s="42" t="str"/>
      <x:c r="S222" s="42" t="str"/>
      <x:c r="T222" s="42" t="str"/>
    </x:row>
    <x:row r="223">
      <x:c r="A223" s="42" t="str">
        <x:v>Diego Callai</x:v>
      </x:c>
      <x:c r="B223" s="42" t="n">
        <x:v>2026</x:v>
      </x:c>
      <x:c r="C223" s="42" t="str">
        <x:v>T2</x:v>
      </x:c>
      <x:c r="D223" s="44" t="n">
        <x:v>46203</x:v>
      </x:c>
      <x:c r="E223" s="42" t="str">
        <x:v>Goleiro</x:v>
      </x:c>
      <x:c r="F223" s="42" t="str">
        <x:v>Sporting CP B</x:v>
      </x:c>
      <x:c r="G223" s="46"/>
      <x:c r="H223" s="46"/>
      <x:c r="I223" s="46"/>
      <x:c r="J223" s="46"/>
      <x:c r="K223" s="46" t="str">
        <x:f>IF(COUNT(G223,I223)=0,"",AVERAGE(G223,I223))</x:f>
      </x:c>
      <x:c r="L223" s="46" t="str">
        <x:f>IF(COUNT(H223,J223)=0,"",AVERAGE(H223,J223))</x:f>
      </x:c>
      <x:c r="M223" s="46" t="str">
        <x:f>IF(OR(K223="",L223=""),"",L223-K223)</x:f>
      </x:c>
      <x:c r="N223" s="46" t="str">
        <x:f>IF(OR(K223="",A222&lt;&gt;A223,K222=""),"",K223-K222)</x:f>
      </x:c>
      <x:c r="O223" s="42" t="str">
        <x:v>Sem informação</x:v>
      </x:c>
      <x:c r="P223" s="42"/>
      <x:c r="Q223" s="42" t="str"/>
      <x:c r="R223" s="42" t="str"/>
      <x:c r="S223" s="42" t="str"/>
      <x:c r="T223" s="42" t="str"/>
    </x:row>
    <x:row r="224">
      <x:c r="A224" s="42" t="str">
        <x:v>Diego Callai</x:v>
      </x:c>
      <x:c r="B224" s="42" t="n">
        <x:v>2026</x:v>
      </x:c>
      <x:c r="C224" s="42" t="str">
        <x:v>T3</x:v>
      </x:c>
      <x:c r="D224" s="44" t="n">
        <x:v>46295</x:v>
      </x:c>
      <x:c r="E224" s="42" t="str">
        <x:v>Goleiro</x:v>
      </x:c>
      <x:c r="F224" s="42" t="str">
        <x:v>Sporting CP B</x:v>
      </x:c>
      <x:c r="G224" s="46"/>
      <x:c r="H224" s="46"/>
      <x:c r="I224" s="46"/>
      <x:c r="J224" s="46"/>
      <x:c r="K224" s="46" t="str">
        <x:f>IF(COUNT(G224,I224)=0,"",AVERAGE(G224,I224))</x:f>
      </x:c>
      <x:c r="L224" s="46" t="str">
        <x:f>IF(COUNT(H224,J224)=0,"",AVERAGE(H224,J224))</x:f>
      </x:c>
      <x:c r="M224" s="46" t="str">
        <x:f>IF(OR(K224="",L224=""),"",L224-K224)</x:f>
      </x:c>
      <x:c r="N224" s="46" t="str">
        <x:f>IF(OR(K224="",A223&lt;&gt;A224,K223=""),"",K224-K223)</x:f>
      </x:c>
      <x:c r="O224" s="42" t="str">
        <x:v>Sem informação</x:v>
      </x:c>
      <x:c r="P224" s="42"/>
      <x:c r="Q224" s="42" t="str"/>
      <x:c r="R224" s="42" t="str"/>
      <x:c r="S224" s="42" t="str"/>
      <x:c r="T224" s="42" t="str"/>
    </x:row>
    <x:row r="225">
      <x:c r="A225" s="42" t="str">
        <x:v>Diego Callai</x:v>
      </x:c>
      <x:c r="B225" s="42" t="n">
        <x:v>2026</x:v>
      </x:c>
      <x:c r="C225" s="42" t="str">
        <x:v>T4</x:v>
      </x:c>
      <x:c r="D225" s="44" t="n">
        <x:v>46387</x:v>
      </x:c>
      <x:c r="E225" s="42" t="str">
        <x:v>Goleiro</x:v>
      </x:c>
      <x:c r="F225" s="42" t="str">
        <x:v>Sporting CP B</x:v>
      </x:c>
      <x:c r="G225" s="46"/>
      <x:c r="H225" s="46"/>
      <x:c r="I225" s="46"/>
      <x:c r="J225" s="46"/>
      <x:c r="K225" s="46" t="str">
        <x:f>IF(COUNT(G225,I225)=0,"",AVERAGE(G225,I225))</x:f>
      </x:c>
      <x:c r="L225" s="46" t="str">
        <x:f>IF(COUNT(H225,J225)=0,"",AVERAGE(H225,J225))</x:f>
      </x:c>
      <x:c r="M225" s="46" t="str">
        <x:f>IF(OR(K225="",L225=""),"",L225-K225)</x:f>
      </x:c>
      <x:c r="N225" s="46" t="str">
        <x:f>IF(OR(K225="",A224&lt;&gt;A225,K224=""),"",K225-K224)</x:f>
      </x:c>
      <x:c r="O225" s="42" t="str">
        <x:v>Sem informação</x:v>
      </x:c>
      <x:c r="P225" s="42"/>
      <x:c r="Q225" s="42" t="str"/>
      <x:c r="R225" s="42" t="str"/>
      <x:c r="S225" s="42" t="str"/>
      <x:c r="T225" s="42" t="str"/>
    </x:row>
    <x:row r="226">
      <x:c r="A226" s="42" t="str">
        <x:v>Diego Callai</x:v>
      </x:c>
      <x:c r="B226" s="42" t="n">
        <x:v>2027</x:v>
      </x:c>
      <x:c r="C226" s="42" t="str">
        <x:v>T1</x:v>
      </x:c>
      <x:c r="D226" s="44" t="n">
        <x:v>46477</x:v>
      </x:c>
      <x:c r="E226" s="42" t="str">
        <x:v>Goleiro</x:v>
      </x:c>
      <x:c r="F226" s="42" t="str">
        <x:v>Sporting CP B</x:v>
      </x:c>
      <x:c r="G226" s="46"/>
      <x:c r="H226" s="46"/>
      <x:c r="I226" s="46"/>
      <x:c r="J226" s="46"/>
      <x:c r="K226" s="46" t="str">
        <x:f>IF(COUNT(G226,I226)=0,"",AVERAGE(G226,I226))</x:f>
      </x:c>
      <x:c r="L226" s="46" t="str">
        <x:f>IF(COUNT(H226,J226)=0,"",AVERAGE(H226,J226))</x:f>
      </x:c>
      <x:c r="M226" s="46" t="str">
        <x:f>IF(OR(K226="",L226=""),"",L226-K226)</x:f>
      </x:c>
      <x:c r="N226" s="46" t="str">
        <x:f>IF(OR(K226="",A225&lt;&gt;A226,K225=""),"",K226-K225)</x:f>
      </x:c>
      <x:c r="O226" s="42" t="str">
        <x:v>Sem informação</x:v>
      </x:c>
      <x:c r="P226" s="42"/>
      <x:c r="Q226" s="42" t="str"/>
      <x:c r="R226" s="42" t="str"/>
      <x:c r="S226" s="42" t="str"/>
      <x:c r="T226" s="42" t="str"/>
    </x:row>
    <x:row r="227">
      <x:c r="A227" s="42" t="str">
        <x:v>Diego Callai</x:v>
      </x:c>
      <x:c r="B227" s="42" t="n">
        <x:v>2027</x:v>
      </x:c>
      <x:c r="C227" s="42" t="str">
        <x:v>T2</x:v>
      </x:c>
      <x:c r="D227" s="44" t="n">
        <x:v>46568</x:v>
      </x:c>
      <x:c r="E227" s="42" t="str">
        <x:v>Goleiro</x:v>
      </x:c>
      <x:c r="F227" s="42" t="str">
        <x:v>Sporting CP B</x:v>
      </x:c>
      <x:c r="G227" s="46"/>
      <x:c r="H227" s="46"/>
      <x:c r="I227" s="46"/>
      <x:c r="J227" s="46"/>
      <x:c r="K227" s="46" t="str">
        <x:f>IF(COUNT(G227,I227)=0,"",AVERAGE(G227,I227))</x:f>
      </x:c>
      <x:c r="L227" s="46" t="str">
        <x:f>IF(COUNT(H227,J227)=0,"",AVERAGE(H227,J227))</x:f>
      </x:c>
      <x:c r="M227" s="46" t="str">
        <x:f>IF(OR(K227="",L227=""),"",L227-K227)</x:f>
      </x:c>
      <x:c r="N227" s="46" t="str">
        <x:f>IF(OR(K227="",A226&lt;&gt;A227,K226=""),"",K227-K226)</x:f>
      </x:c>
      <x:c r="O227" s="42" t="str">
        <x:v>Sem informação</x:v>
      </x:c>
      <x:c r="P227" s="42"/>
      <x:c r="Q227" s="42" t="str"/>
      <x:c r="R227" s="42" t="str"/>
      <x:c r="S227" s="42" t="str"/>
      <x:c r="T227" s="42" t="str"/>
    </x:row>
    <x:row r="228">
      <x:c r="A228" s="42" t="str">
        <x:v>Diego Callai</x:v>
      </x:c>
      <x:c r="B228" s="42" t="n">
        <x:v>2027</x:v>
      </x:c>
      <x:c r="C228" s="42" t="str">
        <x:v>T3</x:v>
      </x:c>
      <x:c r="D228" s="44" t="n">
        <x:v>46660</x:v>
      </x:c>
      <x:c r="E228" s="42" t="str">
        <x:v>Goleiro</x:v>
      </x:c>
      <x:c r="F228" s="42" t="str">
        <x:v>Sporting CP B</x:v>
      </x:c>
      <x:c r="G228" s="46"/>
      <x:c r="H228" s="46"/>
      <x:c r="I228" s="46"/>
      <x:c r="J228" s="46"/>
      <x:c r="K228" s="46" t="str">
        <x:f>IF(COUNT(G228,I228)=0,"",AVERAGE(G228,I228))</x:f>
      </x:c>
      <x:c r="L228" s="46" t="str">
        <x:f>IF(COUNT(H228,J228)=0,"",AVERAGE(H228,J228))</x:f>
      </x:c>
      <x:c r="M228" s="46" t="str">
        <x:f>IF(OR(K228="",L228=""),"",L228-K228)</x:f>
      </x:c>
      <x:c r="N228" s="46" t="str">
        <x:f>IF(OR(K228="",A227&lt;&gt;A228,K227=""),"",K228-K227)</x:f>
      </x:c>
      <x:c r="O228" s="42" t="str">
        <x:v>Sem informação</x:v>
      </x:c>
      <x:c r="P228" s="42"/>
      <x:c r="Q228" s="42" t="str"/>
      <x:c r="R228" s="42" t="str"/>
      <x:c r="S228" s="42" t="str"/>
      <x:c r="T228" s="42" t="str"/>
    </x:row>
    <x:row r="229">
      <x:c r="A229" s="42" t="str">
        <x:v>Diego Callai</x:v>
      </x:c>
      <x:c r="B229" s="42" t="n">
        <x:v>2027</x:v>
      </x:c>
      <x:c r="C229" s="42" t="str">
        <x:v>T4</x:v>
      </x:c>
      <x:c r="D229" s="44" t="n">
        <x:v>46752</x:v>
      </x:c>
      <x:c r="E229" s="42" t="str">
        <x:v>Goleiro</x:v>
      </x:c>
      <x:c r="F229" s="42" t="str">
        <x:v>Sporting CP B</x:v>
      </x:c>
      <x:c r="G229" s="46"/>
      <x:c r="H229" s="46"/>
      <x:c r="I229" s="46"/>
      <x:c r="J229" s="46"/>
      <x:c r="K229" s="46" t="str">
        <x:f>IF(COUNT(G229,I229)=0,"",AVERAGE(G229,I229))</x:f>
      </x:c>
      <x:c r="L229" s="46" t="str">
        <x:f>IF(COUNT(H229,J229)=0,"",AVERAGE(H229,J229))</x:f>
      </x:c>
      <x:c r="M229" s="46" t="str">
        <x:f>IF(OR(K229="",L229=""),"",L229-K229)</x:f>
      </x:c>
      <x:c r="N229" s="46" t="str">
        <x:f>IF(OR(K229="",A228&lt;&gt;A229,K228=""),"",K229-K228)</x:f>
      </x:c>
      <x:c r="O229" s="42" t="str">
        <x:v>Sem informação</x:v>
      </x:c>
      <x:c r="P229" s="42"/>
      <x:c r="Q229" s="42" t="str"/>
      <x:c r="R229" s="42" t="str"/>
      <x:c r="S229" s="42" t="str"/>
      <x:c r="T229" s="42" t="str"/>
    </x:row>
    <x:row r="230">
      <x:c r="A230" s="42" t="str">
        <x:v>Diego Callai</x:v>
      </x:c>
      <x:c r="B230" s="42" t="n">
        <x:v>2028</x:v>
      </x:c>
      <x:c r="C230" s="42" t="str">
        <x:v>T1</x:v>
      </x:c>
      <x:c r="D230" s="44" t="n">
        <x:v>46843</x:v>
      </x:c>
      <x:c r="E230" s="42" t="str">
        <x:v>Goleiro</x:v>
      </x:c>
      <x:c r="F230" s="42" t="str">
        <x:v>Sporting CP B</x:v>
      </x:c>
      <x:c r="G230" s="46"/>
      <x:c r="H230" s="46"/>
      <x:c r="I230" s="46"/>
      <x:c r="J230" s="46"/>
      <x:c r="K230" s="46" t="str">
        <x:f>IF(COUNT(G230,I230)=0,"",AVERAGE(G230,I230))</x:f>
      </x:c>
      <x:c r="L230" s="46" t="str">
        <x:f>IF(COUNT(H230,J230)=0,"",AVERAGE(H230,J230))</x:f>
      </x:c>
      <x:c r="M230" s="46" t="str">
        <x:f>IF(OR(K230="",L230=""),"",L230-K230)</x:f>
      </x:c>
      <x:c r="N230" s="46" t="str">
        <x:f>IF(OR(K230="",A229&lt;&gt;A230,K229=""),"",K230-K229)</x:f>
      </x:c>
      <x:c r="O230" s="42" t="str">
        <x:v>Sem informação</x:v>
      </x:c>
      <x:c r="P230" s="42"/>
      <x:c r="Q230" s="42" t="str"/>
      <x:c r="R230" s="42" t="str"/>
      <x:c r="S230" s="42" t="str"/>
      <x:c r="T230" s="42" t="str"/>
    </x:row>
    <x:row r="231">
      <x:c r="A231" s="42" t="str">
        <x:v>Diego Callai</x:v>
      </x:c>
      <x:c r="B231" s="42" t="n">
        <x:v>2028</x:v>
      </x:c>
      <x:c r="C231" s="42" t="str">
        <x:v>T2</x:v>
      </x:c>
      <x:c r="D231" s="44" t="n">
        <x:v>46934</x:v>
      </x:c>
      <x:c r="E231" s="42" t="str">
        <x:v>Goleiro</x:v>
      </x:c>
      <x:c r="F231" s="42" t="str">
        <x:v>Sporting CP B</x:v>
      </x:c>
      <x:c r="G231" s="46"/>
      <x:c r="H231" s="46"/>
      <x:c r="I231" s="46"/>
      <x:c r="J231" s="46"/>
      <x:c r="K231" s="46" t="str">
        <x:f>IF(COUNT(G231,I231)=0,"",AVERAGE(G231,I231))</x:f>
      </x:c>
      <x:c r="L231" s="46" t="str">
        <x:f>IF(COUNT(H231,J231)=0,"",AVERAGE(H231,J231))</x:f>
      </x:c>
      <x:c r="M231" s="46" t="str">
        <x:f>IF(OR(K231="",L231=""),"",L231-K231)</x:f>
      </x:c>
      <x:c r="N231" s="46" t="str">
        <x:f>IF(OR(K231="",A230&lt;&gt;A231,K230=""),"",K231-K230)</x:f>
      </x:c>
      <x:c r="O231" s="42" t="str">
        <x:v>Sem informação</x:v>
      </x:c>
      <x:c r="P231" s="42"/>
      <x:c r="Q231" s="42" t="str"/>
      <x:c r="R231" s="42" t="str"/>
      <x:c r="S231" s="42" t="str"/>
      <x:c r="T231" s="42" t="str"/>
    </x:row>
    <x:row r="232">
      <x:c r="A232" s="42" t="str">
        <x:v>Diego Callai</x:v>
      </x:c>
      <x:c r="B232" s="42" t="n">
        <x:v>2028</x:v>
      </x:c>
      <x:c r="C232" s="42" t="str">
        <x:v>T3</x:v>
      </x:c>
      <x:c r="D232" s="44" t="n">
        <x:v>47026</x:v>
      </x:c>
      <x:c r="E232" s="42" t="str">
        <x:v>Goleiro</x:v>
      </x:c>
      <x:c r="F232" s="42" t="str">
        <x:v>Sporting CP B</x:v>
      </x:c>
      <x:c r="G232" s="46"/>
      <x:c r="H232" s="46"/>
      <x:c r="I232" s="46"/>
      <x:c r="J232" s="46"/>
      <x:c r="K232" s="46" t="str">
        <x:f>IF(COUNT(G232,I232)=0,"",AVERAGE(G232,I232))</x:f>
      </x:c>
      <x:c r="L232" s="46" t="str">
        <x:f>IF(COUNT(H232,J232)=0,"",AVERAGE(H232,J232))</x:f>
      </x:c>
      <x:c r="M232" s="46" t="str">
        <x:f>IF(OR(K232="",L232=""),"",L232-K232)</x:f>
      </x:c>
      <x:c r="N232" s="46" t="str">
        <x:f>IF(OR(K232="",A231&lt;&gt;A232,K231=""),"",K232-K231)</x:f>
      </x:c>
      <x:c r="O232" s="42" t="str">
        <x:v>Sem informação</x:v>
      </x:c>
      <x:c r="P232" s="42"/>
      <x:c r="Q232" s="42" t="str"/>
      <x:c r="R232" s="42" t="str"/>
      <x:c r="S232" s="42" t="str"/>
      <x:c r="T232" s="42" t="str"/>
    </x:row>
    <x:row r="233">
      <x:c r="A233" s="42" t="str">
        <x:v>Diego Callai</x:v>
      </x:c>
      <x:c r="B233" s="42" t="n">
        <x:v>2028</x:v>
      </x:c>
      <x:c r="C233" s="42" t="str">
        <x:v>T4</x:v>
      </x:c>
      <x:c r="D233" s="44" t="n">
        <x:v>47118</x:v>
      </x:c>
      <x:c r="E233" s="42" t="str">
        <x:v>Goleiro</x:v>
      </x:c>
      <x:c r="F233" s="42" t="str">
        <x:v>Sporting CP B</x:v>
      </x:c>
      <x:c r="G233" s="46"/>
      <x:c r="H233" s="46"/>
      <x:c r="I233" s="46"/>
      <x:c r="J233" s="46"/>
      <x:c r="K233" s="46" t="str">
        <x:f>IF(COUNT(G233,I233)=0,"",AVERAGE(G233,I233))</x:f>
      </x:c>
      <x:c r="L233" s="46" t="str">
        <x:f>IF(COUNT(H233,J233)=0,"",AVERAGE(H233,J233))</x:f>
      </x:c>
      <x:c r="M233" s="46" t="str">
        <x:f>IF(OR(K233="",L233=""),"",L233-K233)</x:f>
      </x:c>
      <x:c r="N233" s="46" t="str">
        <x:f>IF(OR(K233="",A232&lt;&gt;A233,K232=""),"",K233-K232)</x:f>
      </x:c>
      <x:c r="O233" s="42" t="str">
        <x:v>Sem informação</x:v>
      </x:c>
      <x:c r="P233" s="42"/>
      <x:c r="Q233" s="42" t="str"/>
      <x:c r="R233" s="42" t="str"/>
      <x:c r="S233" s="42" t="str"/>
      <x:c r="T233" s="42" t="str"/>
    </x:row>
    <x:row r="234">
      <x:c r="A234" s="42" t="str">
        <x:v>Diego Callai</x:v>
      </x:c>
      <x:c r="B234" s="42" t="n">
        <x:v>2029</x:v>
      </x:c>
      <x:c r="C234" s="42" t="str">
        <x:v>T1</x:v>
      </x:c>
      <x:c r="D234" s="44" t="n">
        <x:v>47208</x:v>
      </x:c>
      <x:c r="E234" s="42" t="str">
        <x:v>Goleiro</x:v>
      </x:c>
      <x:c r="F234" s="42" t="str">
        <x:v>Sporting CP B</x:v>
      </x:c>
      <x:c r="G234" s="46"/>
      <x:c r="H234" s="46"/>
      <x:c r="I234" s="46"/>
      <x:c r="J234" s="46"/>
      <x:c r="K234" s="46" t="str">
        <x:f>IF(COUNT(G234,I234)=0,"",AVERAGE(G234,I234))</x:f>
      </x:c>
      <x:c r="L234" s="46" t="str">
        <x:f>IF(COUNT(H234,J234)=0,"",AVERAGE(H234,J234))</x:f>
      </x:c>
      <x:c r="M234" s="46" t="str">
        <x:f>IF(OR(K234="",L234=""),"",L234-K234)</x:f>
      </x:c>
      <x:c r="N234" s="46" t="str">
        <x:f>IF(OR(K234="",A233&lt;&gt;A234,K233=""),"",K234-K233)</x:f>
      </x:c>
      <x:c r="O234" s="42" t="str">
        <x:v>Sem informação</x:v>
      </x:c>
      <x:c r="P234" s="42"/>
      <x:c r="Q234" s="42" t="str"/>
      <x:c r="R234" s="42" t="str"/>
      <x:c r="S234" s="42" t="str"/>
      <x:c r="T234" s="42" t="str"/>
    </x:row>
    <x:row r="235">
      <x:c r="A235" s="42" t="str">
        <x:v>Diego Callai</x:v>
      </x:c>
      <x:c r="B235" s="42" t="n">
        <x:v>2029</x:v>
      </x:c>
      <x:c r="C235" s="42" t="str">
        <x:v>T2</x:v>
      </x:c>
      <x:c r="D235" s="44" t="n">
        <x:v>47299</x:v>
      </x:c>
      <x:c r="E235" s="42" t="str">
        <x:v>Goleiro</x:v>
      </x:c>
      <x:c r="F235" s="42" t="str">
        <x:v>Sporting CP B</x:v>
      </x:c>
      <x:c r="G235" s="46"/>
      <x:c r="H235" s="46"/>
      <x:c r="I235" s="46"/>
      <x:c r="J235" s="46"/>
      <x:c r="K235" s="46" t="str">
        <x:f>IF(COUNT(G235,I235)=0,"",AVERAGE(G235,I235))</x:f>
      </x:c>
      <x:c r="L235" s="46" t="str">
        <x:f>IF(COUNT(H235,J235)=0,"",AVERAGE(H235,J235))</x:f>
      </x:c>
      <x:c r="M235" s="46" t="str">
        <x:f>IF(OR(K235="",L235=""),"",L235-K235)</x:f>
      </x:c>
      <x:c r="N235" s="46" t="str">
        <x:f>IF(OR(K235="",A234&lt;&gt;A235,K234=""),"",K235-K234)</x:f>
      </x:c>
      <x:c r="O235" s="42" t="str">
        <x:v>Sem informação</x:v>
      </x:c>
      <x:c r="P235" s="42"/>
      <x:c r="Q235" s="42" t="str"/>
      <x:c r="R235" s="42" t="str"/>
      <x:c r="S235" s="42" t="str"/>
      <x:c r="T235" s="42" t="str"/>
    </x:row>
    <x:row r="236">
      <x:c r="A236" s="42" t="str">
        <x:v>Diego Callai</x:v>
      </x:c>
      <x:c r="B236" s="42" t="n">
        <x:v>2029</x:v>
      </x:c>
      <x:c r="C236" s="42" t="str">
        <x:v>T3</x:v>
      </x:c>
      <x:c r="D236" s="44" t="n">
        <x:v>47391</x:v>
      </x:c>
      <x:c r="E236" s="42" t="str">
        <x:v>Goleiro</x:v>
      </x:c>
      <x:c r="F236" s="42" t="str">
        <x:v>Sporting CP B</x:v>
      </x:c>
      <x:c r="G236" s="46"/>
      <x:c r="H236" s="46"/>
      <x:c r="I236" s="46"/>
      <x:c r="J236" s="46"/>
      <x:c r="K236" s="46" t="str">
        <x:f>IF(COUNT(G236,I236)=0,"",AVERAGE(G236,I236))</x:f>
      </x:c>
      <x:c r="L236" s="46" t="str">
        <x:f>IF(COUNT(H236,J236)=0,"",AVERAGE(H236,J236))</x:f>
      </x:c>
      <x:c r="M236" s="46" t="str">
        <x:f>IF(OR(K236="",L236=""),"",L236-K236)</x:f>
      </x:c>
      <x:c r="N236" s="46" t="str">
        <x:f>IF(OR(K236="",A235&lt;&gt;A236,K235=""),"",K236-K235)</x:f>
      </x:c>
      <x:c r="O236" s="42" t="str">
        <x:v>Sem informação</x:v>
      </x:c>
      <x:c r="P236" s="42"/>
      <x:c r="Q236" s="42" t="str"/>
      <x:c r="R236" s="42" t="str"/>
      <x:c r="S236" s="42" t="str"/>
      <x:c r="T236" s="42" t="str"/>
    </x:row>
    <x:row r="237">
      <x:c r="A237" s="42" t="str">
        <x:v>Diego Callai</x:v>
      </x:c>
      <x:c r="B237" s="42" t="n">
        <x:v>2029</x:v>
      </x:c>
      <x:c r="C237" s="42" t="str">
        <x:v>T4</x:v>
      </x:c>
      <x:c r="D237" s="44" t="n">
        <x:v>47483</x:v>
      </x:c>
      <x:c r="E237" s="42" t="str">
        <x:v>Goleiro</x:v>
      </x:c>
      <x:c r="F237" s="42" t="str">
        <x:v>Sporting CP B</x:v>
      </x:c>
      <x:c r="G237" s="46"/>
      <x:c r="H237" s="46"/>
      <x:c r="I237" s="46"/>
      <x:c r="J237" s="46"/>
      <x:c r="K237" s="46" t="str">
        <x:f>IF(COUNT(G237,I237)=0,"",AVERAGE(G237,I237))</x:f>
      </x:c>
      <x:c r="L237" s="46" t="str">
        <x:f>IF(COUNT(H237,J237)=0,"",AVERAGE(H237,J237))</x:f>
      </x:c>
      <x:c r="M237" s="46" t="str">
        <x:f>IF(OR(K237="",L237=""),"",L237-K237)</x:f>
      </x:c>
      <x:c r="N237" s="46" t="str">
        <x:f>IF(OR(K237="",A236&lt;&gt;A237,K236=""),"",K237-K236)</x:f>
      </x:c>
      <x:c r="O237" s="42" t="str">
        <x:v>Sem informação</x:v>
      </x:c>
      <x:c r="P237" s="42"/>
      <x:c r="Q237" s="42" t="str"/>
      <x:c r="R237" s="42" t="str"/>
      <x:c r="S237" s="42" t="str"/>
      <x:c r="T237" s="42" t="str"/>
    </x:row>
    <x:row r="238">
      <x:c r="A238" s="42" t="str">
        <x:v>Diego Callai</x:v>
      </x:c>
      <x:c r="B238" s="42" t="n">
        <x:v>2030</x:v>
      </x:c>
      <x:c r="C238" s="42" t="str">
        <x:v>T1</x:v>
      </x:c>
      <x:c r="D238" s="44" t="n">
        <x:v>47573</x:v>
      </x:c>
      <x:c r="E238" s="42" t="str">
        <x:v>Goleiro</x:v>
      </x:c>
      <x:c r="F238" s="42" t="str">
        <x:v>Sporting CP B</x:v>
      </x:c>
      <x:c r="G238" s="46"/>
      <x:c r="H238" s="46"/>
      <x:c r="I238" s="46"/>
      <x:c r="J238" s="46"/>
      <x:c r="K238" s="46" t="str">
        <x:f>IF(COUNT(G238,I238)=0,"",AVERAGE(G238,I238))</x:f>
      </x:c>
      <x:c r="L238" s="46" t="str">
        <x:f>IF(COUNT(H238,J238)=0,"",AVERAGE(H238,J238))</x:f>
      </x:c>
      <x:c r="M238" s="46" t="str">
        <x:f>IF(OR(K238="",L238=""),"",L238-K238)</x:f>
      </x:c>
      <x:c r="N238" s="46" t="str">
        <x:f>IF(OR(K238="",A237&lt;&gt;A238,K237=""),"",K238-K237)</x:f>
      </x:c>
      <x:c r="O238" s="42" t="str">
        <x:v>Sem informação</x:v>
      </x:c>
      <x:c r="P238" s="42"/>
      <x:c r="Q238" s="42" t="str"/>
      <x:c r="R238" s="42" t="str"/>
      <x:c r="S238" s="42" t="str"/>
      <x:c r="T238" s="42" t="str"/>
    </x:row>
    <x:row r="239">
      <x:c r="A239" s="42" t="str">
        <x:v>Diego Callai</x:v>
      </x:c>
      <x:c r="B239" s="42" t="n">
        <x:v>2030</x:v>
      </x:c>
      <x:c r="C239" s="42" t="str">
        <x:v>T2</x:v>
      </x:c>
      <x:c r="D239" s="44" t="n">
        <x:v>47664</x:v>
      </x:c>
      <x:c r="E239" s="42" t="str">
        <x:v>Goleiro</x:v>
      </x:c>
      <x:c r="F239" s="42" t="str">
        <x:v>Sporting CP B</x:v>
      </x:c>
      <x:c r="G239" s="46"/>
      <x:c r="H239" s="46"/>
      <x:c r="I239" s="46"/>
      <x:c r="J239" s="46"/>
      <x:c r="K239" s="46" t="str">
        <x:f>IF(COUNT(G239,I239)=0,"",AVERAGE(G239,I239))</x:f>
      </x:c>
      <x:c r="L239" s="46" t="str">
        <x:f>IF(COUNT(H239,J239)=0,"",AVERAGE(H239,J239))</x:f>
      </x:c>
      <x:c r="M239" s="46" t="str">
        <x:f>IF(OR(K239="",L239=""),"",L239-K239)</x:f>
      </x:c>
      <x:c r="N239" s="46" t="str">
        <x:f>IF(OR(K239="",A238&lt;&gt;A239,K238=""),"",K239-K238)</x:f>
      </x:c>
      <x:c r="O239" s="42" t="str">
        <x:v>Sem informação</x:v>
      </x:c>
      <x:c r="P239" s="42"/>
      <x:c r="Q239" s="42" t="str"/>
      <x:c r="R239" s="42" t="str"/>
      <x:c r="S239" s="42" t="str"/>
      <x:c r="T239" s="42" t="str"/>
    </x:row>
    <x:row r="240">
      <x:c r="A240" s="42" t="str">
        <x:v>Diego Callai</x:v>
      </x:c>
      <x:c r="B240" s="42" t="n">
        <x:v>2030</x:v>
      </x:c>
      <x:c r="C240" s="42" t="str">
        <x:v>T3</x:v>
      </x:c>
      <x:c r="D240" s="44" t="n">
        <x:v>47756</x:v>
      </x:c>
      <x:c r="E240" s="42" t="str">
        <x:v>Goleiro</x:v>
      </x:c>
      <x:c r="F240" s="42" t="str">
        <x:v>Sporting CP B</x:v>
      </x:c>
      <x:c r="G240" s="46"/>
      <x:c r="H240" s="46"/>
      <x:c r="I240" s="46"/>
      <x:c r="J240" s="46"/>
      <x:c r="K240" s="46" t="str">
        <x:f>IF(COUNT(G240,I240)=0,"",AVERAGE(G240,I240))</x:f>
      </x:c>
      <x:c r="L240" s="46" t="str">
        <x:f>IF(COUNT(H240,J240)=0,"",AVERAGE(H240,J240))</x:f>
      </x:c>
      <x:c r="M240" s="46" t="str">
        <x:f>IF(OR(K240="",L240=""),"",L240-K240)</x:f>
      </x:c>
      <x:c r="N240" s="46" t="str">
        <x:f>IF(OR(K240="",A239&lt;&gt;A240,K239=""),"",K240-K239)</x:f>
      </x:c>
      <x:c r="O240" s="42" t="str">
        <x:v>Sem informação</x:v>
      </x:c>
      <x:c r="P240" s="42"/>
      <x:c r="Q240" s="42" t="str"/>
      <x:c r="R240" s="42" t="str"/>
      <x:c r="S240" s="42" t="str"/>
      <x:c r="T240" s="42" t="str"/>
    </x:row>
    <x:row r="241">
      <x:c r="A241" s="42" t="str">
        <x:v>Diego Callai</x:v>
      </x:c>
      <x:c r="B241" s="42" t="n">
        <x:v>2030</x:v>
      </x:c>
      <x:c r="C241" s="42" t="str">
        <x:v>T4</x:v>
      </x:c>
      <x:c r="D241" s="44" t="n">
        <x:v>47848</x:v>
      </x:c>
      <x:c r="E241" s="42" t="str">
        <x:v>Goleiro</x:v>
      </x:c>
      <x:c r="F241" s="42" t="str">
        <x:v>Sporting CP B</x:v>
      </x:c>
      <x:c r="G241" s="46"/>
      <x:c r="H241" s="46"/>
      <x:c r="I241" s="46"/>
      <x:c r="J241" s="46"/>
      <x:c r="K241" s="46" t="str">
        <x:f>IF(COUNT(G241,I241)=0,"",AVERAGE(G241,I241))</x:f>
      </x:c>
      <x:c r="L241" s="46" t="str">
        <x:f>IF(COUNT(H241,J241)=0,"",AVERAGE(H241,J241))</x:f>
      </x:c>
      <x:c r="M241" s="46" t="str">
        <x:f>IF(OR(K241="",L241=""),"",L241-K241)</x:f>
      </x:c>
      <x:c r="N241" s="46" t="str">
        <x:f>IF(OR(K241="",A240&lt;&gt;A241,K240=""),"",K241-K240)</x:f>
      </x:c>
      <x:c r="O241" s="42" t="str">
        <x:v>Sem informação</x:v>
      </x:c>
      <x:c r="P241" s="42"/>
      <x:c r="Q241" s="42" t="str"/>
      <x:c r="R241" s="42" t="str"/>
      <x:c r="S241" s="42" t="str"/>
      <x:c r="T241" s="42" t="str"/>
    </x:row>
    <x:row r="242">
      <x:c r="A242" s="42" t="str">
        <x:v>Endrick</x:v>
      </x:c>
      <x:c r="B242" s="42" t="n">
        <x:v>2026</x:v>
      </x:c>
      <x:c r="C242" s="42" t="str">
        <x:v>T1</x:v>
      </x:c>
      <x:c r="D242" s="44" t="n">
        <x:v>46112</x:v>
      </x:c>
      <x:c r="E242" s="42" t="str">
        <x:v>Centroavante</x:v>
      </x:c>
      <x:c r="F242" s="42" t="str">
        <x:v>Real Madrid CF</x:v>
      </x:c>
      <x:c r="G242" s="46"/>
      <x:c r="H242" s="46"/>
      <x:c r="I242" s="46"/>
      <x:c r="J242" s="46"/>
      <x:c r="K242" s="46" t="str">
        <x:f>IF(COUNT(G242,I242)=0,"",AVERAGE(G242,I242))</x:f>
      </x:c>
      <x:c r="L242" s="46" t="str">
        <x:f>IF(COUNT(H242,J242)=0,"",AVERAGE(H242,J242))</x:f>
      </x:c>
      <x:c r="M242" s="46" t="str">
        <x:f>IF(OR(K242="",L242=""),"",L242-K242)</x:f>
      </x:c>
      <x:c r="N242" s="46" t="str">
        <x:f>IF(OR(K242="",A241&lt;&gt;A242,K241=""),"",K242-K241)</x:f>
      </x:c>
      <x:c r="O242" s="42" t="str">
        <x:v>Sem informação</x:v>
      </x:c>
      <x:c r="P242" s="42"/>
      <x:c r="Q242" s="42" t="str"/>
      <x:c r="R242" s="42" t="str"/>
      <x:c r="S242" s="42" t="str"/>
      <x:c r="T242" s="42" t="str"/>
    </x:row>
    <x:row r="243">
      <x:c r="A243" s="42" t="str">
        <x:v>Endrick</x:v>
      </x:c>
      <x:c r="B243" s="42" t="n">
        <x:v>2026</x:v>
      </x:c>
      <x:c r="C243" s="42" t="str">
        <x:v>T2</x:v>
      </x:c>
      <x:c r="D243" s="44" t="n">
        <x:v>46203</x:v>
      </x:c>
      <x:c r="E243" s="42" t="str">
        <x:v>Centroavante</x:v>
      </x:c>
      <x:c r="F243" s="42" t="str">
        <x:v>Real Madrid CF</x:v>
      </x:c>
      <x:c r="G243" s="46" t="n">
        <x:v>7.5</x:v>
      </x:c>
      <x:c r="H243" s="46" t="n">
        <x:v>9</x:v>
      </x:c>
      <x:c r="I243" s="46" t="n">
        <x:v>8</x:v>
      </x:c>
      <x:c r="J243" s="46" t="n">
        <x:v>10</x:v>
      </x:c>
      <x:c r="K243" s="46" t="n">
        <x:f>IF(COUNT(G243,I243)=0,"",AVERAGE(G243,I243))</x:f>
        <x:v>7.75</x:v>
      </x:c>
      <x:c r="L243" s="46" t="n">
        <x:f>IF(COUNT(H243,J243)=0,"",AVERAGE(H243,J243))</x:f>
        <x:v>9.5</x:v>
      </x:c>
      <x:c r="M243" s="46" t="n">
        <x:f>IF(OR(K243="",L243=""),"",L243-K243)</x:f>
        <x:v>1.75</x:v>
      </x:c>
      <x:c r="N243" s="46" t="str">
        <x:f>IF(OR(K243="",A242&lt;&gt;A243,K242=""),"",K243-K242)</x:f>
      </x:c>
      <x:c r="O243" s="42" t="str">
        <x:v>Sem informação</x:v>
      </x:c>
      <x:c r="P243" s="42"/>
      <x:c r="Q243" s="42" t="str">
        <x:v>Tem grande potencial e um físico privilegiado, mas precisa evoluir taticamente para se tornar um jogador topo de classe.</x:v>
      </x:c>
      <x:c r="R243" s="42" t="str">
        <x:v>Capacidade de se tornar um dos melhores do mundo</x:v>
      </x:c>
      <x:c r="S243" s="42" t="str"/>
      <x:c r="T243" s="42" t="str"/>
    </x:row>
    <x:row r="244">
      <x:c r="A244" s="42" t="str">
        <x:v>Endrick</x:v>
      </x:c>
      <x:c r="B244" s="42" t="n">
        <x:v>2026</x:v>
      </x:c>
      <x:c r="C244" s="42" t="str">
        <x:v>T3</x:v>
      </x:c>
      <x:c r="D244" s="44" t="n">
        <x:v>46295</x:v>
      </x:c>
      <x:c r="E244" s="42" t="str">
        <x:v>Centroavante</x:v>
      </x:c>
      <x:c r="F244" s="42" t="str">
        <x:v>Real Madrid CF</x:v>
      </x:c>
      <x:c r="G244" s="46"/>
      <x:c r="H244" s="46"/>
      <x:c r="I244" s="46"/>
      <x:c r="J244" s="46"/>
      <x:c r="K244" s="46" t="str">
        <x:f>IF(COUNT(G244,I244)=0,"",AVERAGE(G244,I244))</x:f>
      </x:c>
      <x:c r="L244" s="46" t="str">
        <x:f>IF(COUNT(H244,J244)=0,"",AVERAGE(H244,J244))</x:f>
      </x:c>
      <x:c r="M244" s="46" t="str">
        <x:f>IF(OR(K244="",L244=""),"",L244-K244)</x:f>
      </x:c>
      <x:c r="N244" s="46" t="str">
        <x:f>IF(OR(K244="",A243&lt;&gt;A244,K243=""),"",K244-K243)</x:f>
      </x:c>
      <x:c r="O244" s="42" t="str">
        <x:v>Sem informação</x:v>
      </x:c>
      <x:c r="P244" s="42"/>
      <x:c r="Q244" s="42" t="str"/>
      <x:c r="R244" s="42" t="str"/>
      <x:c r="S244" s="42" t="str"/>
      <x:c r="T244" s="42" t="str"/>
    </x:row>
    <x:row r="245">
      <x:c r="A245" s="42" t="str">
        <x:v>Endrick</x:v>
      </x:c>
      <x:c r="B245" s="42" t="n">
        <x:v>2026</x:v>
      </x:c>
      <x:c r="C245" s="42" t="str">
        <x:v>T4</x:v>
      </x:c>
      <x:c r="D245" s="44" t="n">
        <x:v>46387</x:v>
      </x:c>
      <x:c r="E245" s="42" t="str">
        <x:v>Centroavante</x:v>
      </x:c>
      <x:c r="F245" s="42" t="str">
        <x:v>Real Madrid CF</x:v>
      </x:c>
      <x:c r="G245" s="46"/>
      <x:c r="H245" s="46"/>
      <x:c r="I245" s="46"/>
      <x:c r="J245" s="46"/>
      <x:c r="K245" s="46" t="str">
        <x:f>IF(COUNT(G245,I245)=0,"",AVERAGE(G245,I245))</x:f>
      </x:c>
      <x:c r="L245" s="46" t="str">
        <x:f>IF(COUNT(H245,J245)=0,"",AVERAGE(H245,J245))</x:f>
      </x:c>
      <x:c r="M245" s="46" t="str">
        <x:f>IF(OR(K245="",L245=""),"",L245-K245)</x:f>
      </x:c>
      <x:c r="N245" s="46" t="str">
        <x:f>IF(OR(K245="",A244&lt;&gt;A245,K244=""),"",K245-K244)</x:f>
      </x:c>
      <x:c r="O245" s="42" t="str">
        <x:v>Sem informação</x:v>
      </x:c>
      <x:c r="P245" s="42"/>
      <x:c r="Q245" s="42" t="str"/>
      <x:c r="R245" s="42" t="str"/>
      <x:c r="S245" s="42" t="str"/>
      <x:c r="T245" s="42" t="str"/>
    </x:row>
    <x:row r="246">
      <x:c r="A246" s="42" t="str">
        <x:v>Endrick</x:v>
      </x:c>
      <x:c r="B246" s="42" t="n">
        <x:v>2027</x:v>
      </x:c>
      <x:c r="C246" s="42" t="str">
        <x:v>T1</x:v>
      </x:c>
      <x:c r="D246" s="44" t="n">
        <x:v>46477</x:v>
      </x:c>
      <x:c r="E246" s="42" t="str">
        <x:v>Centroavante</x:v>
      </x:c>
      <x:c r="F246" s="42" t="str">
        <x:v>Real Madrid CF</x:v>
      </x:c>
      <x:c r="G246" s="46"/>
      <x:c r="H246" s="46"/>
      <x:c r="I246" s="46"/>
      <x:c r="J246" s="46"/>
      <x:c r="K246" s="46" t="str">
        <x:f>IF(COUNT(G246,I246)=0,"",AVERAGE(G246,I246))</x:f>
      </x:c>
      <x:c r="L246" s="46" t="str">
        <x:f>IF(COUNT(H246,J246)=0,"",AVERAGE(H246,J246))</x:f>
      </x:c>
      <x:c r="M246" s="46" t="str">
        <x:f>IF(OR(K246="",L246=""),"",L246-K246)</x:f>
      </x:c>
      <x:c r="N246" s="46" t="str">
        <x:f>IF(OR(K246="",A245&lt;&gt;A246,K245=""),"",K246-K245)</x:f>
      </x:c>
      <x:c r="O246" s="42" t="str">
        <x:v>Sem informação</x:v>
      </x:c>
      <x:c r="P246" s="42"/>
      <x:c r="Q246" s="42" t="str"/>
      <x:c r="R246" s="42" t="str"/>
      <x:c r="S246" s="42" t="str"/>
      <x:c r="T246" s="42" t="str"/>
    </x:row>
    <x:row r="247">
      <x:c r="A247" s="42" t="str">
        <x:v>Endrick</x:v>
      </x:c>
      <x:c r="B247" s="42" t="n">
        <x:v>2027</x:v>
      </x:c>
      <x:c r="C247" s="42" t="str">
        <x:v>T2</x:v>
      </x:c>
      <x:c r="D247" s="44" t="n">
        <x:v>46568</x:v>
      </x:c>
      <x:c r="E247" s="42" t="str">
        <x:v>Centroavante</x:v>
      </x:c>
      <x:c r="F247" s="42" t="str">
        <x:v>Real Madrid CF</x:v>
      </x:c>
      <x:c r="G247" s="46"/>
      <x:c r="H247" s="46"/>
      <x:c r="I247" s="46"/>
      <x:c r="J247" s="46"/>
      <x:c r="K247" s="46" t="str">
        <x:f>IF(COUNT(G247,I247)=0,"",AVERAGE(G247,I247))</x:f>
      </x:c>
      <x:c r="L247" s="46" t="str">
        <x:f>IF(COUNT(H247,J247)=0,"",AVERAGE(H247,J247))</x:f>
      </x:c>
      <x:c r="M247" s="46" t="str">
        <x:f>IF(OR(K247="",L247=""),"",L247-K247)</x:f>
      </x:c>
      <x:c r="N247" s="46" t="str">
        <x:f>IF(OR(K247="",A246&lt;&gt;A247,K246=""),"",K247-K246)</x:f>
      </x:c>
      <x:c r="O247" s="42" t="str">
        <x:v>Sem informação</x:v>
      </x:c>
      <x:c r="P247" s="42"/>
      <x:c r="Q247" s="42" t="str"/>
      <x:c r="R247" s="42" t="str"/>
      <x:c r="S247" s="42" t="str"/>
      <x:c r="T247" s="42" t="str"/>
    </x:row>
    <x:row r="248">
      <x:c r="A248" s="42" t="str">
        <x:v>Endrick</x:v>
      </x:c>
      <x:c r="B248" s="42" t="n">
        <x:v>2027</x:v>
      </x:c>
      <x:c r="C248" s="42" t="str">
        <x:v>T3</x:v>
      </x:c>
      <x:c r="D248" s="44" t="n">
        <x:v>46660</x:v>
      </x:c>
      <x:c r="E248" s="42" t="str">
        <x:v>Centroavante</x:v>
      </x:c>
      <x:c r="F248" s="42" t="str">
        <x:v>Real Madrid CF</x:v>
      </x:c>
      <x:c r="G248" s="46"/>
      <x:c r="H248" s="46"/>
      <x:c r="I248" s="46"/>
      <x:c r="J248" s="46"/>
      <x:c r="K248" s="46" t="str">
        <x:f>IF(COUNT(G248,I248)=0,"",AVERAGE(G248,I248))</x:f>
      </x:c>
      <x:c r="L248" s="46" t="str">
        <x:f>IF(COUNT(H248,J248)=0,"",AVERAGE(H248,J248))</x:f>
      </x:c>
      <x:c r="M248" s="46" t="str">
        <x:f>IF(OR(K248="",L248=""),"",L248-K248)</x:f>
      </x:c>
      <x:c r="N248" s="46" t="str">
        <x:f>IF(OR(K248="",A247&lt;&gt;A248,K247=""),"",K248-K247)</x:f>
      </x:c>
      <x:c r="O248" s="42" t="str">
        <x:v>Sem informação</x:v>
      </x:c>
      <x:c r="P248" s="42"/>
      <x:c r="Q248" s="42" t="str"/>
      <x:c r="R248" s="42" t="str"/>
      <x:c r="S248" s="42" t="str"/>
      <x:c r="T248" s="42" t="str"/>
    </x:row>
    <x:row r="249">
      <x:c r="A249" s="42" t="str">
        <x:v>Endrick</x:v>
      </x:c>
      <x:c r="B249" s="42" t="n">
        <x:v>2027</x:v>
      </x:c>
      <x:c r="C249" s="42" t="str">
        <x:v>T4</x:v>
      </x:c>
      <x:c r="D249" s="44" t="n">
        <x:v>46752</x:v>
      </x:c>
      <x:c r="E249" s="42" t="str">
        <x:v>Centroavante</x:v>
      </x:c>
      <x:c r="F249" s="42" t="str">
        <x:v>Real Madrid CF</x:v>
      </x:c>
      <x:c r="G249" s="46"/>
      <x:c r="H249" s="46"/>
      <x:c r="I249" s="46"/>
      <x:c r="J249" s="46"/>
      <x:c r="K249" s="46" t="str">
        <x:f>IF(COUNT(G249,I249)=0,"",AVERAGE(G249,I249))</x:f>
      </x:c>
      <x:c r="L249" s="46" t="str">
        <x:f>IF(COUNT(H249,J249)=0,"",AVERAGE(H249,J249))</x:f>
      </x:c>
      <x:c r="M249" s="46" t="str">
        <x:f>IF(OR(K249="",L249=""),"",L249-K249)</x:f>
      </x:c>
      <x:c r="N249" s="46" t="str">
        <x:f>IF(OR(K249="",A248&lt;&gt;A249,K248=""),"",K249-K248)</x:f>
      </x:c>
      <x:c r="O249" s="42" t="str">
        <x:v>Sem informação</x:v>
      </x:c>
      <x:c r="P249" s="42"/>
      <x:c r="Q249" s="42" t="str"/>
      <x:c r="R249" s="42" t="str"/>
      <x:c r="S249" s="42" t="str"/>
      <x:c r="T249" s="42" t="str"/>
    </x:row>
    <x:row r="250">
      <x:c r="A250" s="42" t="str">
        <x:v>Endrick</x:v>
      </x:c>
      <x:c r="B250" s="42" t="n">
        <x:v>2028</x:v>
      </x:c>
      <x:c r="C250" s="42" t="str">
        <x:v>T1</x:v>
      </x:c>
      <x:c r="D250" s="44" t="n">
        <x:v>46843</x:v>
      </x:c>
      <x:c r="E250" s="42" t="str">
        <x:v>Centroavante</x:v>
      </x:c>
      <x:c r="F250" s="42" t="str">
        <x:v>Real Madrid CF</x:v>
      </x:c>
      <x:c r="G250" s="46"/>
      <x:c r="H250" s="46"/>
      <x:c r="I250" s="46"/>
      <x:c r="J250" s="46"/>
      <x:c r="K250" s="46" t="str">
        <x:f>IF(COUNT(G250,I250)=0,"",AVERAGE(G250,I250))</x:f>
      </x:c>
      <x:c r="L250" s="46" t="str">
        <x:f>IF(COUNT(H250,J250)=0,"",AVERAGE(H250,J250))</x:f>
      </x:c>
      <x:c r="M250" s="46" t="str">
        <x:f>IF(OR(K250="",L250=""),"",L250-K250)</x:f>
      </x:c>
      <x:c r="N250" s="46" t="str">
        <x:f>IF(OR(K250="",A249&lt;&gt;A250,K249=""),"",K250-K249)</x:f>
      </x:c>
      <x:c r="O250" s="42" t="str">
        <x:v>Sem informação</x:v>
      </x:c>
      <x:c r="P250" s="42"/>
      <x:c r="Q250" s="42" t="str"/>
      <x:c r="R250" s="42" t="str"/>
      <x:c r="S250" s="42" t="str"/>
      <x:c r="T250" s="42" t="str"/>
    </x:row>
    <x:row r="251">
      <x:c r="A251" s="42" t="str">
        <x:v>Endrick</x:v>
      </x:c>
      <x:c r="B251" s="42" t="n">
        <x:v>2028</x:v>
      </x:c>
      <x:c r="C251" s="42" t="str">
        <x:v>T2</x:v>
      </x:c>
      <x:c r="D251" s="44" t="n">
        <x:v>46934</x:v>
      </x:c>
      <x:c r="E251" s="42" t="str">
        <x:v>Centroavante</x:v>
      </x:c>
      <x:c r="F251" s="42" t="str">
        <x:v>Real Madrid CF</x:v>
      </x:c>
      <x:c r="G251" s="46"/>
      <x:c r="H251" s="46"/>
      <x:c r="I251" s="46"/>
      <x:c r="J251" s="46"/>
      <x:c r="K251" s="46" t="str">
        <x:f>IF(COUNT(G251,I251)=0,"",AVERAGE(G251,I251))</x:f>
      </x:c>
      <x:c r="L251" s="46" t="str">
        <x:f>IF(COUNT(H251,J251)=0,"",AVERAGE(H251,J251))</x:f>
      </x:c>
      <x:c r="M251" s="46" t="str">
        <x:f>IF(OR(K251="",L251=""),"",L251-K251)</x:f>
      </x:c>
      <x:c r="N251" s="46" t="str">
        <x:f>IF(OR(K251="",A250&lt;&gt;A251,K250=""),"",K251-K250)</x:f>
      </x:c>
      <x:c r="O251" s="42" t="str">
        <x:v>Sem informação</x:v>
      </x:c>
      <x:c r="P251" s="42"/>
      <x:c r="Q251" s="42" t="str"/>
      <x:c r="R251" s="42" t="str"/>
      <x:c r="S251" s="42" t="str"/>
      <x:c r="T251" s="42" t="str"/>
    </x:row>
    <x:row r="252">
      <x:c r="A252" s="42" t="str">
        <x:v>Endrick</x:v>
      </x:c>
      <x:c r="B252" s="42" t="n">
        <x:v>2028</x:v>
      </x:c>
      <x:c r="C252" s="42" t="str">
        <x:v>T3</x:v>
      </x:c>
      <x:c r="D252" s="44" t="n">
        <x:v>47026</x:v>
      </x:c>
      <x:c r="E252" s="42" t="str">
        <x:v>Centroavante</x:v>
      </x:c>
      <x:c r="F252" s="42" t="str">
        <x:v>Real Madrid CF</x:v>
      </x:c>
      <x:c r="G252" s="46"/>
      <x:c r="H252" s="46"/>
      <x:c r="I252" s="46"/>
      <x:c r="J252" s="46"/>
      <x:c r="K252" s="46" t="str">
        <x:f>IF(COUNT(G252,I252)=0,"",AVERAGE(G252,I252))</x:f>
      </x:c>
      <x:c r="L252" s="46" t="str">
        <x:f>IF(COUNT(H252,J252)=0,"",AVERAGE(H252,J252))</x:f>
      </x:c>
      <x:c r="M252" s="46" t="str">
        <x:f>IF(OR(K252="",L252=""),"",L252-K252)</x:f>
      </x:c>
      <x:c r="N252" s="46" t="str">
        <x:f>IF(OR(K252="",A251&lt;&gt;A252,K251=""),"",K252-K251)</x:f>
      </x:c>
      <x:c r="O252" s="42" t="str">
        <x:v>Sem informação</x:v>
      </x:c>
      <x:c r="P252" s="42"/>
      <x:c r="Q252" s="42" t="str"/>
      <x:c r="R252" s="42" t="str"/>
      <x:c r="S252" s="42" t="str"/>
      <x:c r="T252" s="42" t="str"/>
    </x:row>
    <x:row r="253">
      <x:c r="A253" s="42" t="str">
        <x:v>Endrick</x:v>
      </x:c>
      <x:c r="B253" s="42" t="n">
        <x:v>2028</x:v>
      </x:c>
      <x:c r="C253" s="42" t="str">
        <x:v>T4</x:v>
      </x:c>
      <x:c r="D253" s="44" t="n">
        <x:v>47118</x:v>
      </x:c>
      <x:c r="E253" s="42" t="str">
        <x:v>Centroavante</x:v>
      </x:c>
      <x:c r="F253" s="42" t="str">
        <x:v>Real Madrid CF</x:v>
      </x:c>
      <x:c r="G253" s="46"/>
      <x:c r="H253" s="46"/>
      <x:c r="I253" s="46"/>
      <x:c r="J253" s="46"/>
      <x:c r="K253" s="46" t="str">
        <x:f>IF(COUNT(G253,I253)=0,"",AVERAGE(G253,I253))</x:f>
      </x:c>
      <x:c r="L253" s="46" t="str">
        <x:f>IF(COUNT(H253,J253)=0,"",AVERAGE(H253,J253))</x:f>
      </x:c>
      <x:c r="M253" s="46" t="str">
        <x:f>IF(OR(K253="",L253=""),"",L253-K253)</x:f>
      </x:c>
      <x:c r="N253" s="46" t="str">
        <x:f>IF(OR(K253="",A252&lt;&gt;A253,K252=""),"",K253-K252)</x:f>
      </x:c>
      <x:c r="O253" s="42" t="str">
        <x:v>Sem informação</x:v>
      </x:c>
      <x:c r="P253" s="42"/>
      <x:c r="Q253" s="42" t="str"/>
      <x:c r="R253" s="42" t="str"/>
      <x:c r="S253" s="42" t="str"/>
      <x:c r="T253" s="42" t="str"/>
    </x:row>
    <x:row r="254">
      <x:c r="A254" s="42" t="str">
        <x:v>Endrick</x:v>
      </x:c>
      <x:c r="B254" s="42" t="n">
        <x:v>2029</x:v>
      </x:c>
      <x:c r="C254" s="42" t="str">
        <x:v>T1</x:v>
      </x:c>
      <x:c r="D254" s="44" t="n">
        <x:v>47208</x:v>
      </x:c>
      <x:c r="E254" s="42" t="str">
        <x:v>Centroavante</x:v>
      </x:c>
      <x:c r="F254" s="42" t="str">
        <x:v>Real Madrid CF</x:v>
      </x:c>
      <x:c r="G254" s="46"/>
      <x:c r="H254" s="46"/>
      <x:c r="I254" s="46"/>
      <x:c r="J254" s="46"/>
      <x:c r="K254" s="46" t="str">
        <x:f>IF(COUNT(G254,I254)=0,"",AVERAGE(G254,I254))</x:f>
      </x:c>
      <x:c r="L254" s="46" t="str">
        <x:f>IF(COUNT(H254,J254)=0,"",AVERAGE(H254,J254))</x:f>
      </x:c>
      <x:c r="M254" s="46" t="str">
        <x:f>IF(OR(K254="",L254=""),"",L254-K254)</x:f>
      </x:c>
      <x:c r="N254" s="46" t="str">
        <x:f>IF(OR(K254="",A253&lt;&gt;A254,K253=""),"",K254-K253)</x:f>
      </x:c>
      <x:c r="O254" s="42" t="str">
        <x:v>Sem informação</x:v>
      </x:c>
      <x:c r="P254" s="42"/>
      <x:c r="Q254" s="42" t="str"/>
      <x:c r="R254" s="42" t="str"/>
      <x:c r="S254" s="42" t="str"/>
      <x:c r="T254" s="42" t="str"/>
    </x:row>
    <x:row r="255">
      <x:c r="A255" s="42" t="str">
        <x:v>Endrick</x:v>
      </x:c>
      <x:c r="B255" s="42" t="n">
        <x:v>2029</x:v>
      </x:c>
      <x:c r="C255" s="42" t="str">
        <x:v>T2</x:v>
      </x:c>
      <x:c r="D255" s="44" t="n">
        <x:v>47299</x:v>
      </x:c>
      <x:c r="E255" s="42" t="str">
        <x:v>Centroavante</x:v>
      </x:c>
      <x:c r="F255" s="42" t="str">
        <x:v>Real Madrid CF</x:v>
      </x:c>
      <x:c r="G255" s="46"/>
      <x:c r="H255" s="46"/>
      <x:c r="I255" s="46"/>
      <x:c r="J255" s="46"/>
      <x:c r="K255" s="46" t="str">
        <x:f>IF(COUNT(G255,I255)=0,"",AVERAGE(G255,I255))</x:f>
      </x:c>
      <x:c r="L255" s="46" t="str">
        <x:f>IF(COUNT(H255,J255)=0,"",AVERAGE(H255,J255))</x:f>
      </x:c>
      <x:c r="M255" s="46" t="str">
        <x:f>IF(OR(K255="",L255=""),"",L255-K255)</x:f>
      </x:c>
      <x:c r="N255" s="46" t="str">
        <x:f>IF(OR(K255="",A254&lt;&gt;A255,K254=""),"",K255-K254)</x:f>
      </x:c>
      <x:c r="O255" s="42" t="str">
        <x:v>Sem informação</x:v>
      </x:c>
      <x:c r="P255" s="42"/>
      <x:c r="Q255" s="42" t="str"/>
      <x:c r="R255" s="42" t="str"/>
      <x:c r="S255" s="42" t="str"/>
      <x:c r="T255" s="42" t="str"/>
    </x:row>
    <x:row r="256">
      <x:c r="A256" s="42" t="str">
        <x:v>Endrick</x:v>
      </x:c>
      <x:c r="B256" s="42" t="n">
        <x:v>2029</x:v>
      </x:c>
      <x:c r="C256" s="42" t="str">
        <x:v>T3</x:v>
      </x:c>
      <x:c r="D256" s="44" t="n">
        <x:v>47391</x:v>
      </x:c>
      <x:c r="E256" s="42" t="str">
        <x:v>Centroavante</x:v>
      </x:c>
      <x:c r="F256" s="42" t="str">
        <x:v>Real Madrid CF</x:v>
      </x:c>
      <x:c r="G256" s="46"/>
      <x:c r="H256" s="46"/>
      <x:c r="I256" s="46"/>
      <x:c r="J256" s="46"/>
      <x:c r="K256" s="46" t="str">
        <x:f>IF(COUNT(G256,I256)=0,"",AVERAGE(G256,I256))</x:f>
      </x:c>
      <x:c r="L256" s="46" t="str">
        <x:f>IF(COUNT(H256,J256)=0,"",AVERAGE(H256,J256))</x:f>
      </x:c>
      <x:c r="M256" s="46" t="str">
        <x:f>IF(OR(K256="",L256=""),"",L256-K256)</x:f>
      </x:c>
      <x:c r="N256" s="46" t="str">
        <x:f>IF(OR(K256="",A255&lt;&gt;A256,K255=""),"",K256-K255)</x:f>
      </x:c>
      <x:c r="O256" s="42" t="str">
        <x:v>Sem informação</x:v>
      </x:c>
      <x:c r="P256" s="42"/>
      <x:c r="Q256" s="42" t="str"/>
      <x:c r="R256" s="42" t="str"/>
      <x:c r="S256" s="42" t="str"/>
      <x:c r="T256" s="42" t="str"/>
    </x:row>
    <x:row r="257">
      <x:c r="A257" s="42" t="str">
        <x:v>Endrick</x:v>
      </x:c>
      <x:c r="B257" s="42" t="n">
        <x:v>2029</x:v>
      </x:c>
      <x:c r="C257" s="42" t="str">
        <x:v>T4</x:v>
      </x:c>
      <x:c r="D257" s="44" t="n">
        <x:v>47483</x:v>
      </x:c>
      <x:c r="E257" s="42" t="str">
        <x:v>Centroavante</x:v>
      </x:c>
      <x:c r="F257" s="42" t="str">
        <x:v>Real Madrid CF</x:v>
      </x:c>
      <x:c r="G257" s="46"/>
      <x:c r="H257" s="46"/>
      <x:c r="I257" s="46"/>
      <x:c r="J257" s="46"/>
      <x:c r="K257" s="46" t="str">
        <x:f>IF(COUNT(G257,I257)=0,"",AVERAGE(G257,I257))</x:f>
      </x:c>
      <x:c r="L257" s="46" t="str">
        <x:f>IF(COUNT(H257,J257)=0,"",AVERAGE(H257,J257))</x:f>
      </x:c>
      <x:c r="M257" s="46" t="str">
        <x:f>IF(OR(K257="",L257=""),"",L257-K257)</x:f>
      </x:c>
      <x:c r="N257" s="46" t="str">
        <x:f>IF(OR(K257="",A256&lt;&gt;A257,K256=""),"",K257-K256)</x:f>
      </x:c>
      <x:c r="O257" s="42" t="str">
        <x:v>Sem informação</x:v>
      </x:c>
      <x:c r="P257" s="42"/>
      <x:c r="Q257" s="42" t="str"/>
      <x:c r="R257" s="42" t="str"/>
      <x:c r="S257" s="42" t="str"/>
      <x:c r="T257" s="42" t="str"/>
    </x:row>
    <x:row r="258">
      <x:c r="A258" s="42" t="str">
        <x:v>Endrick</x:v>
      </x:c>
      <x:c r="B258" s="42" t="n">
        <x:v>2030</x:v>
      </x:c>
      <x:c r="C258" s="42" t="str">
        <x:v>T1</x:v>
      </x:c>
      <x:c r="D258" s="44" t="n">
        <x:v>47573</x:v>
      </x:c>
      <x:c r="E258" s="42" t="str">
        <x:v>Centroavante</x:v>
      </x:c>
      <x:c r="F258" s="42" t="str">
        <x:v>Real Madrid CF</x:v>
      </x:c>
      <x:c r="G258" s="46"/>
      <x:c r="H258" s="46"/>
      <x:c r="I258" s="46"/>
      <x:c r="J258" s="46"/>
      <x:c r="K258" s="46" t="str">
        <x:f>IF(COUNT(G258,I258)=0,"",AVERAGE(G258,I258))</x:f>
      </x:c>
      <x:c r="L258" s="46" t="str">
        <x:f>IF(COUNT(H258,J258)=0,"",AVERAGE(H258,J258))</x:f>
      </x:c>
      <x:c r="M258" s="46" t="str">
        <x:f>IF(OR(K258="",L258=""),"",L258-K258)</x:f>
      </x:c>
      <x:c r="N258" s="46" t="str">
        <x:f>IF(OR(K258="",A257&lt;&gt;A258,K257=""),"",K258-K257)</x:f>
      </x:c>
      <x:c r="O258" s="42" t="str">
        <x:v>Sem informação</x:v>
      </x:c>
      <x:c r="P258" s="42"/>
      <x:c r="Q258" s="42" t="str"/>
      <x:c r="R258" s="42" t="str"/>
      <x:c r="S258" s="42" t="str"/>
      <x:c r="T258" s="42" t="str"/>
    </x:row>
    <x:row r="259">
      <x:c r="A259" s="42" t="str">
        <x:v>Endrick</x:v>
      </x:c>
      <x:c r="B259" s="42" t="n">
        <x:v>2030</x:v>
      </x:c>
      <x:c r="C259" s="42" t="str">
        <x:v>T2</x:v>
      </x:c>
      <x:c r="D259" s="44" t="n">
        <x:v>47664</x:v>
      </x:c>
      <x:c r="E259" s="42" t="str">
        <x:v>Centroavante</x:v>
      </x:c>
      <x:c r="F259" s="42" t="str">
        <x:v>Real Madrid CF</x:v>
      </x:c>
      <x:c r="G259" s="46"/>
      <x:c r="H259" s="46"/>
      <x:c r="I259" s="46"/>
      <x:c r="J259" s="46"/>
      <x:c r="K259" s="46" t="str">
        <x:f>IF(COUNT(G259,I259)=0,"",AVERAGE(G259,I259))</x:f>
      </x:c>
      <x:c r="L259" s="46" t="str">
        <x:f>IF(COUNT(H259,J259)=0,"",AVERAGE(H259,J259))</x:f>
      </x:c>
      <x:c r="M259" s="46" t="str">
        <x:f>IF(OR(K259="",L259=""),"",L259-K259)</x:f>
      </x:c>
      <x:c r="N259" s="46" t="str">
        <x:f>IF(OR(K259="",A258&lt;&gt;A259,K258=""),"",K259-K258)</x:f>
      </x:c>
      <x:c r="O259" s="42" t="str">
        <x:v>Sem informação</x:v>
      </x:c>
      <x:c r="P259" s="42"/>
      <x:c r="Q259" s="42" t="str"/>
      <x:c r="R259" s="42" t="str"/>
      <x:c r="S259" s="42" t="str"/>
      <x:c r="T259" s="42" t="str"/>
    </x:row>
    <x:row r="260">
      <x:c r="A260" s="42" t="str">
        <x:v>Endrick</x:v>
      </x:c>
      <x:c r="B260" s="42" t="n">
        <x:v>2030</x:v>
      </x:c>
      <x:c r="C260" s="42" t="str">
        <x:v>T3</x:v>
      </x:c>
      <x:c r="D260" s="44" t="n">
        <x:v>47756</x:v>
      </x:c>
      <x:c r="E260" s="42" t="str">
        <x:v>Centroavante</x:v>
      </x:c>
      <x:c r="F260" s="42" t="str">
        <x:v>Real Madrid CF</x:v>
      </x:c>
      <x:c r="G260" s="46"/>
      <x:c r="H260" s="46"/>
      <x:c r="I260" s="46"/>
      <x:c r="J260" s="46"/>
      <x:c r="K260" s="46" t="str">
        <x:f>IF(COUNT(G260,I260)=0,"",AVERAGE(G260,I260))</x:f>
      </x:c>
      <x:c r="L260" s="46" t="str">
        <x:f>IF(COUNT(H260,J260)=0,"",AVERAGE(H260,J260))</x:f>
      </x:c>
      <x:c r="M260" s="46" t="str">
        <x:f>IF(OR(K260="",L260=""),"",L260-K260)</x:f>
      </x:c>
      <x:c r="N260" s="46" t="str">
        <x:f>IF(OR(K260="",A259&lt;&gt;A260,K259=""),"",K260-K259)</x:f>
      </x:c>
      <x:c r="O260" s="42" t="str">
        <x:v>Sem informação</x:v>
      </x:c>
      <x:c r="P260" s="42"/>
      <x:c r="Q260" s="42" t="str"/>
      <x:c r="R260" s="42" t="str"/>
      <x:c r="S260" s="42" t="str"/>
      <x:c r="T260" s="42" t="str"/>
    </x:row>
    <x:row r="261">
      <x:c r="A261" s="42" t="str">
        <x:v>Endrick</x:v>
      </x:c>
      <x:c r="B261" s="42" t="n">
        <x:v>2030</x:v>
      </x:c>
      <x:c r="C261" s="42" t="str">
        <x:v>T4</x:v>
      </x:c>
      <x:c r="D261" s="44" t="n">
        <x:v>47848</x:v>
      </x:c>
      <x:c r="E261" s="42" t="str">
        <x:v>Centroavante</x:v>
      </x:c>
      <x:c r="F261" s="42" t="str">
        <x:v>Real Madrid CF</x:v>
      </x:c>
      <x:c r="G261" s="46"/>
      <x:c r="H261" s="46"/>
      <x:c r="I261" s="46"/>
      <x:c r="J261" s="46"/>
      <x:c r="K261" s="46" t="str">
        <x:f>IF(COUNT(G261,I261)=0,"",AVERAGE(G261,I261))</x:f>
      </x:c>
      <x:c r="L261" s="46" t="str">
        <x:f>IF(COUNT(H261,J261)=0,"",AVERAGE(H261,J261))</x:f>
      </x:c>
      <x:c r="M261" s="46" t="str">
        <x:f>IF(OR(K261="",L261=""),"",L261-K261)</x:f>
      </x:c>
      <x:c r="N261" s="46" t="str">
        <x:f>IF(OR(K261="",A260&lt;&gt;A261,K260=""),"",K261-K260)</x:f>
      </x:c>
      <x:c r="O261" s="42" t="str">
        <x:v>Sem informação</x:v>
      </x:c>
      <x:c r="P261" s="42"/>
      <x:c r="Q261" s="42" t="str"/>
      <x:c r="R261" s="42" t="str"/>
      <x:c r="S261" s="42" t="str"/>
      <x:c r="T261" s="42" t="str"/>
    </x:row>
    <x:row r="262">
      <x:c r="A262" s="42" t="str">
        <x:v>Estevão</x:v>
      </x:c>
      <x:c r="B262" s="42" t="n">
        <x:v>2026</x:v>
      </x:c>
      <x:c r="C262" s="42" t="str">
        <x:v>T1</x:v>
      </x:c>
      <x:c r="D262" s="44" t="n">
        <x:v>46112</x:v>
      </x:c>
      <x:c r="E262" s="42" t="str">
        <x:v>Ponta-direita</x:v>
      </x:c>
      <x:c r="F262" s="42" t="str">
        <x:v>Chelsea FC</x:v>
      </x:c>
      <x:c r="G262" s="46"/>
      <x:c r="H262" s="46"/>
      <x:c r="I262" s="46"/>
      <x:c r="J262" s="46"/>
      <x:c r="K262" s="46" t="str">
        <x:f>IF(COUNT(G262,I262)=0,"",AVERAGE(G262,I262))</x:f>
      </x:c>
      <x:c r="L262" s="46" t="str">
        <x:f>IF(COUNT(H262,J262)=0,"",AVERAGE(H262,J262))</x:f>
      </x:c>
      <x:c r="M262" s="46" t="str">
        <x:f>IF(OR(K262="",L262=""),"",L262-K262)</x:f>
      </x:c>
      <x:c r="N262" s="46" t="str">
        <x:f>IF(OR(K262="",A261&lt;&gt;A262,K261=""),"",K262-K261)</x:f>
      </x:c>
      <x:c r="O262" s="42" t="str">
        <x:v>Sem informação</x:v>
      </x:c>
      <x:c r="P262" s="42"/>
      <x:c r="Q262" s="42" t="str"/>
      <x:c r="R262" s="42" t="str"/>
      <x:c r="S262" s="42" t="str"/>
      <x:c r="T262" s="42" t="str"/>
    </x:row>
    <x:row r="263">
      <x:c r="A263" s="42" t="str">
        <x:v>Estevão</x:v>
      </x:c>
      <x:c r="B263" s="42" t="n">
        <x:v>2026</x:v>
      </x:c>
      <x:c r="C263" s="42" t="str">
        <x:v>T2</x:v>
      </x:c>
      <x:c r="D263" s="44" t="n">
        <x:v>46203</x:v>
      </x:c>
      <x:c r="E263" s="42" t="str">
        <x:v>Ponta-direita</x:v>
      </x:c>
      <x:c r="F263" s="42" t="str">
        <x:v>Chelsea FC</x:v>
      </x:c>
      <x:c r="G263" s="46" t="n">
        <x:v>7.5</x:v>
      </x:c>
      <x:c r="H263" s="46" t="n">
        <x:v>9.5</x:v>
      </x:c>
      <x:c r="I263" s="46" t="n">
        <x:v>8.5</x:v>
      </x:c>
      <x:c r="J263" s="46" t="n">
        <x:v>10</x:v>
      </x:c>
      <x:c r="K263" s="46" t="n">
        <x:f>IF(COUNT(G263,I263)=0,"",AVERAGE(G263,I263))</x:f>
        <x:v>8</x:v>
      </x:c>
      <x:c r="L263" s="46" t="n">
        <x:f>IF(COUNT(H263,J263)=0,"",AVERAGE(H263,J263))</x:f>
        <x:v>9.75</x:v>
      </x:c>
      <x:c r="M263" s="46" t="n">
        <x:f>IF(OR(K263="",L263=""),"",L263-K263)</x:f>
        <x:v>1.75</x:v>
      </x:c>
      <x:c r="N263" s="46" t="str">
        <x:f>IF(OR(K263="",A262&lt;&gt;A263,K262=""),"",K263-K262)</x:f>
      </x:c>
      <x:c r="O263" s="42" t="str">
        <x:v>Sem informação</x:v>
      </x:c>
      <x:c r="P263" s="42"/>
      <x:c r="Q263" s="42" t="str"/>
      <x:c r="R263" s="42" t="str">
        <x:v>Capacidade de se tornar um dos melhores do mundo</x:v>
      </x:c>
      <x:c r="S263" s="42" t="str"/>
      <x:c r="T263" s="42" t="str"/>
    </x:row>
    <x:row r="264">
      <x:c r="A264" s="42" t="str">
        <x:v>Estevão</x:v>
      </x:c>
      <x:c r="B264" s="42" t="n">
        <x:v>2026</x:v>
      </x:c>
      <x:c r="C264" s="42" t="str">
        <x:v>T3</x:v>
      </x:c>
      <x:c r="D264" s="44" t="n">
        <x:v>46295</x:v>
      </x:c>
      <x:c r="E264" s="42" t="str">
        <x:v>Ponta-direita</x:v>
      </x:c>
      <x:c r="F264" s="42" t="str">
        <x:v>Chelsea FC</x:v>
      </x:c>
      <x:c r="G264" s="46"/>
      <x:c r="H264" s="46"/>
      <x:c r="I264" s="46"/>
      <x:c r="J264" s="46"/>
      <x:c r="K264" s="46" t="str">
        <x:f>IF(COUNT(G264,I264)=0,"",AVERAGE(G264,I264))</x:f>
      </x:c>
      <x:c r="L264" s="46" t="str">
        <x:f>IF(COUNT(H264,J264)=0,"",AVERAGE(H264,J264))</x:f>
      </x:c>
      <x:c r="M264" s="46" t="str">
        <x:f>IF(OR(K264="",L264=""),"",L264-K264)</x:f>
      </x:c>
      <x:c r="N264" s="46" t="str">
        <x:f>IF(OR(K264="",A263&lt;&gt;A264,K263=""),"",K264-K263)</x:f>
      </x:c>
      <x:c r="O264" s="42" t="str">
        <x:v>Sem informação</x:v>
      </x:c>
      <x:c r="P264" s="42"/>
      <x:c r="Q264" s="42" t="str"/>
      <x:c r="R264" s="42" t="str"/>
      <x:c r="S264" s="42" t="str"/>
      <x:c r="T264" s="42" t="str"/>
    </x:row>
    <x:row r="265">
      <x:c r="A265" s="42" t="str">
        <x:v>Estevão</x:v>
      </x:c>
      <x:c r="B265" s="42" t="n">
        <x:v>2026</x:v>
      </x:c>
      <x:c r="C265" s="42" t="str">
        <x:v>T4</x:v>
      </x:c>
      <x:c r="D265" s="44" t="n">
        <x:v>46387</x:v>
      </x:c>
      <x:c r="E265" s="42" t="str">
        <x:v>Ponta-direita</x:v>
      </x:c>
      <x:c r="F265" s="42" t="str">
        <x:v>Chelsea FC</x:v>
      </x:c>
      <x:c r="G265" s="46"/>
      <x:c r="H265" s="46"/>
      <x:c r="I265" s="46"/>
      <x:c r="J265" s="46"/>
      <x:c r="K265" s="46" t="str">
        <x:f>IF(COUNT(G265,I265)=0,"",AVERAGE(G265,I265))</x:f>
      </x:c>
      <x:c r="L265" s="46" t="str">
        <x:f>IF(COUNT(H265,J265)=0,"",AVERAGE(H265,J265))</x:f>
      </x:c>
      <x:c r="M265" s="46" t="str">
        <x:f>IF(OR(K265="",L265=""),"",L265-K265)</x:f>
      </x:c>
      <x:c r="N265" s="46" t="str">
        <x:f>IF(OR(K265="",A264&lt;&gt;A265,K264=""),"",K265-K264)</x:f>
      </x:c>
      <x:c r="O265" s="42" t="str">
        <x:v>Sem informação</x:v>
      </x:c>
      <x:c r="P265" s="42"/>
      <x:c r="Q265" s="42" t="str"/>
      <x:c r="R265" s="42" t="str"/>
      <x:c r="S265" s="42" t="str"/>
      <x:c r="T265" s="42" t="str"/>
    </x:row>
    <x:row r="266">
      <x:c r="A266" s="42" t="str">
        <x:v>Estevão</x:v>
      </x:c>
      <x:c r="B266" s="42" t="n">
        <x:v>2027</x:v>
      </x:c>
      <x:c r="C266" s="42" t="str">
        <x:v>T1</x:v>
      </x:c>
      <x:c r="D266" s="44" t="n">
        <x:v>46477</x:v>
      </x:c>
      <x:c r="E266" s="42" t="str">
        <x:v>Ponta-direita</x:v>
      </x:c>
      <x:c r="F266" s="42" t="str">
        <x:v>Chelsea FC</x:v>
      </x:c>
      <x:c r="G266" s="46"/>
      <x:c r="H266" s="46"/>
      <x:c r="I266" s="46"/>
      <x:c r="J266" s="46"/>
      <x:c r="K266" s="46" t="str">
        <x:f>IF(COUNT(G266,I266)=0,"",AVERAGE(G266,I266))</x:f>
      </x:c>
      <x:c r="L266" s="46" t="str">
        <x:f>IF(COUNT(H266,J266)=0,"",AVERAGE(H266,J266))</x:f>
      </x:c>
      <x:c r="M266" s="46" t="str">
        <x:f>IF(OR(K266="",L266=""),"",L266-K266)</x:f>
      </x:c>
      <x:c r="N266" s="46" t="str">
        <x:f>IF(OR(K266="",A265&lt;&gt;A266,K265=""),"",K266-K265)</x:f>
      </x:c>
      <x:c r="O266" s="42" t="str">
        <x:v>Sem informação</x:v>
      </x:c>
      <x:c r="P266" s="42"/>
      <x:c r="Q266" s="42" t="str"/>
      <x:c r="R266" s="42" t="str"/>
      <x:c r="S266" s="42" t="str"/>
      <x:c r="T266" s="42" t="str"/>
    </x:row>
    <x:row r="267">
      <x:c r="A267" s="42" t="str">
        <x:v>Estevão</x:v>
      </x:c>
      <x:c r="B267" s="42" t="n">
        <x:v>2027</x:v>
      </x:c>
      <x:c r="C267" s="42" t="str">
        <x:v>T2</x:v>
      </x:c>
      <x:c r="D267" s="44" t="n">
        <x:v>46568</x:v>
      </x:c>
      <x:c r="E267" s="42" t="str">
        <x:v>Ponta-direita</x:v>
      </x:c>
      <x:c r="F267" s="42" t="str">
        <x:v>Chelsea FC</x:v>
      </x:c>
      <x:c r="G267" s="46"/>
      <x:c r="H267" s="46"/>
      <x:c r="I267" s="46"/>
      <x:c r="J267" s="46"/>
      <x:c r="K267" s="46" t="str">
        <x:f>IF(COUNT(G267,I267)=0,"",AVERAGE(G267,I267))</x:f>
      </x:c>
      <x:c r="L267" s="46" t="str">
        <x:f>IF(COUNT(H267,J267)=0,"",AVERAGE(H267,J267))</x:f>
      </x:c>
      <x:c r="M267" s="46" t="str">
        <x:f>IF(OR(K267="",L267=""),"",L267-K267)</x:f>
      </x:c>
      <x:c r="N267" s="46" t="str">
        <x:f>IF(OR(K267="",A266&lt;&gt;A267,K266=""),"",K267-K266)</x:f>
      </x:c>
      <x:c r="O267" s="42" t="str">
        <x:v>Sem informação</x:v>
      </x:c>
      <x:c r="P267" s="42"/>
      <x:c r="Q267" s="42" t="str"/>
      <x:c r="R267" s="42" t="str"/>
      <x:c r="S267" s="42" t="str"/>
      <x:c r="T267" s="42" t="str"/>
    </x:row>
    <x:row r="268">
      <x:c r="A268" s="42" t="str">
        <x:v>Estevão</x:v>
      </x:c>
      <x:c r="B268" s="42" t="n">
        <x:v>2027</x:v>
      </x:c>
      <x:c r="C268" s="42" t="str">
        <x:v>T3</x:v>
      </x:c>
      <x:c r="D268" s="44" t="n">
        <x:v>46660</x:v>
      </x:c>
      <x:c r="E268" s="42" t="str">
        <x:v>Ponta-direita</x:v>
      </x:c>
      <x:c r="F268" s="42" t="str">
        <x:v>Chelsea FC</x:v>
      </x:c>
      <x:c r="G268" s="46"/>
      <x:c r="H268" s="46"/>
      <x:c r="I268" s="46"/>
      <x:c r="J268" s="46"/>
      <x:c r="K268" s="46" t="str">
        <x:f>IF(COUNT(G268,I268)=0,"",AVERAGE(G268,I268))</x:f>
      </x:c>
      <x:c r="L268" s="46" t="str">
        <x:f>IF(COUNT(H268,J268)=0,"",AVERAGE(H268,J268))</x:f>
      </x:c>
      <x:c r="M268" s="46" t="str">
        <x:f>IF(OR(K268="",L268=""),"",L268-K268)</x:f>
      </x:c>
      <x:c r="N268" s="46" t="str">
        <x:f>IF(OR(K268="",A267&lt;&gt;A268,K267=""),"",K268-K267)</x:f>
      </x:c>
      <x:c r="O268" s="42" t="str">
        <x:v>Sem informação</x:v>
      </x:c>
      <x:c r="P268" s="42"/>
      <x:c r="Q268" s="42" t="str"/>
      <x:c r="R268" s="42" t="str"/>
      <x:c r="S268" s="42" t="str"/>
      <x:c r="T268" s="42" t="str"/>
    </x:row>
    <x:row r="269">
      <x:c r="A269" s="42" t="str">
        <x:v>Estevão</x:v>
      </x:c>
      <x:c r="B269" s="42" t="n">
        <x:v>2027</x:v>
      </x:c>
      <x:c r="C269" s="42" t="str">
        <x:v>T4</x:v>
      </x:c>
      <x:c r="D269" s="44" t="n">
        <x:v>46752</x:v>
      </x:c>
      <x:c r="E269" s="42" t="str">
        <x:v>Ponta-direita</x:v>
      </x:c>
      <x:c r="F269" s="42" t="str">
        <x:v>Chelsea FC</x:v>
      </x:c>
      <x:c r="G269" s="46"/>
      <x:c r="H269" s="46"/>
      <x:c r="I269" s="46"/>
      <x:c r="J269" s="46"/>
      <x:c r="K269" s="46" t="str">
        <x:f>IF(COUNT(G269,I269)=0,"",AVERAGE(G269,I269))</x:f>
      </x:c>
      <x:c r="L269" s="46" t="str">
        <x:f>IF(COUNT(H269,J269)=0,"",AVERAGE(H269,J269))</x:f>
      </x:c>
      <x:c r="M269" s="46" t="str">
        <x:f>IF(OR(K269="",L269=""),"",L269-K269)</x:f>
      </x:c>
      <x:c r="N269" s="46" t="str">
        <x:f>IF(OR(K269="",A268&lt;&gt;A269,K268=""),"",K269-K268)</x:f>
      </x:c>
      <x:c r="O269" s="42" t="str">
        <x:v>Sem informação</x:v>
      </x:c>
      <x:c r="P269" s="42"/>
      <x:c r="Q269" s="42" t="str"/>
      <x:c r="R269" s="42" t="str"/>
      <x:c r="S269" s="42" t="str"/>
      <x:c r="T269" s="42" t="str"/>
    </x:row>
    <x:row r="270">
      <x:c r="A270" s="42" t="str">
        <x:v>Estevão</x:v>
      </x:c>
      <x:c r="B270" s="42" t="n">
        <x:v>2028</x:v>
      </x:c>
      <x:c r="C270" s="42" t="str">
        <x:v>T1</x:v>
      </x:c>
      <x:c r="D270" s="44" t="n">
        <x:v>46843</x:v>
      </x:c>
      <x:c r="E270" s="42" t="str">
        <x:v>Ponta-direita</x:v>
      </x:c>
      <x:c r="F270" s="42" t="str">
        <x:v>Chelsea FC</x:v>
      </x:c>
      <x:c r="G270" s="46"/>
      <x:c r="H270" s="46"/>
      <x:c r="I270" s="46"/>
      <x:c r="J270" s="46"/>
      <x:c r="K270" s="46" t="str">
        <x:f>IF(COUNT(G270,I270)=0,"",AVERAGE(G270,I270))</x:f>
      </x:c>
      <x:c r="L270" s="46" t="str">
        <x:f>IF(COUNT(H270,J270)=0,"",AVERAGE(H270,J270))</x:f>
      </x:c>
      <x:c r="M270" s="46" t="str">
        <x:f>IF(OR(K270="",L270=""),"",L270-K270)</x:f>
      </x:c>
      <x:c r="N270" s="46" t="str">
        <x:f>IF(OR(K270="",A269&lt;&gt;A270,K269=""),"",K270-K269)</x:f>
      </x:c>
      <x:c r="O270" s="42" t="str">
        <x:v>Sem informação</x:v>
      </x:c>
      <x:c r="P270" s="42"/>
      <x:c r="Q270" s="42" t="str"/>
      <x:c r="R270" s="42" t="str"/>
      <x:c r="S270" s="42" t="str"/>
      <x:c r="T270" s="42" t="str"/>
    </x:row>
    <x:row r="271">
      <x:c r="A271" s="42" t="str">
        <x:v>Estevão</x:v>
      </x:c>
      <x:c r="B271" s="42" t="n">
        <x:v>2028</x:v>
      </x:c>
      <x:c r="C271" s="42" t="str">
        <x:v>T2</x:v>
      </x:c>
      <x:c r="D271" s="44" t="n">
        <x:v>46934</x:v>
      </x:c>
      <x:c r="E271" s="42" t="str">
        <x:v>Ponta-direita</x:v>
      </x:c>
      <x:c r="F271" s="42" t="str">
        <x:v>Chelsea FC</x:v>
      </x:c>
      <x:c r="G271" s="46"/>
      <x:c r="H271" s="46"/>
      <x:c r="I271" s="46"/>
      <x:c r="J271" s="46"/>
      <x:c r="K271" s="46" t="str">
        <x:f>IF(COUNT(G271,I271)=0,"",AVERAGE(G271,I271))</x:f>
      </x:c>
      <x:c r="L271" s="46" t="str">
        <x:f>IF(COUNT(H271,J271)=0,"",AVERAGE(H271,J271))</x:f>
      </x:c>
      <x:c r="M271" s="46" t="str">
        <x:f>IF(OR(K271="",L271=""),"",L271-K271)</x:f>
      </x:c>
      <x:c r="N271" s="46" t="str">
        <x:f>IF(OR(K271="",A270&lt;&gt;A271,K270=""),"",K271-K270)</x:f>
      </x:c>
      <x:c r="O271" s="42" t="str">
        <x:v>Sem informação</x:v>
      </x:c>
      <x:c r="P271" s="42"/>
      <x:c r="Q271" s="42" t="str"/>
      <x:c r="R271" s="42" t="str"/>
      <x:c r="S271" s="42" t="str"/>
      <x:c r="T271" s="42" t="str"/>
    </x:row>
    <x:row r="272">
      <x:c r="A272" s="42" t="str">
        <x:v>Estevão</x:v>
      </x:c>
      <x:c r="B272" s="42" t="n">
        <x:v>2028</x:v>
      </x:c>
      <x:c r="C272" s="42" t="str">
        <x:v>T3</x:v>
      </x:c>
      <x:c r="D272" s="44" t="n">
        <x:v>47026</x:v>
      </x:c>
      <x:c r="E272" s="42" t="str">
        <x:v>Ponta-direita</x:v>
      </x:c>
      <x:c r="F272" s="42" t="str">
        <x:v>Chelsea FC</x:v>
      </x:c>
      <x:c r="G272" s="46"/>
      <x:c r="H272" s="46"/>
      <x:c r="I272" s="46"/>
      <x:c r="J272" s="46"/>
      <x:c r="K272" s="46" t="str">
        <x:f>IF(COUNT(G272,I272)=0,"",AVERAGE(G272,I272))</x:f>
      </x:c>
      <x:c r="L272" s="46" t="str">
        <x:f>IF(COUNT(H272,J272)=0,"",AVERAGE(H272,J272))</x:f>
      </x:c>
      <x:c r="M272" s="46" t="str">
        <x:f>IF(OR(K272="",L272=""),"",L272-K272)</x:f>
      </x:c>
      <x:c r="N272" s="46" t="str">
        <x:f>IF(OR(K272="",A271&lt;&gt;A272,K271=""),"",K272-K271)</x:f>
      </x:c>
      <x:c r="O272" s="42" t="str">
        <x:v>Sem informação</x:v>
      </x:c>
      <x:c r="P272" s="42"/>
      <x:c r="Q272" s="42" t="str"/>
      <x:c r="R272" s="42" t="str"/>
      <x:c r="S272" s="42" t="str"/>
      <x:c r="T272" s="42" t="str"/>
    </x:row>
    <x:row r="273">
      <x:c r="A273" s="42" t="str">
        <x:v>Estevão</x:v>
      </x:c>
      <x:c r="B273" s="42" t="n">
        <x:v>2028</x:v>
      </x:c>
      <x:c r="C273" s="42" t="str">
        <x:v>T4</x:v>
      </x:c>
      <x:c r="D273" s="44" t="n">
        <x:v>47118</x:v>
      </x:c>
      <x:c r="E273" s="42" t="str">
        <x:v>Ponta-direita</x:v>
      </x:c>
      <x:c r="F273" s="42" t="str">
        <x:v>Chelsea FC</x:v>
      </x:c>
      <x:c r="G273" s="46"/>
      <x:c r="H273" s="46"/>
      <x:c r="I273" s="46"/>
      <x:c r="J273" s="46"/>
      <x:c r="K273" s="46" t="str">
        <x:f>IF(COUNT(G273,I273)=0,"",AVERAGE(G273,I273))</x:f>
      </x:c>
      <x:c r="L273" s="46" t="str">
        <x:f>IF(COUNT(H273,J273)=0,"",AVERAGE(H273,J273))</x:f>
      </x:c>
      <x:c r="M273" s="46" t="str">
        <x:f>IF(OR(K273="",L273=""),"",L273-K273)</x:f>
      </x:c>
      <x:c r="N273" s="46" t="str">
        <x:f>IF(OR(K273="",A272&lt;&gt;A273,K272=""),"",K273-K272)</x:f>
      </x:c>
      <x:c r="O273" s="42" t="str">
        <x:v>Sem informação</x:v>
      </x:c>
      <x:c r="P273" s="42"/>
      <x:c r="Q273" s="42" t="str"/>
      <x:c r="R273" s="42" t="str"/>
      <x:c r="S273" s="42" t="str"/>
      <x:c r="T273" s="42" t="str"/>
    </x:row>
    <x:row r="274">
      <x:c r="A274" s="42" t="str">
        <x:v>Estevão</x:v>
      </x:c>
      <x:c r="B274" s="42" t="n">
        <x:v>2029</x:v>
      </x:c>
      <x:c r="C274" s="42" t="str">
        <x:v>T1</x:v>
      </x:c>
      <x:c r="D274" s="44" t="n">
        <x:v>47208</x:v>
      </x:c>
      <x:c r="E274" s="42" t="str">
        <x:v>Ponta-direita</x:v>
      </x:c>
      <x:c r="F274" s="42" t="str">
        <x:v>Chelsea FC</x:v>
      </x:c>
      <x:c r="G274" s="46"/>
      <x:c r="H274" s="46"/>
      <x:c r="I274" s="46"/>
      <x:c r="J274" s="46"/>
      <x:c r="K274" s="46" t="str">
        <x:f>IF(COUNT(G274,I274)=0,"",AVERAGE(G274,I274))</x:f>
      </x:c>
      <x:c r="L274" s="46" t="str">
        <x:f>IF(COUNT(H274,J274)=0,"",AVERAGE(H274,J274))</x:f>
      </x:c>
      <x:c r="M274" s="46" t="str">
        <x:f>IF(OR(K274="",L274=""),"",L274-K274)</x:f>
      </x:c>
      <x:c r="N274" s="46" t="str">
        <x:f>IF(OR(K274="",A273&lt;&gt;A274,K273=""),"",K274-K273)</x:f>
      </x:c>
      <x:c r="O274" s="42" t="str">
        <x:v>Sem informação</x:v>
      </x:c>
      <x:c r="P274" s="42"/>
      <x:c r="Q274" s="42" t="str"/>
      <x:c r="R274" s="42" t="str"/>
      <x:c r="S274" s="42" t="str"/>
      <x:c r="T274" s="42" t="str"/>
    </x:row>
    <x:row r="275">
      <x:c r="A275" s="42" t="str">
        <x:v>Estevão</x:v>
      </x:c>
      <x:c r="B275" s="42" t="n">
        <x:v>2029</x:v>
      </x:c>
      <x:c r="C275" s="42" t="str">
        <x:v>T2</x:v>
      </x:c>
      <x:c r="D275" s="44" t="n">
        <x:v>47299</x:v>
      </x:c>
      <x:c r="E275" s="42" t="str">
        <x:v>Ponta-direita</x:v>
      </x:c>
      <x:c r="F275" s="42" t="str">
        <x:v>Chelsea FC</x:v>
      </x:c>
      <x:c r="G275" s="46"/>
      <x:c r="H275" s="46"/>
      <x:c r="I275" s="46"/>
      <x:c r="J275" s="46"/>
      <x:c r="K275" s="46" t="str">
        <x:f>IF(COUNT(G275,I275)=0,"",AVERAGE(G275,I275))</x:f>
      </x:c>
      <x:c r="L275" s="46" t="str">
        <x:f>IF(COUNT(H275,J275)=0,"",AVERAGE(H275,J275))</x:f>
      </x:c>
      <x:c r="M275" s="46" t="str">
        <x:f>IF(OR(K275="",L275=""),"",L275-K275)</x:f>
      </x:c>
      <x:c r="N275" s="46" t="str">
        <x:f>IF(OR(K275="",A274&lt;&gt;A275,K274=""),"",K275-K274)</x:f>
      </x:c>
      <x:c r="O275" s="42" t="str">
        <x:v>Sem informação</x:v>
      </x:c>
      <x:c r="P275" s="42"/>
      <x:c r="Q275" s="42" t="str"/>
      <x:c r="R275" s="42" t="str"/>
      <x:c r="S275" s="42" t="str"/>
      <x:c r="T275" s="42" t="str"/>
    </x:row>
    <x:row r="276">
      <x:c r="A276" s="42" t="str">
        <x:v>Estevão</x:v>
      </x:c>
      <x:c r="B276" s="42" t="n">
        <x:v>2029</x:v>
      </x:c>
      <x:c r="C276" s="42" t="str">
        <x:v>T3</x:v>
      </x:c>
      <x:c r="D276" s="44" t="n">
        <x:v>47391</x:v>
      </x:c>
      <x:c r="E276" s="42" t="str">
        <x:v>Ponta-direita</x:v>
      </x:c>
      <x:c r="F276" s="42" t="str">
        <x:v>Chelsea FC</x:v>
      </x:c>
      <x:c r="G276" s="46"/>
      <x:c r="H276" s="46"/>
      <x:c r="I276" s="46"/>
      <x:c r="J276" s="46"/>
      <x:c r="K276" s="46" t="str">
        <x:f>IF(COUNT(G276,I276)=0,"",AVERAGE(G276,I276))</x:f>
      </x:c>
      <x:c r="L276" s="46" t="str">
        <x:f>IF(COUNT(H276,J276)=0,"",AVERAGE(H276,J276))</x:f>
      </x:c>
      <x:c r="M276" s="46" t="str">
        <x:f>IF(OR(K276="",L276=""),"",L276-K276)</x:f>
      </x:c>
      <x:c r="N276" s="46" t="str">
        <x:f>IF(OR(K276="",A275&lt;&gt;A276,K275=""),"",K276-K275)</x:f>
      </x:c>
      <x:c r="O276" s="42" t="str">
        <x:v>Sem informação</x:v>
      </x:c>
      <x:c r="P276" s="42"/>
      <x:c r="Q276" s="42" t="str"/>
      <x:c r="R276" s="42" t="str"/>
      <x:c r="S276" s="42" t="str"/>
      <x:c r="T276" s="42" t="str"/>
    </x:row>
    <x:row r="277">
      <x:c r="A277" s="42" t="str">
        <x:v>Estevão</x:v>
      </x:c>
      <x:c r="B277" s="42" t="n">
        <x:v>2029</x:v>
      </x:c>
      <x:c r="C277" s="42" t="str">
        <x:v>T4</x:v>
      </x:c>
      <x:c r="D277" s="44" t="n">
        <x:v>47483</x:v>
      </x:c>
      <x:c r="E277" s="42" t="str">
        <x:v>Ponta-direita</x:v>
      </x:c>
      <x:c r="F277" s="42" t="str">
        <x:v>Chelsea FC</x:v>
      </x:c>
      <x:c r="G277" s="46"/>
      <x:c r="H277" s="46"/>
      <x:c r="I277" s="46"/>
      <x:c r="J277" s="46"/>
      <x:c r="K277" s="46" t="str">
        <x:f>IF(COUNT(G277,I277)=0,"",AVERAGE(G277,I277))</x:f>
      </x:c>
      <x:c r="L277" s="46" t="str">
        <x:f>IF(COUNT(H277,J277)=0,"",AVERAGE(H277,J277))</x:f>
      </x:c>
      <x:c r="M277" s="46" t="str">
        <x:f>IF(OR(K277="",L277=""),"",L277-K277)</x:f>
      </x:c>
      <x:c r="N277" s="46" t="str">
        <x:f>IF(OR(K277="",A276&lt;&gt;A277,K276=""),"",K277-K276)</x:f>
      </x:c>
      <x:c r="O277" s="42" t="str">
        <x:v>Sem informação</x:v>
      </x:c>
      <x:c r="P277" s="42"/>
      <x:c r="Q277" s="42" t="str"/>
      <x:c r="R277" s="42" t="str"/>
      <x:c r="S277" s="42" t="str"/>
      <x:c r="T277" s="42" t="str"/>
    </x:row>
    <x:row r="278">
      <x:c r="A278" s="42" t="str">
        <x:v>Estevão</x:v>
      </x:c>
      <x:c r="B278" s="42" t="n">
        <x:v>2030</x:v>
      </x:c>
      <x:c r="C278" s="42" t="str">
        <x:v>T1</x:v>
      </x:c>
      <x:c r="D278" s="44" t="n">
        <x:v>47573</x:v>
      </x:c>
      <x:c r="E278" s="42" t="str">
        <x:v>Ponta-direita</x:v>
      </x:c>
      <x:c r="F278" s="42" t="str">
        <x:v>Chelsea FC</x:v>
      </x:c>
      <x:c r="G278" s="46"/>
      <x:c r="H278" s="46"/>
      <x:c r="I278" s="46"/>
      <x:c r="J278" s="46"/>
      <x:c r="K278" s="46" t="str">
        <x:f>IF(COUNT(G278,I278)=0,"",AVERAGE(G278,I278))</x:f>
      </x:c>
      <x:c r="L278" s="46" t="str">
        <x:f>IF(COUNT(H278,J278)=0,"",AVERAGE(H278,J278))</x:f>
      </x:c>
      <x:c r="M278" s="46" t="str">
        <x:f>IF(OR(K278="",L278=""),"",L278-K278)</x:f>
      </x:c>
      <x:c r="N278" s="46" t="str">
        <x:f>IF(OR(K278="",A277&lt;&gt;A278,K277=""),"",K278-K277)</x:f>
      </x:c>
      <x:c r="O278" s="42" t="str">
        <x:v>Sem informação</x:v>
      </x:c>
      <x:c r="P278" s="42"/>
      <x:c r="Q278" s="42" t="str"/>
      <x:c r="R278" s="42" t="str"/>
      <x:c r="S278" s="42" t="str"/>
      <x:c r="T278" s="42" t="str"/>
    </x:row>
    <x:row r="279">
      <x:c r="A279" s="42" t="str">
        <x:v>Estevão</x:v>
      </x:c>
      <x:c r="B279" s="42" t="n">
        <x:v>2030</x:v>
      </x:c>
      <x:c r="C279" s="42" t="str">
        <x:v>T2</x:v>
      </x:c>
      <x:c r="D279" s="44" t="n">
        <x:v>47664</x:v>
      </x:c>
      <x:c r="E279" s="42" t="str">
        <x:v>Ponta-direita</x:v>
      </x:c>
      <x:c r="F279" s="42" t="str">
        <x:v>Chelsea FC</x:v>
      </x:c>
      <x:c r="G279" s="46"/>
      <x:c r="H279" s="46"/>
      <x:c r="I279" s="46"/>
      <x:c r="J279" s="46"/>
      <x:c r="K279" s="46" t="str">
        <x:f>IF(COUNT(G279,I279)=0,"",AVERAGE(G279,I279))</x:f>
      </x:c>
      <x:c r="L279" s="46" t="str">
        <x:f>IF(COUNT(H279,J279)=0,"",AVERAGE(H279,J279))</x:f>
      </x:c>
      <x:c r="M279" s="46" t="str">
        <x:f>IF(OR(K279="",L279=""),"",L279-K279)</x:f>
      </x:c>
      <x:c r="N279" s="46" t="str">
        <x:f>IF(OR(K279="",A278&lt;&gt;A279,K278=""),"",K279-K278)</x:f>
      </x:c>
      <x:c r="O279" s="42" t="str">
        <x:v>Sem informação</x:v>
      </x:c>
      <x:c r="P279" s="42"/>
      <x:c r="Q279" s="42" t="str"/>
      <x:c r="R279" s="42" t="str"/>
      <x:c r="S279" s="42" t="str"/>
      <x:c r="T279" s="42" t="str"/>
    </x:row>
    <x:row r="280">
      <x:c r="A280" s="42" t="str">
        <x:v>Estevão</x:v>
      </x:c>
      <x:c r="B280" s="42" t="n">
        <x:v>2030</x:v>
      </x:c>
      <x:c r="C280" s="42" t="str">
        <x:v>T3</x:v>
      </x:c>
      <x:c r="D280" s="44" t="n">
        <x:v>47756</x:v>
      </x:c>
      <x:c r="E280" s="42" t="str">
        <x:v>Ponta-direita</x:v>
      </x:c>
      <x:c r="F280" s="42" t="str">
        <x:v>Chelsea FC</x:v>
      </x:c>
      <x:c r="G280" s="46"/>
      <x:c r="H280" s="46"/>
      <x:c r="I280" s="46"/>
      <x:c r="J280" s="46"/>
      <x:c r="K280" s="46" t="str">
        <x:f>IF(COUNT(G280,I280)=0,"",AVERAGE(G280,I280))</x:f>
      </x:c>
      <x:c r="L280" s="46" t="str">
        <x:f>IF(COUNT(H280,J280)=0,"",AVERAGE(H280,J280))</x:f>
      </x:c>
      <x:c r="M280" s="46" t="str">
        <x:f>IF(OR(K280="",L280=""),"",L280-K280)</x:f>
      </x:c>
      <x:c r="N280" s="46" t="str">
        <x:f>IF(OR(K280="",A279&lt;&gt;A280,K279=""),"",K280-K279)</x:f>
      </x:c>
      <x:c r="O280" s="42" t="str">
        <x:v>Sem informação</x:v>
      </x:c>
      <x:c r="P280" s="42"/>
      <x:c r="Q280" s="42" t="str"/>
      <x:c r="R280" s="42" t="str"/>
      <x:c r="S280" s="42" t="str"/>
      <x:c r="T280" s="42" t="str"/>
    </x:row>
    <x:row r="281">
      <x:c r="A281" s="42" t="str">
        <x:v>Estevão</x:v>
      </x:c>
      <x:c r="B281" s="42" t="n">
        <x:v>2030</x:v>
      </x:c>
      <x:c r="C281" s="42" t="str">
        <x:v>T4</x:v>
      </x:c>
      <x:c r="D281" s="44" t="n">
        <x:v>47848</x:v>
      </x:c>
      <x:c r="E281" s="42" t="str">
        <x:v>Ponta-direita</x:v>
      </x:c>
      <x:c r="F281" s="42" t="str">
        <x:v>Chelsea FC</x:v>
      </x:c>
      <x:c r="G281" s="46"/>
      <x:c r="H281" s="46"/>
      <x:c r="I281" s="46"/>
      <x:c r="J281" s="46"/>
      <x:c r="K281" s="46" t="str">
        <x:f>IF(COUNT(G281,I281)=0,"",AVERAGE(G281,I281))</x:f>
      </x:c>
      <x:c r="L281" s="46" t="str">
        <x:f>IF(COUNT(H281,J281)=0,"",AVERAGE(H281,J281))</x:f>
      </x:c>
      <x:c r="M281" s="46" t="str">
        <x:f>IF(OR(K281="",L281=""),"",L281-K281)</x:f>
      </x:c>
      <x:c r="N281" s="46" t="str">
        <x:f>IF(OR(K281="",A280&lt;&gt;A281,K280=""),"",K281-K280)</x:f>
      </x:c>
      <x:c r="O281" s="42" t="str">
        <x:v>Sem informação</x:v>
      </x:c>
      <x:c r="P281" s="42"/>
      <x:c r="Q281" s="42" t="str"/>
      <x:c r="R281" s="42" t="str"/>
      <x:c r="S281" s="42" t="str"/>
      <x:c r="T281" s="42" t="str"/>
    </x:row>
    <x:row r="282">
      <x:c r="A282" s="42" t="str">
        <x:v>Gabriel Magalhães</x:v>
      </x:c>
      <x:c r="B282" s="42" t="n">
        <x:v>2026</x:v>
      </x:c>
      <x:c r="C282" s="42" t="str">
        <x:v>T1</x:v>
      </x:c>
      <x:c r="D282" s="44" t="n">
        <x:v>46112</x:v>
      </x:c>
      <x:c r="E282" s="42" t="str">
        <x:v>Zagueiro</x:v>
      </x:c>
      <x:c r="F282" s="42" t="str">
        <x:v>FC Arsenal</x:v>
      </x:c>
      <x:c r="G282" s="46"/>
      <x:c r="H282" s="46"/>
      <x:c r="I282" s="46"/>
      <x:c r="J282" s="46"/>
      <x:c r="K282" s="46" t="str">
        <x:f>IF(COUNT(G282,I282)=0,"",AVERAGE(G282,I282))</x:f>
      </x:c>
      <x:c r="L282" s="46" t="str">
        <x:f>IF(COUNT(H282,J282)=0,"",AVERAGE(H282,J282))</x:f>
      </x:c>
      <x:c r="M282" s="46" t="str">
        <x:f>IF(OR(K282="",L282=""),"",L282-K282)</x:f>
      </x:c>
      <x:c r="N282" s="46" t="str">
        <x:f>IF(OR(K282="",A281&lt;&gt;A282,K281=""),"",K282-K281)</x:f>
      </x:c>
      <x:c r="O282" s="42" t="str">
        <x:v>Sem informação</x:v>
      </x:c>
      <x:c r="P282" s="42"/>
      <x:c r="Q282" s="42" t="str"/>
      <x:c r="R282" s="42" t="str"/>
      <x:c r="S282" s="42" t="str"/>
      <x:c r="T282" s="42" t="str"/>
    </x:row>
    <x:row r="283">
      <x:c r="A283" s="42" t="str">
        <x:v>Gabriel Magalhães</x:v>
      </x:c>
      <x:c r="B283" s="42" t="n">
        <x:v>2026</x:v>
      </x:c>
      <x:c r="C283" s="42" t="str">
        <x:v>T2</x:v>
      </x:c>
      <x:c r="D283" s="44" t="n">
        <x:v>46203</x:v>
      </x:c>
      <x:c r="E283" s="42" t="str">
        <x:v>Zagueiro</x:v>
      </x:c>
      <x:c r="F283" s="42" t="str">
        <x:v>FC Arsenal</x:v>
      </x:c>
      <x:c r="G283" s="46" t="n">
        <x:v>8.5</x:v>
      </x:c>
      <x:c r="H283" s="46" t="n">
        <x:v>8</x:v>
      </x:c>
      <x:c r="I283" s="46" t="n">
        <x:v>8.5</x:v>
      </x:c>
      <x:c r="J283" s="46" t="n">
        <x:v>8</x:v>
      </x:c>
      <x:c r="K283" s="46" t="n">
        <x:f>IF(COUNT(G283,I283)=0,"",AVERAGE(G283,I283))</x:f>
        <x:v>8.5</x:v>
      </x:c>
      <x:c r="L283" s="46" t="n">
        <x:f>IF(COUNT(H283,J283)=0,"",AVERAGE(H283,J283))</x:f>
        <x:v>8</x:v>
      </x:c>
      <x:c r="M283" s="46" t="n">
        <x:f>IF(OR(K283="",L283=""),"",L283-K283)</x:f>
        <x:v>-0.5</x:v>
      </x:c>
      <x:c r="N283" s="46" t="str">
        <x:f>IF(OR(K283="",A282&lt;&gt;A283,K282=""),"",K283-K282)</x:f>
      </x:c>
      <x:c r="O283" s="42" t="str">
        <x:v>Sem informação</x:v>
      </x:c>
      <x:c r="P283" s="42"/>
      <x:c r="Q283" s="42" t="str">
        <x:v>Foi para a Copa 2026 no seu possível ápice. Deve chegar muito bem para 2030.</x:v>
      </x:c>
      <x:c r="R283" s="42" t="str">
        <x:v>Um dos melhores do mundo.</x:v>
      </x:c>
      <x:c r="S283" s="42" t="str"/>
      <x:c r="T283" s="42" t="str"/>
    </x:row>
    <x:row r="284">
      <x:c r="A284" s="42" t="str">
        <x:v>Gabriel Magalhães</x:v>
      </x:c>
      <x:c r="B284" s="42" t="n">
        <x:v>2026</x:v>
      </x:c>
      <x:c r="C284" s="42" t="str">
        <x:v>T3</x:v>
      </x:c>
      <x:c r="D284" s="44" t="n">
        <x:v>46295</x:v>
      </x:c>
      <x:c r="E284" s="42" t="str">
        <x:v>Zagueiro</x:v>
      </x:c>
      <x:c r="F284" s="42" t="str">
        <x:v>FC Arsenal</x:v>
      </x:c>
      <x:c r="G284" s="46"/>
      <x:c r="H284" s="46"/>
      <x:c r="I284" s="46"/>
      <x:c r="J284" s="46"/>
      <x:c r="K284" s="46" t="str">
        <x:f>IF(COUNT(G284,I284)=0,"",AVERAGE(G284,I284))</x:f>
      </x:c>
      <x:c r="L284" s="46" t="str">
        <x:f>IF(COUNT(H284,J284)=0,"",AVERAGE(H284,J284))</x:f>
      </x:c>
      <x:c r="M284" s="46" t="str">
        <x:f>IF(OR(K284="",L284=""),"",L284-K284)</x:f>
      </x:c>
      <x:c r="N284" s="46" t="str">
        <x:f>IF(OR(K284="",A283&lt;&gt;A284,K283=""),"",K284-K283)</x:f>
      </x:c>
      <x:c r="O284" s="42" t="str">
        <x:v>Sem informação</x:v>
      </x:c>
      <x:c r="P284" s="42"/>
      <x:c r="Q284" s="42" t="str"/>
      <x:c r="R284" s="42" t="str"/>
      <x:c r="S284" s="42" t="str"/>
      <x:c r="T284" s="42" t="str"/>
    </x:row>
    <x:row r="285">
      <x:c r="A285" s="42" t="str">
        <x:v>Gabriel Magalhães</x:v>
      </x:c>
      <x:c r="B285" s="42" t="n">
        <x:v>2026</x:v>
      </x:c>
      <x:c r="C285" s="42" t="str">
        <x:v>T4</x:v>
      </x:c>
      <x:c r="D285" s="44" t="n">
        <x:v>46387</x:v>
      </x:c>
      <x:c r="E285" s="42" t="str">
        <x:v>Zagueiro</x:v>
      </x:c>
      <x:c r="F285" s="42" t="str">
        <x:v>FC Arsenal</x:v>
      </x:c>
      <x:c r="G285" s="46"/>
      <x:c r="H285" s="46"/>
      <x:c r="I285" s="46"/>
      <x:c r="J285" s="46"/>
      <x:c r="K285" s="46" t="str">
        <x:f>IF(COUNT(G285,I285)=0,"",AVERAGE(G285,I285))</x:f>
      </x:c>
      <x:c r="L285" s="46" t="str">
        <x:f>IF(COUNT(H285,J285)=0,"",AVERAGE(H285,J285))</x:f>
      </x:c>
      <x:c r="M285" s="46" t="str">
        <x:f>IF(OR(K285="",L285=""),"",L285-K285)</x:f>
      </x:c>
      <x:c r="N285" s="46" t="str">
        <x:f>IF(OR(K285="",A284&lt;&gt;A285,K284=""),"",K285-K284)</x:f>
      </x:c>
      <x:c r="O285" s="42" t="str">
        <x:v>Sem informação</x:v>
      </x:c>
      <x:c r="P285" s="42"/>
      <x:c r="Q285" s="42" t="str"/>
      <x:c r="R285" s="42" t="str"/>
      <x:c r="S285" s="42" t="str"/>
      <x:c r="T285" s="42" t="str"/>
    </x:row>
    <x:row r="286">
      <x:c r="A286" s="42" t="str">
        <x:v>Gabriel Magalhães</x:v>
      </x:c>
      <x:c r="B286" s="42" t="n">
        <x:v>2027</x:v>
      </x:c>
      <x:c r="C286" s="42" t="str">
        <x:v>T1</x:v>
      </x:c>
      <x:c r="D286" s="44" t="n">
        <x:v>46477</x:v>
      </x:c>
      <x:c r="E286" s="42" t="str">
        <x:v>Zagueiro</x:v>
      </x:c>
      <x:c r="F286" s="42" t="str">
        <x:v>FC Arsenal</x:v>
      </x:c>
      <x:c r="G286" s="46"/>
      <x:c r="H286" s="46"/>
      <x:c r="I286" s="46"/>
      <x:c r="J286" s="46"/>
      <x:c r="K286" s="46" t="str">
        <x:f>IF(COUNT(G286,I286)=0,"",AVERAGE(G286,I286))</x:f>
      </x:c>
      <x:c r="L286" s="46" t="str">
        <x:f>IF(COUNT(H286,J286)=0,"",AVERAGE(H286,J286))</x:f>
      </x:c>
      <x:c r="M286" s="46" t="str">
        <x:f>IF(OR(K286="",L286=""),"",L286-K286)</x:f>
      </x:c>
      <x:c r="N286" s="46" t="str">
        <x:f>IF(OR(K286="",A285&lt;&gt;A286,K285=""),"",K286-K285)</x:f>
      </x:c>
      <x:c r="O286" s="42" t="str">
        <x:v>Sem informação</x:v>
      </x:c>
      <x:c r="P286" s="42"/>
      <x:c r="Q286" s="42" t="str"/>
      <x:c r="R286" s="42" t="str"/>
      <x:c r="S286" s="42" t="str"/>
      <x:c r="T286" s="42" t="str"/>
    </x:row>
    <x:row r="287">
      <x:c r="A287" s="42" t="str">
        <x:v>Gabriel Magalhães</x:v>
      </x:c>
      <x:c r="B287" s="42" t="n">
        <x:v>2027</x:v>
      </x:c>
      <x:c r="C287" s="42" t="str">
        <x:v>T2</x:v>
      </x:c>
      <x:c r="D287" s="44" t="n">
        <x:v>46568</x:v>
      </x:c>
      <x:c r="E287" s="42" t="str">
        <x:v>Zagueiro</x:v>
      </x:c>
      <x:c r="F287" s="42" t="str">
        <x:v>FC Arsenal</x:v>
      </x:c>
      <x:c r="G287" s="46"/>
      <x:c r="H287" s="46"/>
      <x:c r="I287" s="46"/>
      <x:c r="J287" s="46"/>
      <x:c r="K287" s="46" t="str">
        <x:f>IF(COUNT(G287,I287)=0,"",AVERAGE(G287,I287))</x:f>
      </x:c>
      <x:c r="L287" s="46" t="str">
        <x:f>IF(COUNT(H287,J287)=0,"",AVERAGE(H287,J287))</x:f>
      </x:c>
      <x:c r="M287" s="46" t="str">
        <x:f>IF(OR(K287="",L287=""),"",L287-K287)</x:f>
      </x:c>
      <x:c r="N287" s="46" t="str">
        <x:f>IF(OR(K287="",A286&lt;&gt;A287,K286=""),"",K287-K286)</x:f>
      </x:c>
      <x:c r="O287" s="42" t="str">
        <x:v>Sem informação</x:v>
      </x:c>
      <x:c r="P287" s="42"/>
      <x:c r="Q287" s="42" t="str"/>
      <x:c r="R287" s="42" t="str"/>
      <x:c r="S287" s="42" t="str"/>
      <x:c r="T287" s="42" t="str"/>
    </x:row>
    <x:row r="288">
      <x:c r="A288" s="42" t="str">
        <x:v>Gabriel Magalhães</x:v>
      </x:c>
      <x:c r="B288" s="42" t="n">
        <x:v>2027</x:v>
      </x:c>
      <x:c r="C288" s="42" t="str">
        <x:v>T3</x:v>
      </x:c>
      <x:c r="D288" s="44" t="n">
        <x:v>46660</x:v>
      </x:c>
      <x:c r="E288" s="42" t="str">
        <x:v>Zagueiro</x:v>
      </x:c>
      <x:c r="F288" s="42" t="str">
        <x:v>FC Arsenal</x:v>
      </x:c>
      <x:c r="G288" s="46"/>
      <x:c r="H288" s="46"/>
      <x:c r="I288" s="46"/>
      <x:c r="J288" s="46"/>
      <x:c r="K288" s="46" t="str">
        <x:f>IF(COUNT(G288,I288)=0,"",AVERAGE(G288,I288))</x:f>
      </x:c>
      <x:c r="L288" s="46" t="str">
        <x:f>IF(COUNT(H288,J288)=0,"",AVERAGE(H288,J288))</x:f>
      </x:c>
      <x:c r="M288" s="46" t="str">
        <x:f>IF(OR(K288="",L288=""),"",L288-K288)</x:f>
      </x:c>
      <x:c r="N288" s="46" t="str">
        <x:f>IF(OR(K288="",A287&lt;&gt;A288,K287=""),"",K288-K287)</x:f>
      </x:c>
      <x:c r="O288" s="42" t="str">
        <x:v>Sem informação</x:v>
      </x:c>
      <x:c r="P288" s="42"/>
      <x:c r="Q288" s="42" t="str"/>
      <x:c r="R288" s="42" t="str"/>
      <x:c r="S288" s="42" t="str"/>
      <x:c r="T288" s="42" t="str"/>
    </x:row>
    <x:row r="289">
      <x:c r="A289" s="42" t="str">
        <x:v>Gabriel Magalhães</x:v>
      </x:c>
      <x:c r="B289" s="42" t="n">
        <x:v>2027</x:v>
      </x:c>
      <x:c r="C289" s="42" t="str">
        <x:v>T4</x:v>
      </x:c>
      <x:c r="D289" s="44" t="n">
        <x:v>46752</x:v>
      </x:c>
      <x:c r="E289" s="42" t="str">
        <x:v>Zagueiro</x:v>
      </x:c>
      <x:c r="F289" s="42" t="str">
        <x:v>FC Arsenal</x:v>
      </x:c>
      <x:c r="G289" s="46"/>
      <x:c r="H289" s="46"/>
      <x:c r="I289" s="46"/>
      <x:c r="J289" s="46"/>
      <x:c r="K289" s="46" t="str">
        <x:f>IF(COUNT(G289,I289)=0,"",AVERAGE(G289,I289))</x:f>
      </x:c>
      <x:c r="L289" s="46" t="str">
        <x:f>IF(COUNT(H289,J289)=0,"",AVERAGE(H289,J289))</x:f>
      </x:c>
      <x:c r="M289" s="46" t="str">
        <x:f>IF(OR(K289="",L289=""),"",L289-K289)</x:f>
      </x:c>
      <x:c r="N289" s="46" t="str">
        <x:f>IF(OR(K289="",A288&lt;&gt;A289,K288=""),"",K289-K288)</x:f>
      </x:c>
      <x:c r="O289" s="42" t="str">
        <x:v>Sem informação</x:v>
      </x:c>
      <x:c r="P289" s="42"/>
      <x:c r="Q289" s="42" t="str"/>
      <x:c r="R289" s="42" t="str"/>
      <x:c r="S289" s="42" t="str"/>
      <x:c r="T289" s="42" t="str"/>
    </x:row>
    <x:row r="290">
      <x:c r="A290" s="42" t="str">
        <x:v>Gabriel Magalhães</x:v>
      </x:c>
      <x:c r="B290" s="42" t="n">
        <x:v>2028</x:v>
      </x:c>
      <x:c r="C290" s="42" t="str">
        <x:v>T1</x:v>
      </x:c>
      <x:c r="D290" s="44" t="n">
        <x:v>46843</x:v>
      </x:c>
      <x:c r="E290" s="42" t="str">
        <x:v>Zagueiro</x:v>
      </x:c>
      <x:c r="F290" s="42" t="str">
        <x:v>FC Arsenal</x:v>
      </x:c>
      <x:c r="G290" s="46"/>
      <x:c r="H290" s="46"/>
      <x:c r="I290" s="46"/>
      <x:c r="J290" s="46"/>
      <x:c r="K290" s="46" t="str">
        <x:f>IF(COUNT(G290,I290)=0,"",AVERAGE(G290,I290))</x:f>
      </x:c>
      <x:c r="L290" s="46" t="str">
        <x:f>IF(COUNT(H290,J290)=0,"",AVERAGE(H290,J290))</x:f>
      </x:c>
      <x:c r="M290" s="46" t="str">
        <x:f>IF(OR(K290="",L290=""),"",L290-K290)</x:f>
      </x:c>
      <x:c r="N290" s="46" t="str">
        <x:f>IF(OR(K290="",A289&lt;&gt;A290,K289=""),"",K290-K289)</x:f>
      </x:c>
      <x:c r="O290" s="42" t="str">
        <x:v>Sem informação</x:v>
      </x:c>
      <x:c r="P290" s="42"/>
      <x:c r="Q290" s="42" t="str"/>
      <x:c r="R290" s="42" t="str"/>
      <x:c r="S290" s="42" t="str"/>
      <x:c r="T290" s="42" t="str"/>
    </x:row>
    <x:row r="291">
      <x:c r="A291" s="42" t="str">
        <x:v>Gabriel Magalhães</x:v>
      </x:c>
      <x:c r="B291" s="42" t="n">
        <x:v>2028</x:v>
      </x:c>
      <x:c r="C291" s="42" t="str">
        <x:v>T2</x:v>
      </x:c>
      <x:c r="D291" s="44" t="n">
        <x:v>46934</x:v>
      </x:c>
      <x:c r="E291" s="42" t="str">
        <x:v>Zagueiro</x:v>
      </x:c>
      <x:c r="F291" s="42" t="str">
        <x:v>FC Arsenal</x:v>
      </x:c>
      <x:c r="G291" s="46"/>
      <x:c r="H291" s="46"/>
      <x:c r="I291" s="46"/>
      <x:c r="J291" s="46"/>
      <x:c r="K291" s="46" t="str">
        <x:f>IF(COUNT(G291,I291)=0,"",AVERAGE(G291,I291))</x:f>
      </x:c>
      <x:c r="L291" s="46" t="str">
        <x:f>IF(COUNT(H291,J291)=0,"",AVERAGE(H291,J291))</x:f>
      </x:c>
      <x:c r="M291" s="46" t="str">
        <x:f>IF(OR(K291="",L291=""),"",L291-K291)</x:f>
      </x:c>
      <x:c r="N291" s="46" t="str">
        <x:f>IF(OR(K291="",A290&lt;&gt;A291,K290=""),"",K291-K290)</x:f>
      </x:c>
      <x:c r="O291" s="42" t="str">
        <x:v>Sem informação</x:v>
      </x:c>
      <x:c r="P291" s="42"/>
      <x:c r="Q291" s="42" t="str"/>
      <x:c r="R291" s="42" t="str"/>
      <x:c r="S291" s="42" t="str"/>
      <x:c r="T291" s="42" t="str"/>
    </x:row>
    <x:row r="292">
      <x:c r="A292" s="42" t="str">
        <x:v>Gabriel Magalhães</x:v>
      </x:c>
      <x:c r="B292" s="42" t="n">
        <x:v>2028</x:v>
      </x:c>
      <x:c r="C292" s="42" t="str">
        <x:v>T3</x:v>
      </x:c>
      <x:c r="D292" s="44" t="n">
        <x:v>47026</x:v>
      </x:c>
      <x:c r="E292" s="42" t="str">
        <x:v>Zagueiro</x:v>
      </x:c>
      <x:c r="F292" s="42" t="str">
        <x:v>FC Arsenal</x:v>
      </x:c>
      <x:c r="G292" s="46"/>
      <x:c r="H292" s="46"/>
      <x:c r="I292" s="46"/>
      <x:c r="J292" s="46"/>
      <x:c r="K292" s="46" t="str">
        <x:f>IF(COUNT(G292,I292)=0,"",AVERAGE(G292,I292))</x:f>
      </x:c>
      <x:c r="L292" s="46" t="str">
        <x:f>IF(COUNT(H292,J292)=0,"",AVERAGE(H292,J292))</x:f>
      </x:c>
      <x:c r="M292" s="46" t="str">
        <x:f>IF(OR(K292="",L292=""),"",L292-K292)</x:f>
      </x:c>
      <x:c r="N292" s="46" t="str">
        <x:f>IF(OR(K292="",A291&lt;&gt;A292,K291=""),"",K292-K291)</x:f>
      </x:c>
      <x:c r="O292" s="42" t="str">
        <x:v>Sem informação</x:v>
      </x:c>
      <x:c r="P292" s="42"/>
      <x:c r="Q292" s="42" t="str"/>
      <x:c r="R292" s="42" t="str"/>
      <x:c r="S292" s="42" t="str"/>
      <x:c r="T292" s="42" t="str"/>
    </x:row>
    <x:row r="293">
      <x:c r="A293" s="42" t="str">
        <x:v>Gabriel Magalhães</x:v>
      </x:c>
      <x:c r="B293" s="42" t="n">
        <x:v>2028</x:v>
      </x:c>
      <x:c r="C293" s="42" t="str">
        <x:v>T4</x:v>
      </x:c>
      <x:c r="D293" s="44" t="n">
        <x:v>47118</x:v>
      </x:c>
      <x:c r="E293" s="42" t="str">
        <x:v>Zagueiro</x:v>
      </x:c>
      <x:c r="F293" s="42" t="str">
        <x:v>FC Arsenal</x:v>
      </x:c>
      <x:c r="G293" s="46"/>
      <x:c r="H293" s="46"/>
      <x:c r="I293" s="46"/>
      <x:c r="J293" s="46"/>
      <x:c r="K293" s="46" t="str">
        <x:f>IF(COUNT(G293,I293)=0,"",AVERAGE(G293,I293))</x:f>
      </x:c>
      <x:c r="L293" s="46" t="str">
        <x:f>IF(COUNT(H293,J293)=0,"",AVERAGE(H293,J293))</x:f>
      </x:c>
      <x:c r="M293" s="46" t="str">
        <x:f>IF(OR(K293="",L293=""),"",L293-K293)</x:f>
      </x:c>
      <x:c r="N293" s="46" t="str">
        <x:f>IF(OR(K293="",A292&lt;&gt;A293,K292=""),"",K293-K292)</x:f>
      </x:c>
      <x:c r="O293" s="42" t="str">
        <x:v>Sem informação</x:v>
      </x:c>
      <x:c r="P293" s="42"/>
      <x:c r="Q293" s="42" t="str"/>
      <x:c r="R293" s="42" t="str"/>
      <x:c r="S293" s="42" t="str"/>
      <x:c r="T293" s="42" t="str"/>
    </x:row>
    <x:row r="294">
      <x:c r="A294" s="42" t="str">
        <x:v>Gabriel Magalhães</x:v>
      </x:c>
      <x:c r="B294" s="42" t="n">
        <x:v>2029</x:v>
      </x:c>
      <x:c r="C294" s="42" t="str">
        <x:v>T1</x:v>
      </x:c>
      <x:c r="D294" s="44" t="n">
        <x:v>47208</x:v>
      </x:c>
      <x:c r="E294" s="42" t="str">
        <x:v>Zagueiro</x:v>
      </x:c>
      <x:c r="F294" s="42" t="str">
        <x:v>FC Arsenal</x:v>
      </x:c>
      <x:c r="G294" s="46"/>
      <x:c r="H294" s="46"/>
      <x:c r="I294" s="46"/>
      <x:c r="J294" s="46"/>
      <x:c r="K294" s="46" t="str">
        <x:f>IF(COUNT(G294,I294)=0,"",AVERAGE(G294,I294))</x:f>
      </x:c>
      <x:c r="L294" s="46" t="str">
        <x:f>IF(COUNT(H294,J294)=0,"",AVERAGE(H294,J294))</x:f>
      </x:c>
      <x:c r="M294" s="46" t="str">
        <x:f>IF(OR(K294="",L294=""),"",L294-K294)</x:f>
      </x:c>
      <x:c r="N294" s="46" t="str">
        <x:f>IF(OR(K294="",A293&lt;&gt;A294,K293=""),"",K294-K293)</x:f>
      </x:c>
      <x:c r="O294" s="42" t="str">
        <x:v>Sem informação</x:v>
      </x:c>
      <x:c r="P294" s="42"/>
      <x:c r="Q294" s="42" t="str"/>
      <x:c r="R294" s="42" t="str"/>
      <x:c r="S294" s="42" t="str"/>
      <x:c r="T294" s="42" t="str"/>
    </x:row>
    <x:row r="295">
      <x:c r="A295" s="42" t="str">
        <x:v>Gabriel Magalhães</x:v>
      </x:c>
      <x:c r="B295" s="42" t="n">
        <x:v>2029</x:v>
      </x:c>
      <x:c r="C295" s="42" t="str">
        <x:v>T2</x:v>
      </x:c>
      <x:c r="D295" s="44" t="n">
        <x:v>47299</x:v>
      </x:c>
      <x:c r="E295" s="42" t="str">
        <x:v>Zagueiro</x:v>
      </x:c>
      <x:c r="F295" s="42" t="str">
        <x:v>FC Arsenal</x:v>
      </x:c>
      <x:c r="G295" s="46"/>
      <x:c r="H295" s="46"/>
      <x:c r="I295" s="46"/>
      <x:c r="J295" s="46"/>
      <x:c r="K295" s="46" t="str">
        <x:f>IF(COUNT(G295,I295)=0,"",AVERAGE(G295,I295))</x:f>
      </x:c>
      <x:c r="L295" s="46" t="str">
        <x:f>IF(COUNT(H295,J295)=0,"",AVERAGE(H295,J295))</x:f>
      </x:c>
      <x:c r="M295" s="46" t="str">
        <x:f>IF(OR(K295="",L295=""),"",L295-K295)</x:f>
      </x:c>
      <x:c r="N295" s="46" t="str">
        <x:f>IF(OR(K295="",A294&lt;&gt;A295,K294=""),"",K295-K294)</x:f>
      </x:c>
      <x:c r="O295" s="42" t="str">
        <x:v>Sem informação</x:v>
      </x:c>
      <x:c r="P295" s="42"/>
      <x:c r="Q295" s="42" t="str"/>
      <x:c r="R295" s="42" t="str"/>
      <x:c r="S295" s="42" t="str"/>
      <x:c r="T295" s="42" t="str"/>
    </x:row>
    <x:row r="296">
      <x:c r="A296" s="42" t="str">
        <x:v>Gabriel Magalhães</x:v>
      </x:c>
      <x:c r="B296" s="42" t="n">
        <x:v>2029</x:v>
      </x:c>
      <x:c r="C296" s="42" t="str">
        <x:v>T3</x:v>
      </x:c>
      <x:c r="D296" s="44" t="n">
        <x:v>47391</x:v>
      </x:c>
      <x:c r="E296" s="42" t="str">
        <x:v>Zagueiro</x:v>
      </x:c>
      <x:c r="F296" s="42" t="str">
        <x:v>FC Arsenal</x:v>
      </x:c>
      <x:c r="G296" s="46"/>
      <x:c r="H296" s="46"/>
      <x:c r="I296" s="46"/>
      <x:c r="J296" s="46"/>
      <x:c r="K296" s="46" t="str">
        <x:f>IF(COUNT(G296,I296)=0,"",AVERAGE(G296,I296))</x:f>
      </x:c>
      <x:c r="L296" s="46" t="str">
        <x:f>IF(COUNT(H296,J296)=0,"",AVERAGE(H296,J296))</x:f>
      </x:c>
      <x:c r="M296" s="46" t="str">
        <x:f>IF(OR(K296="",L296=""),"",L296-K296)</x:f>
      </x:c>
      <x:c r="N296" s="46" t="str">
        <x:f>IF(OR(K296="",A295&lt;&gt;A296,K295=""),"",K296-K295)</x:f>
      </x:c>
      <x:c r="O296" s="42" t="str">
        <x:v>Sem informação</x:v>
      </x:c>
      <x:c r="P296" s="42"/>
      <x:c r="Q296" s="42" t="str"/>
      <x:c r="R296" s="42" t="str"/>
      <x:c r="S296" s="42" t="str"/>
      <x:c r="T296" s="42" t="str"/>
    </x:row>
    <x:row r="297">
      <x:c r="A297" s="42" t="str">
        <x:v>Gabriel Magalhães</x:v>
      </x:c>
      <x:c r="B297" s="42" t="n">
        <x:v>2029</x:v>
      </x:c>
      <x:c r="C297" s="42" t="str">
        <x:v>T4</x:v>
      </x:c>
      <x:c r="D297" s="44" t="n">
        <x:v>47483</x:v>
      </x:c>
      <x:c r="E297" s="42" t="str">
        <x:v>Zagueiro</x:v>
      </x:c>
      <x:c r="F297" s="42" t="str">
        <x:v>FC Arsenal</x:v>
      </x:c>
      <x:c r="G297" s="46"/>
      <x:c r="H297" s="46"/>
      <x:c r="I297" s="46"/>
      <x:c r="J297" s="46"/>
      <x:c r="K297" s="46" t="str">
        <x:f>IF(COUNT(G297,I297)=0,"",AVERAGE(G297,I297))</x:f>
      </x:c>
      <x:c r="L297" s="46" t="str">
        <x:f>IF(COUNT(H297,J297)=0,"",AVERAGE(H297,J297))</x:f>
      </x:c>
      <x:c r="M297" s="46" t="str">
        <x:f>IF(OR(K297="",L297=""),"",L297-K297)</x:f>
      </x:c>
      <x:c r="N297" s="46" t="str">
        <x:f>IF(OR(K297="",A296&lt;&gt;A297,K296=""),"",K297-K296)</x:f>
      </x:c>
      <x:c r="O297" s="42" t="str">
        <x:v>Sem informação</x:v>
      </x:c>
      <x:c r="P297" s="42"/>
      <x:c r="Q297" s="42" t="str"/>
      <x:c r="R297" s="42" t="str"/>
      <x:c r="S297" s="42" t="str"/>
      <x:c r="T297" s="42" t="str"/>
    </x:row>
    <x:row r="298">
      <x:c r="A298" s="42" t="str">
        <x:v>Gabriel Magalhães</x:v>
      </x:c>
      <x:c r="B298" s="42" t="n">
        <x:v>2030</x:v>
      </x:c>
      <x:c r="C298" s="42" t="str">
        <x:v>T1</x:v>
      </x:c>
      <x:c r="D298" s="44" t="n">
        <x:v>47573</x:v>
      </x:c>
      <x:c r="E298" s="42" t="str">
        <x:v>Zagueiro</x:v>
      </x:c>
      <x:c r="F298" s="42" t="str">
        <x:v>FC Arsenal</x:v>
      </x:c>
      <x:c r="G298" s="46"/>
      <x:c r="H298" s="46"/>
      <x:c r="I298" s="46"/>
      <x:c r="J298" s="46"/>
      <x:c r="K298" s="46" t="str">
        <x:f>IF(COUNT(G298,I298)=0,"",AVERAGE(G298,I298))</x:f>
      </x:c>
      <x:c r="L298" s="46" t="str">
        <x:f>IF(COUNT(H298,J298)=0,"",AVERAGE(H298,J298))</x:f>
      </x:c>
      <x:c r="M298" s="46" t="str">
        <x:f>IF(OR(K298="",L298=""),"",L298-K298)</x:f>
      </x:c>
      <x:c r="N298" s="46" t="str">
        <x:f>IF(OR(K298="",A297&lt;&gt;A298,K297=""),"",K298-K297)</x:f>
      </x:c>
      <x:c r="O298" s="42" t="str">
        <x:v>Sem informação</x:v>
      </x:c>
      <x:c r="P298" s="42"/>
      <x:c r="Q298" s="42" t="str"/>
      <x:c r="R298" s="42" t="str"/>
      <x:c r="S298" s="42" t="str"/>
      <x:c r="T298" s="42" t="str"/>
    </x:row>
    <x:row r="299">
      <x:c r="A299" s="42" t="str">
        <x:v>Gabriel Magalhães</x:v>
      </x:c>
      <x:c r="B299" s="42" t="n">
        <x:v>2030</x:v>
      </x:c>
      <x:c r="C299" s="42" t="str">
        <x:v>T2</x:v>
      </x:c>
      <x:c r="D299" s="44" t="n">
        <x:v>47664</x:v>
      </x:c>
      <x:c r="E299" s="42" t="str">
        <x:v>Zagueiro</x:v>
      </x:c>
      <x:c r="F299" s="42" t="str">
        <x:v>FC Arsenal</x:v>
      </x:c>
      <x:c r="G299" s="46"/>
      <x:c r="H299" s="46"/>
      <x:c r="I299" s="46"/>
      <x:c r="J299" s="46"/>
      <x:c r="K299" s="46" t="str">
        <x:f>IF(COUNT(G299,I299)=0,"",AVERAGE(G299,I299))</x:f>
      </x:c>
      <x:c r="L299" s="46" t="str">
        <x:f>IF(COUNT(H299,J299)=0,"",AVERAGE(H299,J299))</x:f>
      </x:c>
      <x:c r="M299" s="46" t="str">
        <x:f>IF(OR(K299="",L299=""),"",L299-K299)</x:f>
      </x:c>
      <x:c r="N299" s="46" t="str">
        <x:f>IF(OR(K299="",A298&lt;&gt;A299,K298=""),"",K299-K298)</x:f>
      </x:c>
      <x:c r="O299" s="42" t="str">
        <x:v>Sem informação</x:v>
      </x:c>
      <x:c r="P299" s="42"/>
      <x:c r="Q299" s="42" t="str"/>
      <x:c r="R299" s="42" t="str"/>
      <x:c r="S299" s="42" t="str"/>
      <x:c r="T299" s="42" t="str"/>
    </x:row>
    <x:row r="300">
      <x:c r="A300" s="42" t="str">
        <x:v>Gabriel Magalhães</x:v>
      </x:c>
      <x:c r="B300" s="42" t="n">
        <x:v>2030</x:v>
      </x:c>
      <x:c r="C300" s="42" t="str">
        <x:v>T3</x:v>
      </x:c>
      <x:c r="D300" s="44" t="n">
        <x:v>47756</x:v>
      </x:c>
      <x:c r="E300" s="42" t="str">
        <x:v>Zagueiro</x:v>
      </x:c>
      <x:c r="F300" s="42" t="str">
        <x:v>FC Arsenal</x:v>
      </x:c>
      <x:c r="G300" s="46"/>
      <x:c r="H300" s="46"/>
      <x:c r="I300" s="46"/>
      <x:c r="J300" s="46"/>
      <x:c r="K300" s="46" t="str">
        <x:f>IF(COUNT(G300,I300)=0,"",AVERAGE(G300,I300))</x:f>
      </x:c>
      <x:c r="L300" s="46" t="str">
        <x:f>IF(COUNT(H300,J300)=0,"",AVERAGE(H300,J300))</x:f>
      </x:c>
      <x:c r="M300" s="46" t="str">
        <x:f>IF(OR(K300="",L300=""),"",L300-K300)</x:f>
      </x:c>
      <x:c r="N300" s="46" t="str">
        <x:f>IF(OR(K300="",A299&lt;&gt;A300,K299=""),"",K300-K299)</x:f>
      </x:c>
      <x:c r="O300" s="42" t="str">
        <x:v>Sem informação</x:v>
      </x:c>
      <x:c r="P300" s="42"/>
      <x:c r="Q300" s="42" t="str"/>
      <x:c r="R300" s="42" t="str"/>
      <x:c r="S300" s="42" t="str"/>
      <x:c r="T300" s="42" t="str"/>
    </x:row>
    <x:row r="301">
      <x:c r="A301" s="42" t="str">
        <x:v>Gabriel Magalhães</x:v>
      </x:c>
      <x:c r="B301" s="42" t="n">
        <x:v>2030</x:v>
      </x:c>
      <x:c r="C301" s="42" t="str">
        <x:v>T4</x:v>
      </x:c>
      <x:c r="D301" s="44" t="n">
        <x:v>47848</x:v>
      </x:c>
      <x:c r="E301" s="42" t="str">
        <x:v>Zagueiro</x:v>
      </x:c>
      <x:c r="F301" s="42" t="str">
        <x:v>FC Arsenal</x:v>
      </x:c>
      <x:c r="G301" s="46"/>
      <x:c r="H301" s="46"/>
      <x:c r="I301" s="46"/>
      <x:c r="J301" s="46"/>
      <x:c r="K301" s="46" t="str">
        <x:f>IF(COUNT(G301,I301)=0,"",AVERAGE(G301,I301))</x:f>
      </x:c>
      <x:c r="L301" s="46" t="str">
        <x:f>IF(COUNT(H301,J301)=0,"",AVERAGE(H301,J301))</x:f>
      </x:c>
      <x:c r="M301" s="46" t="str">
        <x:f>IF(OR(K301="",L301=""),"",L301-K301)</x:f>
      </x:c>
      <x:c r="N301" s="46" t="str">
        <x:f>IF(OR(K301="",A300&lt;&gt;A301,K300=""),"",K301-K300)</x:f>
      </x:c>
      <x:c r="O301" s="42" t="str">
        <x:v>Sem informação</x:v>
      </x:c>
      <x:c r="P301" s="42"/>
      <x:c r="Q301" s="42" t="str"/>
      <x:c r="R301" s="42" t="str"/>
      <x:c r="S301" s="42" t="str"/>
      <x:c r="T301" s="42" t="str"/>
    </x:row>
    <x:row r="302">
      <x:c r="A302" s="42" t="str">
        <x:v>Gabriel Martinelli</x:v>
      </x:c>
      <x:c r="B302" s="42" t="n">
        <x:v>2026</x:v>
      </x:c>
      <x:c r="C302" s="42" t="str">
        <x:v>T1</x:v>
      </x:c>
      <x:c r="D302" s="44" t="n">
        <x:v>46112</x:v>
      </x:c>
      <x:c r="E302" s="42" t="str">
        <x:v>Ponta-esquerda</x:v>
      </x:c>
      <x:c r="F302" s="42" t="str">
        <x:v>FC Arsenal</x:v>
      </x:c>
      <x:c r="G302" s="46"/>
      <x:c r="H302" s="46"/>
      <x:c r="I302" s="46"/>
      <x:c r="J302" s="46"/>
      <x:c r="K302" s="46" t="str">
        <x:f>IF(COUNT(G302,I302)=0,"",AVERAGE(G302,I302))</x:f>
      </x:c>
      <x:c r="L302" s="46" t="str">
        <x:f>IF(COUNT(H302,J302)=0,"",AVERAGE(H302,J302))</x:f>
      </x:c>
      <x:c r="M302" s="46" t="str">
        <x:f>IF(OR(K302="",L302=""),"",L302-K302)</x:f>
      </x:c>
      <x:c r="N302" s="46" t="str">
        <x:f>IF(OR(K302="",A301&lt;&gt;A302,K301=""),"",K302-K301)</x:f>
      </x:c>
      <x:c r="O302" s="42" t="str">
        <x:v>Sem informação</x:v>
      </x:c>
      <x:c r="P302" s="42"/>
      <x:c r="Q302" s="42" t="str"/>
      <x:c r="R302" s="42" t="str"/>
      <x:c r="S302" s="42" t="str"/>
      <x:c r="T302" s="42" t="str"/>
    </x:row>
    <x:row r="303">
      <x:c r="A303" s="42" t="str">
        <x:v>Gabriel Martinelli</x:v>
      </x:c>
      <x:c r="B303" s="42" t="n">
        <x:v>2026</x:v>
      </x:c>
      <x:c r="C303" s="42" t="str">
        <x:v>T2</x:v>
      </x:c>
      <x:c r="D303" s="44" t="n">
        <x:v>46203</x:v>
      </x:c>
      <x:c r="E303" s="42" t="str">
        <x:v>Ponta-esquerda</x:v>
      </x:c>
      <x:c r="F303" s="42" t="str">
        <x:v>FC Arsenal</x:v>
      </x:c>
      <x:c r="G303" s="46" t="n">
        <x:v>7.5</x:v>
      </x:c>
      <x:c r="H303" s="46" t="n">
        <x:v>7.5</x:v>
      </x:c>
      <x:c r="I303" s="46" t="n">
        <x:v>8</x:v>
      </x:c>
      <x:c r="J303" s="46" t="n">
        <x:v>7</x:v>
      </x:c>
      <x:c r="K303" s="46" t="n">
        <x:f>IF(COUNT(G303,I303)=0,"",AVERAGE(G303,I303))</x:f>
        <x:v>7.75</x:v>
      </x:c>
      <x:c r="L303" s="46" t="n">
        <x:f>IF(COUNT(H303,J303)=0,"",AVERAGE(H303,J303))</x:f>
        <x:v>7.25</x:v>
      </x:c>
      <x:c r="M303" s="46" t="n">
        <x:f>IF(OR(K303="",L303=""),"",L303-K303)</x:f>
        <x:v>-0.5</x:v>
      </x:c>
      <x:c r="N303" s="46" t="str">
        <x:f>IF(OR(K303="",A302&lt;&gt;A303,K302=""),"",K303-K302)</x:f>
      </x:c>
      <x:c r="O303" s="42" t="str">
        <x:v>Sem informação</x:v>
      </x:c>
      <x:c r="P303" s="42"/>
      <x:c r="Q303" s="42" t="str"/>
      <x:c r="R303" s="42" t="str"/>
      <x:c r="S303" s="42" t="str"/>
      <x:c r="T303" s="42" t="str"/>
    </x:row>
    <x:row r="304">
      <x:c r="A304" s="42" t="str">
        <x:v>Gabriel Martinelli</x:v>
      </x:c>
      <x:c r="B304" s="42" t="n">
        <x:v>2026</x:v>
      </x:c>
      <x:c r="C304" s="42" t="str">
        <x:v>T3</x:v>
      </x:c>
      <x:c r="D304" s="44" t="n">
        <x:v>46295</x:v>
      </x:c>
      <x:c r="E304" s="42" t="str">
        <x:v>Ponta-esquerda</x:v>
      </x:c>
      <x:c r="F304" s="42" t="str">
        <x:v>FC Arsenal</x:v>
      </x:c>
      <x:c r="G304" s="46"/>
      <x:c r="H304" s="46"/>
      <x:c r="I304" s="46"/>
      <x:c r="J304" s="46"/>
      <x:c r="K304" s="46" t="str">
        <x:f>IF(COUNT(G304,I304)=0,"",AVERAGE(G304,I304))</x:f>
      </x:c>
      <x:c r="L304" s="46" t="str">
        <x:f>IF(COUNT(H304,J304)=0,"",AVERAGE(H304,J304))</x:f>
      </x:c>
      <x:c r="M304" s="46" t="str">
        <x:f>IF(OR(K304="",L304=""),"",L304-K304)</x:f>
      </x:c>
      <x:c r="N304" s="46" t="str">
        <x:f>IF(OR(K304="",A303&lt;&gt;A304,K303=""),"",K304-K303)</x:f>
      </x:c>
      <x:c r="O304" s="42" t="str">
        <x:v>Sem informação</x:v>
      </x:c>
      <x:c r="P304" s="42"/>
      <x:c r="Q304" s="42" t="str"/>
      <x:c r="R304" s="42" t="str"/>
      <x:c r="S304" s="42" t="str"/>
      <x:c r="T304" s="42" t="str"/>
    </x:row>
    <x:row r="305">
      <x:c r="A305" s="42" t="str">
        <x:v>Gabriel Martinelli</x:v>
      </x:c>
      <x:c r="B305" s="42" t="n">
        <x:v>2026</x:v>
      </x:c>
      <x:c r="C305" s="42" t="str">
        <x:v>T4</x:v>
      </x:c>
      <x:c r="D305" s="44" t="n">
        <x:v>46387</x:v>
      </x:c>
      <x:c r="E305" s="42" t="str">
        <x:v>Ponta-esquerda</x:v>
      </x:c>
      <x:c r="F305" s="42" t="str">
        <x:v>FC Arsenal</x:v>
      </x:c>
      <x:c r="G305" s="46"/>
      <x:c r="H305" s="46"/>
      <x:c r="I305" s="46"/>
      <x:c r="J305" s="46"/>
      <x:c r="K305" s="46" t="str">
        <x:f>IF(COUNT(G305,I305)=0,"",AVERAGE(G305,I305))</x:f>
      </x:c>
      <x:c r="L305" s="46" t="str">
        <x:f>IF(COUNT(H305,J305)=0,"",AVERAGE(H305,J305))</x:f>
      </x:c>
      <x:c r="M305" s="46" t="str">
        <x:f>IF(OR(K305="",L305=""),"",L305-K305)</x:f>
      </x:c>
      <x:c r="N305" s="46" t="str">
        <x:f>IF(OR(K305="",A304&lt;&gt;A305,K304=""),"",K305-K304)</x:f>
      </x:c>
      <x:c r="O305" s="42" t="str">
        <x:v>Sem informação</x:v>
      </x:c>
      <x:c r="P305" s="42"/>
      <x:c r="Q305" s="42" t="str"/>
      <x:c r="R305" s="42" t="str"/>
      <x:c r="S305" s="42" t="str"/>
      <x:c r="T305" s="42" t="str"/>
    </x:row>
    <x:row r="306">
      <x:c r="A306" s="42" t="str">
        <x:v>Gabriel Martinelli</x:v>
      </x:c>
      <x:c r="B306" s="42" t="n">
        <x:v>2027</x:v>
      </x:c>
      <x:c r="C306" s="42" t="str">
        <x:v>T1</x:v>
      </x:c>
      <x:c r="D306" s="44" t="n">
        <x:v>46477</x:v>
      </x:c>
      <x:c r="E306" s="42" t="str">
        <x:v>Ponta-esquerda</x:v>
      </x:c>
      <x:c r="F306" s="42" t="str">
        <x:v>FC Arsenal</x:v>
      </x:c>
      <x:c r="G306" s="46"/>
      <x:c r="H306" s="46"/>
      <x:c r="I306" s="46"/>
      <x:c r="J306" s="46"/>
      <x:c r="K306" s="46" t="str">
        <x:f>IF(COUNT(G306,I306)=0,"",AVERAGE(G306,I306))</x:f>
      </x:c>
      <x:c r="L306" s="46" t="str">
        <x:f>IF(COUNT(H306,J306)=0,"",AVERAGE(H306,J306))</x:f>
      </x:c>
      <x:c r="M306" s="46" t="str">
        <x:f>IF(OR(K306="",L306=""),"",L306-K306)</x:f>
      </x:c>
      <x:c r="N306" s="46" t="str">
        <x:f>IF(OR(K306="",A305&lt;&gt;A306,K305=""),"",K306-K305)</x:f>
      </x:c>
      <x:c r="O306" s="42" t="str">
        <x:v>Sem informação</x:v>
      </x:c>
      <x:c r="P306" s="42"/>
      <x:c r="Q306" s="42" t="str"/>
      <x:c r="R306" s="42" t="str"/>
      <x:c r="S306" s="42" t="str"/>
      <x:c r="T306" s="42" t="str"/>
    </x:row>
    <x:row r="307">
      <x:c r="A307" s="42" t="str">
        <x:v>Gabriel Martinelli</x:v>
      </x:c>
      <x:c r="B307" s="42" t="n">
        <x:v>2027</x:v>
      </x:c>
      <x:c r="C307" s="42" t="str">
        <x:v>T2</x:v>
      </x:c>
      <x:c r="D307" s="44" t="n">
        <x:v>46568</x:v>
      </x:c>
      <x:c r="E307" s="42" t="str">
        <x:v>Ponta-esquerda</x:v>
      </x:c>
      <x:c r="F307" s="42" t="str">
        <x:v>FC Arsenal</x:v>
      </x:c>
      <x:c r="G307" s="46"/>
      <x:c r="H307" s="46"/>
      <x:c r="I307" s="46"/>
      <x:c r="J307" s="46"/>
      <x:c r="K307" s="46" t="str">
        <x:f>IF(COUNT(G307,I307)=0,"",AVERAGE(G307,I307))</x:f>
      </x:c>
      <x:c r="L307" s="46" t="str">
        <x:f>IF(COUNT(H307,J307)=0,"",AVERAGE(H307,J307))</x:f>
      </x:c>
      <x:c r="M307" s="46" t="str">
        <x:f>IF(OR(K307="",L307=""),"",L307-K307)</x:f>
      </x:c>
      <x:c r="N307" s="46" t="str">
        <x:f>IF(OR(K307="",A306&lt;&gt;A307,K306=""),"",K307-K306)</x:f>
      </x:c>
      <x:c r="O307" s="42" t="str">
        <x:v>Sem informação</x:v>
      </x:c>
      <x:c r="P307" s="42"/>
      <x:c r="Q307" s="42" t="str"/>
      <x:c r="R307" s="42" t="str"/>
      <x:c r="S307" s="42" t="str"/>
      <x:c r="T307" s="42" t="str"/>
    </x:row>
    <x:row r="308">
      <x:c r="A308" s="42" t="str">
        <x:v>Gabriel Martinelli</x:v>
      </x:c>
      <x:c r="B308" s="42" t="n">
        <x:v>2027</x:v>
      </x:c>
      <x:c r="C308" s="42" t="str">
        <x:v>T3</x:v>
      </x:c>
      <x:c r="D308" s="44" t="n">
        <x:v>46660</x:v>
      </x:c>
      <x:c r="E308" s="42" t="str">
        <x:v>Ponta-esquerda</x:v>
      </x:c>
      <x:c r="F308" s="42" t="str">
        <x:v>FC Arsenal</x:v>
      </x:c>
      <x:c r="G308" s="46"/>
      <x:c r="H308" s="46"/>
      <x:c r="I308" s="46"/>
      <x:c r="J308" s="46"/>
      <x:c r="K308" s="46" t="str">
        <x:f>IF(COUNT(G308,I308)=0,"",AVERAGE(G308,I308))</x:f>
      </x:c>
      <x:c r="L308" s="46" t="str">
        <x:f>IF(COUNT(H308,J308)=0,"",AVERAGE(H308,J308))</x:f>
      </x:c>
      <x:c r="M308" s="46" t="str">
        <x:f>IF(OR(K308="",L308=""),"",L308-K308)</x:f>
      </x:c>
      <x:c r="N308" s="46" t="str">
        <x:f>IF(OR(K308="",A307&lt;&gt;A308,K307=""),"",K308-K307)</x:f>
      </x:c>
      <x:c r="O308" s="42" t="str">
        <x:v>Sem informação</x:v>
      </x:c>
      <x:c r="P308" s="42"/>
      <x:c r="Q308" s="42" t="str"/>
      <x:c r="R308" s="42" t="str"/>
      <x:c r="S308" s="42" t="str"/>
      <x:c r="T308" s="42" t="str"/>
    </x:row>
    <x:row r="309">
      <x:c r="A309" s="42" t="str">
        <x:v>Gabriel Martinelli</x:v>
      </x:c>
      <x:c r="B309" s="42" t="n">
        <x:v>2027</x:v>
      </x:c>
      <x:c r="C309" s="42" t="str">
        <x:v>T4</x:v>
      </x:c>
      <x:c r="D309" s="44" t="n">
        <x:v>46752</x:v>
      </x:c>
      <x:c r="E309" s="42" t="str">
        <x:v>Ponta-esquerda</x:v>
      </x:c>
      <x:c r="F309" s="42" t="str">
        <x:v>FC Arsenal</x:v>
      </x:c>
      <x:c r="G309" s="46"/>
      <x:c r="H309" s="46"/>
      <x:c r="I309" s="46"/>
      <x:c r="J309" s="46"/>
      <x:c r="K309" s="46" t="str">
        <x:f>IF(COUNT(G309,I309)=0,"",AVERAGE(G309,I309))</x:f>
      </x:c>
      <x:c r="L309" s="46" t="str">
        <x:f>IF(COUNT(H309,J309)=0,"",AVERAGE(H309,J309))</x:f>
      </x:c>
      <x:c r="M309" s="46" t="str">
        <x:f>IF(OR(K309="",L309=""),"",L309-K309)</x:f>
      </x:c>
      <x:c r="N309" s="46" t="str">
        <x:f>IF(OR(K309="",A308&lt;&gt;A309,K308=""),"",K309-K308)</x:f>
      </x:c>
      <x:c r="O309" s="42" t="str">
        <x:v>Sem informação</x:v>
      </x:c>
      <x:c r="P309" s="42"/>
      <x:c r="Q309" s="42" t="str"/>
      <x:c r="R309" s="42" t="str"/>
      <x:c r="S309" s="42" t="str"/>
      <x:c r="T309" s="42" t="str"/>
    </x:row>
    <x:row r="310">
      <x:c r="A310" s="42" t="str">
        <x:v>Gabriel Martinelli</x:v>
      </x:c>
      <x:c r="B310" s="42" t="n">
        <x:v>2028</x:v>
      </x:c>
      <x:c r="C310" s="42" t="str">
        <x:v>T1</x:v>
      </x:c>
      <x:c r="D310" s="44" t="n">
        <x:v>46843</x:v>
      </x:c>
      <x:c r="E310" s="42" t="str">
        <x:v>Ponta-esquerda</x:v>
      </x:c>
      <x:c r="F310" s="42" t="str">
        <x:v>FC Arsenal</x:v>
      </x:c>
      <x:c r="G310" s="46"/>
      <x:c r="H310" s="46"/>
      <x:c r="I310" s="46"/>
      <x:c r="J310" s="46"/>
      <x:c r="K310" s="46" t="str">
        <x:f>IF(COUNT(G310,I310)=0,"",AVERAGE(G310,I310))</x:f>
      </x:c>
      <x:c r="L310" s="46" t="str">
        <x:f>IF(COUNT(H310,J310)=0,"",AVERAGE(H310,J310))</x:f>
      </x:c>
      <x:c r="M310" s="46" t="str">
        <x:f>IF(OR(K310="",L310=""),"",L310-K310)</x:f>
      </x:c>
      <x:c r="N310" s="46" t="str">
        <x:f>IF(OR(K310="",A309&lt;&gt;A310,K309=""),"",K310-K309)</x:f>
      </x:c>
      <x:c r="O310" s="42" t="str">
        <x:v>Sem informação</x:v>
      </x:c>
      <x:c r="P310" s="42"/>
      <x:c r="Q310" s="42" t="str"/>
      <x:c r="R310" s="42" t="str"/>
      <x:c r="S310" s="42" t="str"/>
      <x:c r="T310" s="42" t="str"/>
    </x:row>
    <x:row r="311">
      <x:c r="A311" s="42" t="str">
        <x:v>Gabriel Martinelli</x:v>
      </x:c>
      <x:c r="B311" s="42" t="n">
        <x:v>2028</x:v>
      </x:c>
      <x:c r="C311" s="42" t="str">
        <x:v>T2</x:v>
      </x:c>
      <x:c r="D311" s="44" t="n">
        <x:v>46934</x:v>
      </x:c>
      <x:c r="E311" s="42" t="str">
        <x:v>Ponta-esquerda</x:v>
      </x:c>
      <x:c r="F311" s="42" t="str">
        <x:v>FC Arsenal</x:v>
      </x:c>
      <x:c r="G311" s="46"/>
      <x:c r="H311" s="46"/>
      <x:c r="I311" s="46"/>
      <x:c r="J311" s="46"/>
      <x:c r="K311" s="46" t="str">
        <x:f>IF(COUNT(G311,I311)=0,"",AVERAGE(G311,I311))</x:f>
      </x:c>
      <x:c r="L311" s="46" t="str">
        <x:f>IF(COUNT(H311,J311)=0,"",AVERAGE(H311,J311))</x:f>
      </x:c>
      <x:c r="M311" s="46" t="str">
        <x:f>IF(OR(K311="",L311=""),"",L311-K311)</x:f>
      </x:c>
      <x:c r="N311" s="46" t="str">
        <x:f>IF(OR(K311="",A310&lt;&gt;A311,K310=""),"",K311-K310)</x:f>
      </x:c>
      <x:c r="O311" s="42" t="str">
        <x:v>Sem informação</x:v>
      </x:c>
      <x:c r="P311" s="42"/>
      <x:c r="Q311" s="42" t="str"/>
      <x:c r="R311" s="42" t="str"/>
      <x:c r="S311" s="42" t="str"/>
      <x:c r="T311" s="42" t="str"/>
    </x:row>
    <x:row r="312">
      <x:c r="A312" s="42" t="str">
        <x:v>Gabriel Martinelli</x:v>
      </x:c>
      <x:c r="B312" s="42" t="n">
        <x:v>2028</x:v>
      </x:c>
      <x:c r="C312" s="42" t="str">
        <x:v>T3</x:v>
      </x:c>
      <x:c r="D312" s="44" t="n">
        <x:v>47026</x:v>
      </x:c>
      <x:c r="E312" s="42" t="str">
        <x:v>Ponta-esquerda</x:v>
      </x:c>
      <x:c r="F312" s="42" t="str">
        <x:v>FC Arsenal</x:v>
      </x:c>
      <x:c r="G312" s="46"/>
      <x:c r="H312" s="46"/>
      <x:c r="I312" s="46"/>
      <x:c r="J312" s="46"/>
      <x:c r="K312" s="46" t="str">
        <x:f>IF(COUNT(G312,I312)=0,"",AVERAGE(G312,I312))</x:f>
      </x:c>
      <x:c r="L312" s="46" t="str">
        <x:f>IF(COUNT(H312,J312)=0,"",AVERAGE(H312,J312))</x:f>
      </x:c>
      <x:c r="M312" s="46" t="str">
        <x:f>IF(OR(K312="",L312=""),"",L312-K312)</x:f>
      </x:c>
      <x:c r="N312" s="46" t="str">
        <x:f>IF(OR(K312="",A311&lt;&gt;A312,K311=""),"",K312-K311)</x:f>
      </x:c>
      <x:c r="O312" s="42" t="str">
        <x:v>Sem informação</x:v>
      </x:c>
      <x:c r="P312" s="42"/>
      <x:c r="Q312" s="42" t="str"/>
      <x:c r="R312" s="42" t="str"/>
      <x:c r="S312" s="42" t="str"/>
      <x:c r="T312" s="42" t="str"/>
    </x:row>
    <x:row r="313">
      <x:c r="A313" s="42" t="str">
        <x:v>Gabriel Martinelli</x:v>
      </x:c>
      <x:c r="B313" s="42" t="n">
        <x:v>2028</x:v>
      </x:c>
      <x:c r="C313" s="42" t="str">
        <x:v>T4</x:v>
      </x:c>
      <x:c r="D313" s="44" t="n">
        <x:v>47118</x:v>
      </x:c>
      <x:c r="E313" s="42" t="str">
        <x:v>Ponta-esquerda</x:v>
      </x:c>
      <x:c r="F313" s="42" t="str">
        <x:v>FC Arsenal</x:v>
      </x:c>
      <x:c r="G313" s="46"/>
      <x:c r="H313" s="46"/>
      <x:c r="I313" s="46"/>
      <x:c r="J313" s="46"/>
      <x:c r="K313" s="46" t="str">
        <x:f>IF(COUNT(G313,I313)=0,"",AVERAGE(G313,I313))</x:f>
      </x:c>
      <x:c r="L313" s="46" t="str">
        <x:f>IF(COUNT(H313,J313)=0,"",AVERAGE(H313,J313))</x:f>
      </x:c>
      <x:c r="M313" s="46" t="str">
        <x:f>IF(OR(K313="",L313=""),"",L313-K313)</x:f>
      </x:c>
      <x:c r="N313" s="46" t="str">
        <x:f>IF(OR(K313="",A312&lt;&gt;A313,K312=""),"",K313-K312)</x:f>
      </x:c>
      <x:c r="O313" s="42" t="str">
        <x:v>Sem informação</x:v>
      </x:c>
      <x:c r="P313" s="42"/>
      <x:c r="Q313" s="42" t="str"/>
      <x:c r="R313" s="42" t="str"/>
      <x:c r="S313" s="42" t="str"/>
      <x:c r="T313" s="42" t="str"/>
    </x:row>
    <x:row r="314">
      <x:c r="A314" s="42" t="str">
        <x:v>Gabriel Martinelli</x:v>
      </x:c>
      <x:c r="B314" s="42" t="n">
        <x:v>2029</x:v>
      </x:c>
      <x:c r="C314" s="42" t="str">
        <x:v>T1</x:v>
      </x:c>
      <x:c r="D314" s="44" t="n">
        <x:v>47208</x:v>
      </x:c>
      <x:c r="E314" s="42" t="str">
        <x:v>Ponta-esquerda</x:v>
      </x:c>
      <x:c r="F314" s="42" t="str">
        <x:v>FC Arsenal</x:v>
      </x:c>
      <x:c r="G314" s="46"/>
      <x:c r="H314" s="46"/>
      <x:c r="I314" s="46"/>
      <x:c r="J314" s="46"/>
      <x:c r="K314" s="46" t="str">
        <x:f>IF(COUNT(G314,I314)=0,"",AVERAGE(G314,I314))</x:f>
      </x:c>
      <x:c r="L314" s="46" t="str">
        <x:f>IF(COUNT(H314,J314)=0,"",AVERAGE(H314,J314))</x:f>
      </x:c>
      <x:c r="M314" s="46" t="str">
        <x:f>IF(OR(K314="",L314=""),"",L314-K314)</x:f>
      </x:c>
      <x:c r="N314" s="46" t="str">
        <x:f>IF(OR(K314="",A313&lt;&gt;A314,K313=""),"",K314-K313)</x:f>
      </x:c>
      <x:c r="O314" s="42" t="str">
        <x:v>Sem informação</x:v>
      </x:c>
      <x:c r="P314" s="42"/>
      <x:c r="Q314" s="42" t="str"/>
      <x:c r="R314" s="42" t="str"/>
      <x:c r="S314" s="42" t="str"/>
      <x:c r="T314" s="42" t="str"/>
    </x:row>
    <x:row r="315">
      <x:c r="A315" s="42" t="str">
        <x:v>Gabriel Martinelli</x:v>
      </x:c>
      <x:c r="B315" s="42" t="n">
        <x:v>2029</x:v>
      </x:c>
      <x:c r="C315" s="42" t="str">
        <x:v>T2</x:v>
      </x:c>
      <x:c r="D315" s="44" t="n">
        <x:v>47299</x:v>
      </x:c>
      <x:c r="E315" s="42" t="str">
        <x:v>Ponta-esquerda</x:v>
      </x:c>
      <x:c r="F315" s="42" t="str">
        <x:v>FC Arsenal</x:v>
      </x:c>
      <x:c r="G315" s="46"/>
      <x:c r="H315" s="46"/>
      <x:c r="I315" s="46"/>
      <x:c r="J315" s="46"/>
      <x:c r="K315" s="46" t="str">
        <x:f>IF(COUNT(G315,I315)=0,"",AVERAGE(G315,I315))</x:f>
      </x:c>
      <x:c r="L315" s="46" t="str">
        <x:f>IF(COUNT(H315,J315)=0,"",AVERAGE(H315,J315))</x:f>
      </x:c>
      <x:c r="M315" s="46" t="str">
        <x:f>IF(OR(K315="",L315=""),"",L315-K315)</x:f>
      </x:c>
      <x:c r="N315" s="46" t="str">
        <x:f>IF(OR(K315="",A314&lt;&gt;A315,K314=""),"",K315-K314)</x:f>
      </x:c>
      <x:c r="O315" s="42" t="str">
        <x:v>Sem informação</x:v>
      </x:c>
      <x:c r="P315" s="42"/>
      <x:c r="Q315" s="42" t="str"/>
      <x:c r="R315" s="42" t="str"/>
      <x:c r="S315" s="42" t="str"/>
      <x:c r="T315" s="42" t="str"/>
    </x:row>
    <x:row r="316">
      <x:c r="A316" s="42" t="str">
        <x:v>Gabriel Martinelli</x:v>
      </x:c>
      <x:c r="B316" s="42" t="n">
        <x:v>2029</x:v>
      </x:c>
      <x:c r="C316" s="42" t="str">
        <x:v>T3</x:v>
      </x:c>
      <x:c r="D316" s="44" t="n">
        <x:v>47391</x:v>
      </x:c>
      <x:c r="E316" s="42" t="str">
        <x:v>Ponta-esquerda</x:v>
      </x:c>
      <x:c r="F316" s="42" t="str">
        <x:v>FC Arsenal</x:v>
      </x:c>
      <x:c r="G316" s="46"/>
      <x:c r="H316" s="46"/>
      <x:c r="I316" s="46"/>
      <x:c r="J316" s="46"/>
      <x:c r="K316" s="46" t="str">
        <x:f>IF(COUNT(G316,I316)=0,"",AVERAGE(G316,I316))</x:f>
      </x:c>
      <x:c r="L316" s="46" t="str">
        <x:f>IF(COUNT(H316,J316)=0,"",AVERAGE(H316,J316))</x:f>
      </x:c>
      <x:c r="M316" s="46" t="str">
        <x:f>IF(OR(K316="",L316=""),"",L316-K316)</x:f>
      </x:c>
      <x:c r="N316" s="46" t="str">
        <x:f>IF(OR(K316="",A315&lt;&gt;A316,K315=""),"",K316-K315)</x:f>
      </x:c>
      <x:c r="O316" s="42" t="str">
        <x:v>Sem informação</x:v>
      </x:c>
      <x:c r="P316" s="42"/>
      <x:c r="Q316" s="42" t="str"/>
      <x:c r="R316" s="42" t="str"/>
      <x:c r="S316" s="42" t="str"/>
      <x:c r="T316" s="42" t="str"/>
    </x:row>
    <x:row r="317">
      <x:c r="A317" s="42" t="str">
        <x:v>Gabriel Martinelli</x:v>
      </x:c>
      <x:c r="B317" s="42" t="n">
        <x:v>2029</x:v>
      </x:c>
      <x:c r="C317" s="42" t="str">
        <x:v>T4</x:v>
      </x:c>
      <x:c r="D317" s="44" t="n">
        <x:v>47483</x:v>
      </x:c>
      <x:c r="E317" s="42" t="str">
        <x:v>Ponta-esquerda</x:v>
      </x:c>
      <x:c r="F317" s="42" t="str">
        <x:v>FC Arsenal</x:v>
      </x:c>
      <x:c r="G317" s="46"/>
      <x:c r="H317" s="46"/>
      <x:c r="I317" s="46"/>
      <x:c r="J317" s="46"/>
      <x:c r="K317" s="46" t="str">
        <x:f>IF(COUNT(G317,I317)=0,"",AVERAGE(G317,I317))</x:f>
      </x:c>
      <x:c r="L317" s="46" t="str">
        <x:f>IF(COUNT(H317,J317)=0,"",AVERAGE(H317,J317))</x:f>
      </x:c>
      <x:c r="M317" s="46" t="str">
        <x:f>IF(OR(K317="",L317=""),"",L317-K317)</x:f>
      </x:c>
      <x:c r="N317" s="46" t="str">
        <x:f>IF(OR(K317="",A316&lt;&gt;A317,K316=""),"",K317-K316)</x:f>
      </x:c>
      <x:c r="O317" s="42" t="str">
        <x:v>Sem informação</x:v>
      </x:c>
      <x:c r="P317" s="42"/>
      <x:c r="Q317" s="42" t="str"/>
      <x:c r="R317" s="42" t="str"/>
      <x:c r="S317" s="42" t="str"/>
      <x:c r="T317" s="42" t="str"/>
    </x:row>
    <x:row r="318">
      <x:c r="A318" s="42" t="str">
        <x:v>Gabriel Martinelli</x:v>
      </x:c>
      <x:c r="B318" s="42" t="n">
        <x:v>2030</x:v>
      </x:c>
      <x:c r="C318" s="42" t="str">
        <x:v>T1</x:v>
      </x:c>
      <x:c r="D318" s="44" t="n">
        <x:v>47573</x:v>
      </x:c>
      <x:c r="E318" s="42" t="str">
        <x:v>Ponta-esquerda</x:v>
      </x:c>
      <x:c r="F318" s="42" t="str">
        <x:v>FC Arsenal</x:v>
      </x:c>
      <x:c r="G318" s="46"/>
      <x:c r="H318" s="46"/>
      <x:c r="I318" s="46"/>
      <x:c r="J318" s="46"/>
      <x:c r="K318" s="46" t="str">
        <x:f>IF(COUNT(G318,I318)=0,"",AVERAGE(G318,I318))</x:f>
      </x:c>
      <x:c r="L318" s="46" t="str">
        <x:f>IF(COUNT(H318,J318)=0,"",AVERAGE(H318,J318))</x:f>
      </x:c>
      <x:c r="M318" s="46" t="str">
        <x:f>IF(OR(K318="",L318=""),"",L318-K318)</x:f>
      </x:c>
      <x:c r="N318" s="46" t="str">
        <x:f>IF(OR(K318="",A317&lt;&gt;A318,K317=""),"",K318-K317)</x:f>
      </x:c>
      <x:c r="O318" s="42" t="str">
        <x:v>Sem informação</x:v>
      </x:c>
      <x:c r="P318" s="42"/>
      <x:c r="Q318" s="42" t="str"/>
      <x:c r="R318" s="42" t="str"/>
      <x:c r="S318" s="42" t="str"/>
      <x:c r="T318" s="42" t="str"/>
    </x:row>
    <x:row r="319">
      <x:c r="A319" s="42" t="str">
        <x:v>Gabriel Martinelli</x:v>
      </x:c>
      <x:c r="B319" s="42" t="n">
        <x:v>2030</x:v>
      </x:c>
      <x:c r="C319" s="42" t="str">
        <x:v>T2</x:v>
      </x:c>
      <x:c r="D319" s="44" t="n">
        <x:v>47664</x:v>
      </x:c>
      <x:c r="E319" s="42" t="str">
        <x:v>Ponta-esquerda</x:v>
      </x:c>
      <x:c r="F319" s="42" t="str">
        <x:v>FC Arsenal</x:v>
      </x:c>
      <x:c r="G319" s="46"/>
      <x:c r="H319" s="46"/>
      <x:c r="I319" s="46"/>
      <x:c r="J319" s="46"/>
      <x:c r="K319" s="46" t="str">
        <x:f>IF(COUNT(G319,I319)=0,"",AVERAGE(G319,I319))</x:f>
      </x:c>
      <x:c r="L319" s="46" t="str">
        <x:f>IF(COUNT(H319,J319)=0,"",AVERAGE(H319,J319))</x:f>
      </x:c>
      <x:c r="M319" s="46" t="str">
        <x:f>IF(OR(K319="",L319=""),"",L319-K319)</x:f>
      </x:c>
      <x:c r="N319" s="46" t="str">
        <x:f>IF(OR(K319="",A318&lt;&gt;A319,K318=""),"",K319-K318)</x:f>
      </x:c>
      <x:c r="O319" s="42" t="str">
        <x:v>Sem informação</x:v>
      </x:c>
      <x:c r="P319" s="42"/>
      <x:c r="Q319" s="42" t="str"/>
      <x:c r="R319" s="42" t="str"/>
      <x:c r="S319" s="42" t="str"/>
      <x:c r="T319" s="42" t="str"/>
    </x:row>
    <x:row r="320">
      <x:c r="A320" s="42" t="str">
        <x:v>Gabriel Martinelli</x:v>
      </x:c>
      <x:c r="B320" s="42" t="n">
        <x:v>2030</x:v>
      </x:c>
      <x:c r="C320" s="42" t="str">
        <x:v>T3</x:v>
      </x:c>
      <x:c r="D320" s="44" t="n">
        <x:v>47756</x:v>
      </x:c>
      <x:c r="E320" s="42" t="str">
        <x:v>Ponta-esquerda</x:v>
      </x:c>
      <x:c r="F320" s="42" t="str">
        <x:v>FC Arsenal</x:v>
      </x:c>
      <x:c r="G320" s="46"/>
      <x:c r="H320" s="46"/>
      <x:c r="I320" s="46"/>
      <x:c r="J320" s="46"/>
      <x:c r="K320" s="46" t="str">
        <x:f>IF(COUNT(G320,I320)=0,"",AVERAGE(G320,I320))</x:f>
      </x:c>
      <x:c r="L320" s="46" t="str">
        <x:f>IF(COUNT(H320,J320)=0,"",AVERAGE(H320,J320))</x:f>
      </x:c>
      <x:c r="M320" s="46" t="str">
        <x:f>IF(OR(K320="",L320=""),"",L320-K320)</x:f>
      </x:c>
      <x:c r="N320" s="46" t="str">
        <x:f>IF(OR(K320="",A319&lt;&gt;A320,K319=""),"",K320-K319)</x:f>
      </x:c>
      <x:c r="O320" s="42" t="str">
        <x:v>Sem informação</x:v>
      </x:c>
      <x:c r="P320" s="42"/>
      <x:c r="Q320" s="42" t="str"/>
      <x:c r="R320" s="42" t="str"/>
      <x:c r="S320" s="42" t="str"/>
      <x:c r="T320" s="42" t="str"/>
    </x:row>
    <x:row r="321">
      <x:c r="A321" s="42" t="str">
        <x:v>Gabriel Martinelli</x:v>
      </x:c>
      <x:c r="B321" s="42" t="n">
        <x:v>2030</x:v>
      </x:c>
      <x:c r="C321" s="42" t="str">
        <x:v>T4</x:v>
      </x:c>
      <x:c r="D321" s="44" t="n">
        <x:v>47848</x:v>
      </x:c>
      <x:c r="E321" s="42" t="str">
        <x:v>Ponta-esquerda</x:v>
      </x:c>
      <x:c r="F321" s="42" t="str">
        <x:v>FC Arsenal</x:v>
      </x:c>
      <x:c r="G321" s="46"/>
      <x:c r="H321" s="46"/>
      <x:c r="I321" s="46"/>
      <x:c r="J321" s="46"/>
      <x:c r="K321" s="46" t="str">
        <x:f>IF(COUNT(G321,I321)=0,"",AVERAGE(G321,I321))</x:f>
      </x:c>
      <x:c r="L321" s="46" t="str">
        <x:f>IF(COUNT(H321,J321)=0,"",AVERAGE(H321,J321))</x:f>
      </x:c>
      <x:c r="M321" s="46" t="str">
        <x:f>IF(OR(K321="",L321=""),"",L321-K321)</x:f>
      </x:c>
      <x:c r="N321" s="46" t="str">
        <x:f>IF(OR(K321="",A320&lt;&gt;A321,K320=""),"",K321-K320)</x:f>
      </x:c>
      <x:c r="O321" s="42" t="str">
        <x:v>Sem informação</x:v>
      </x:c>
      <x:c r="P321" s="42"/>
      <x:c r="Q321" s="42" t="str"/>
      <x:c r="R321" s="42" t="str"/>
      <x:c r="S321" s="42" t="str"/>
      <x:c r="T321" s="42" t="str"/>
    </x:row>
    <x:row r="322">
      <x:c r="A322" s="42" t="str">
        <x:v>Gabriel Mec</x:v>
      </x:c>
      <x:c r="B322" s="42" t="n">
        <x:v>2026</x:v>
      </x:c>
      <x:c r="C322" s="42" t="str">
        <x:v>T1</x:v>
      </x:c>
      <x:c r="D322" s="44" t="n">
        <x:v>46112</x:v>
      </x:c>
      <x:c r="E322" s="42" t="str">
        <x:v>Meia-armador</x:v>
      </x:c>
      <x:c r="F322" s="42" t="str">
        <x:v>Grêmio FBPA</x:v>
      </x:c>
      <x:c r="G322" s="46"/>
      <x:c r="H322" s="46"/>
      <x:c r="I322" s="46"/>
      <x:c r="J322" s="46"/>
      <x:c r="K322" s="46" t="str">
        <x:f>IF(COUNT(G322,I322)=0,"",AVERAGE(G322,I322))</x:f>
      </x:c>
      <x:c r="L322" s="46" t="str">
        <x:f>IF(COUNT(H322,J322)=0,"",AVERAGE(H322,J322))</x:f>
      </x:c>
      <x:c r="M322" s="46" t="str">
        <x:f>IF(OR(K322="",L322=""),"",L322-K322)</x:f>
      </x:c>
      <x:c r="N322" s="46" t="str">
        <x:f>IF(OR(K322="",A321&lt;&gt;A322,K321=""),"",K322-K321)</x:f>
      </x:c>
      <x:c r="O322" s="42" t="str">
        <x:v>Sem informação</x:v>
      </x:c>
      <x:c r="P322" s="42"/>
      <x:c r="Q322" s="42" t="str"/>
      <x:c r="R322" s="42" t="str"/>
      <x:c r="S322" s="42" t="str"/>
      <x:c r="T322" s="42" t="str"/>
    </x:row>
    <x:row r="323">
      <x:c r="A323" s="42" t="str">
        <x:v>Gabriel Mec</x:v>
      </x:c>
      <x:c r="B323" s="42" t="n">
        <x:v>2026</x:v>
      </x:c>
      <x:c r="C323" s="42" t="str">
        <x:v>T2</x:v>
      </x:c>
      <x:c r="D323" s="44" t="n">
        <x:v>46203</x:v>
      </x:c>
      <x:c r="E323" s="42" t="str">
        <x:v>Meia-armador</x:v>
      </x:c>
      <x:c r="F323" s="42" t="str">
        <x:v>Grêmio</x:v>
      </x:c>
      <x:c r="G323" s="46" t="n">
        <x:v>6</x:v>
      </x:c>
      <x:c r="H323" s="46" t="n">
        <x:v>8</x:v>
      </x:c>
      <x:c r="I323" s="46" t="n">
        <x:v>6.5</x:v>
      </x:c>
      <x:c r="J323" s="46" t="n">
        <x:v>9</x:v>
      </x:c>
      <x:c r="K323" s="46" t="n">
        <x:f>IF(COUNT(G323,I323)=0,"",AVERAGE(G323,I323))</x:f>
        <x:v>6.25</x:v>
      </x:c>
      <x:c r="L323" s="46" t="n">
        <x:f>IF(COUNT(H323,J323)=0,"",AVERAGE(H323,J323))</x:f>
        <x:v>8.5</x:v>
      </x:c>
      <x:c r="M323" s="46" t="n">
        <x:f>IF(OR(K323="",L323=""),"",L323-K323)</x:f>
        <x:v>2.25</x:v>
      </x:c>
      <x:c r="N323" s="46" t="str">
        <x:f>IF(OR(K323="",A322&lt;&gt;A323,K322=""),"",K323-K322)</x:f>
      </x:c>
      <x:c r="O323" s="42" t="str">
        <x:v>Sem informação</x:v>
      </x:c>
      <x:c r="P323" s="42"/>
      <x:c r="Q323" s="42" t="str">
        <x:v>Se não deixar o menino brincar, será mais um perdido no leste europeu.</x:v>
      </x:c>
      <x:c r="R323" s="42" t="str">
        <x:v>Potencial enorme. A ver evolução da carreira.</x:v>
      </x:c>
      <x:c r="S323" s="42" t="str"/>
      <x:c r="T323" s="42" t="str"/>
    </x:row>
    <x:row r="324">
      <x:c r="A324" s="42" t="str">
        <x:v>Gabriel Mec</x:v>
      </x:c>
      <x:c r="B324" s="42" t="n">
        <x:v>2026</x:v>
      </x:c>
      <x:c r="C324" s="42" t="str">
        <x:v>T3</x:v>
      </x:c>
      <x:c r="D324" s="44" t="n">
        <x:v>46295</x:v>
      </x:c>
      <x:c r="E324" s="42" t="str">
        <x:v>Meia-armador</x:v>
      </x:c>
      <x:c r="F324" s="42" t="str">
        <x:v>Grêmio FBPA</x:v>
      </x:c>
      <x:c r="G324" s="46"/>
      <x:c r="H324" s="46"/>
      <x:c r="I324" s="46"/>
      <x:c r="J324" s="46"/>
      <x:c r="K324" s="46" t="str">
        <x:f>IF(COUNT(G324,I324)=0,"",AVERAGE(G324,I324))</x:f>
      </x:c>
      <x:c r="L324" s="46" t="str">
        <x:f>IF(COUNT(H324,J324)=0,"",AVERAGE(H324,J324))</x:f>
      </x:c>
      <x:c r="M324" s="46" t="str">
        <x:f>IF(OR(K324="",L324=""),"",L324-K324)</x:f>
      </x:c>
      <x:c r="N324" s="46" t="str">
        <x:f>IF(OR(K324="",A323&lt;&gt;A324,K323=""),"",K324-K323)</x:f>
      </x:c>
      <x:c r="O324" s="42" t="str">
        <x:v>Sem informação</x:v>
      </x:c>
      <x:c r="P324" s="42"/>
      <x:c r="Q324" s="42" t="str"/>
      <x:c r="R324" s="42" t="str"/>
      <x:c r="S324" s="42" t="str"/>
      <x:c r="T324" s="42" t="str"/>
    </x:row>
    <x:row r="325">
      <x:c r="A325" s="42" t="str">
        <x:v>Gabriel Mec</x:v>
      </x:c>
      <x:c r="B325" s="42" t="n">
        <x:v>2026</x:v>
      </x:c>
      <x:c r="C325" s="42" t="str">
        <x:v>T4</x:v>
      </x:c>
      <x:c r="D325" s="44" t="n">
        <x:v>46387</x:v>
      </x:c>
      <x:c r="E325" s="42" t="str">
        <x:v>Meia-armador</x:v>
      </x:c>
      <x:c r="F325" s="42" t="str">
        <x:v>Grêmio FBPA</x:v>
      </x:c>
      <x:c r="G325" s="46"/>
      <x:c r="H325" s="46"/>
      <x:c r="I325" s="46"/>
      <x:c r="J325" s="46"/>
      <x:c r="K325" s="46" t="str">
        <x:f>IF(COUNT(G325,I325)=0,"",AVERAGE(G325,I325))</x:f>
      </x:c>
      <x:c r="L325" s="46" t="str">
        <x:f>IF(COUNT(H325,J325)=0,"",AVERAGE(H325,J325))</x:f>
      </x:c>
      <x:c r="M325" s="46" t="str">
        <x:f>IF(OR(K325="",L325=""),"",L325-K325)</x:f>
      </x:c>
      <x:c r="N325" s="46" t="str">
        <x:f>IF(OR(K325="",A324&lt;&gt;A325,K324=""),"",K325-K324)</x:f>
      </x:c>
      <x:c r="O325" s="42" t="str">
        <x:v>Sem informação</x:v>
      </x:c>
      <x:c r="P325" s="42"/>
      <x:c r="Q325" s="42" t="str"/>
      <x:c r="R325" s="42" t="str"/>
      <x:c r="S325" s="42" t="str"/>
      <x:c r="T325" s="42" t="str"/>
    </x:row>
    <x:row r="326">
      <x:c r="A326" s="42" t="str">
        <x:v>Gabriel Mec</x:v>
      </x:c>
      <x:c r="B326" s="42" t="n">
        <x:v>2027</x:v>
      </x:c>
      <x:c r="C326" s="42" t="str">
        <x:v>T1</x:v>
      </x:c>
      <x:c r="D326" s="44" t="n">
        <x:v>46477</x:v>
      </x:c>
      <x:c r="E326" s="42" t="str">
        <x:v>Meia-armador</x:v>
      </x:c>
      <x:c r="F326" s="42" t="str">
        <x:v>Grêmio FBPA</x:v>
      </x:c>
      <x:c r="G326" s="46"/>
      <x:c r="H326" s="46"/>
      <x:c r="I326" s="46"/>
      <x:c r="J326" s="46"/>
      <x:c r="K326" s="46" t="str">
        <x:f>IF(COUNT(G326,I326)=0,"",AVERAGE(G326,I326))</x:f>
      </x:c>
      <x:c r="L326" s="46" t="str">
        <x:f>IF(COUNT(H326,J326)=0,"",AVERAGE(H326,J326))</x:f>
      </x:c>
      <x:c r="M326" s="46" t="str">
        <x:f>IF(OR(K326="",L326=""),"",L326-K326)</x:f>
      </x:c>
      <x:c r="N326" s="46" t="str">
        <x:f>IF(OR(K326="",A325&lt;&gt;A326,K325=""),"",K326-K325)</x:f>
      </x:c>
      <x:c r="O326" s="42" t="str">
        <x:v>Sem informação</x:v>
      </x:c>
      <x:c r="P326" s="42"/>
      <x:c r="Q326" s="42" t="str"/>
      <x:c r="R326" s="42" t="str"/>
      <x:c r="S326" s="42" t="str"/>
      <x:c r="T326" s="42" t="str"/>
    </x:row>
    <x:row r="327">
      <x:c r="A327" s="42" t="str">
        <x:v>Gabriel Mec</x:v>
      </x:c>
      <x:c r="B327" s="42" t="n">
        <x:v>2027</x:v>
      </x:c>
      <x:c r="C327" s="42" t="str">
        <x:v>T2</x:v>
      </x:c>
      <x:c r="D327" s="44" t="n">
        <x:v>46568</x:v>
      </x:c>
      <x:c r="E327" s="42" t="str">
        <x:v>Meia-armador</x:v>
      </x:c>
      <x:c r="F327" s="42" t="str">
        <x:v>Grêmio FBPA</x:v>
      </x:c>
      <x:c r="G327" s="46"/>
      <x:c r="H327" s="46"/>
      <x:c r="I327" s="46"/>
      <x:c r="J327" s="46"/>
      <x:c r="K327" s="46" t="str">
        <x:f>IF(COUNT(G327,I327)=0,"",AVERAGE(G327,I327))</x:f>
      </x:c>
      <x:c r="L327" s="46" t="str">
        <x:f>IF(COUNT(H327,J327)=0,"",AVERAGE(H327,J327))</x:f>
      </x:c>
      <x:c r="M327" s="46" t="str">
        <x:f>IF(OR(K327="",L327=""),"",L327-K327)</x:f>
      </x:c>
      <x:c r="N327" s="46" t="str">
        <x:f>IF(OR(K327="",A326&lt;&gt;A327,K326=""),"",K327-K326)</x:f>
      </x:c>
      <x:c r="O327" s="42" t="str">
        <x:v>Sem informação</x:v>
      </x:c>
      <x:c r="P327" s="42"/>
      <x:c r="Q327" s="42" t="str"/>
      <x:c r="R327" s="42" t="str"/>
      <x:c r="S327" s="42" t="str"/>
      <x:c r="T327" s="42" t="str"/>
    </x:row>
    <x:row r="328">
      <x:c r="A328" s="42" t="str">
        <x:v>Gabriel Mec</x:v>
      </x:c>
      <x:c r="B328" s="42" t="n">
        <x:v>2027</x:v>
      </x:c>
      <x:c r="C328" s="42" t="str">
        <x:v>T3</x:v>
      </x:c>
      <x:c r="D328" s="44" t="n">
        <x:v>46660</x:v>
      </x:c>
      <x:c r="E328" s="42" t="str">
        <x:v>Meia-armador</x:v>
      </x:c>
      <x:c r="F328" s="42" t="str">
        <x:v>Grêmio FBPA</x:v>
      </x:c>
      <x:c r="G328" s="46"/>
      <x:c r="H328" s="46"/>
      <x:c r="I328" s="46"/>
      <x:c r="J328" s="46"/>
      <x:c r="K328" s="46" t="str">
        <x:f>IF(COUNT(G328,I328)=0,"",AVERAGE(G328,I328))</x:f>
      </x:c>
      <x:c r="L328" s="46" t="str">
        <x:f>IF(COUNT(H328,J328)=0,"",AVERAGE(H328,J328))</x:f>
      </x:c>
      <x:c r="M328" s="46" t="str">
        <x:f>IF(OR(K328="",L328=""),"",L328-K328)</x:f>
      </x:c>
      <x:c r="N328" s="46" t="str">
        <x:f>IF(OR(K328="",A327&lt;&gt;A328,K327=""),"",K328-K327)</x:f>
      </x:c>
      <x:c r="O328" s="42" t="str">
        <x:v>Sem informação</x:v>
      </x:c>
      <x:c r="P328" s="42"/>
      <x:c r="Q328" s="42" t="str"/>
      <x:c r="R328" s="42" t="str"/>
      <x:c r="S328" s="42" t="str"/>
      <x:c r="T328" s="42" t="str"/>
    </x:row>
    <x:row r="329">
      <x:c r="A329" s="42" t="str">
        <x:v>Gabriel Mec</x:v>
      </x:c>
      <x:c r="B329" s="42" t="n">
        <x:v>2027</x:v>
      </x:c>
      <x:c r="C329" s="42" t="str">
        <x:v>T4</x:v>
      </x:c>
      <x:c r="D329" s="44" t="n">
        <x:v>46752</x:v>
      </x:c>
      <x:c r="E329" s="42" t="str">
        <x:v>Meia-armador</x:v>
      </x:c>
      <x:c r="F329" s="42" t="str">
        <x:v>Grêmio FBPA</x:v>
      </x:c>
      <x:c r="G329" s="46"/>
      <x:c r="H329" s="46"/>
      <x:c r="I329" s="46"/>
      <x:c r="J329" s="46"/>
      <x:c r="K329" s="46" t="str">
        <x:f>IF(COUNT(G329,I329)=0,"",AVERAGE(G329,I329))</x:f>
      </x:c>
      <x:c r="L329" s="46" t="str">
        <x:f>IF(COUNT(H329,J329)=0,"",AVERAGE(H329,J329))</x:f>
      </x:c>
      <x:c r="M329" s="46" t="str">
        <x:f>IF(OR(K329="",L329=""),"",L329-K329)</x:f>
      </x:c>
      <x:c r="N329" s="46" t="str">
        <x:f>IF(OR(K329="",A328&lt;&gt;A329,K328=""),"",K329-K328)</x:f>
      </x:c>
      <x:c r="O329" s="42" t="str">
        <x:v>Sem informação</x:v>
      </x:c>
      <x:c r="P329" s="42"/>
      <x:c r="Q329" s="42" t="str"/>
      <x:c r="R329" s="42" t="str"/>
      <x:c r="S329" s="42" t="str"/>
      <x:c r="T329" s="42" t="str"/>
    </x:row>
    <x:row r="330">
      <x:c r="A330" s="42" t="str">
        <x:v>Gabriel Mec</x:v>
      </x:c>
      <x:c r="B330" s="42" t="n">
        <x:v>2028</x:v>
      </x:c>
      <x:c r="C330" s="42" t="str">
        <x:v>T1</x:v>
      </x:c>
      <x:c r="D330" s="44" t="n">
        <x:v>46843</x:v>
      </x:c>
      <x:c r="E330" s="42" t="str">
        <x:v>Meia-armador</x:v>
      </x:c>
      <x:c r="F330" s="42" t="str">
        <x:v>Grêmio FBPA</x:v>
      </x:c>
      <x:c r="G330" s="46"/>
      <x:c r="H330" s="46"/>
      <x:c r="I330" s="46"/>
      <x:c r="J330" s="46"/>
      <x:c r="K330" s="46" t="str">
        <x:f>IF(COUNT(G330,I330)=0,"",AVERAGE(G330,I330))</x:f>
      </x:c>
      <x:c r="L330" s="46" t="str">
        <x:f>IF(COUNT(H330,J330)=0,"",AVERAGE(H330,J330))</x:f>
      </x:c>
      <x:c r="M330" s="46" t="str">
        <x:f>IF(OR(K330="",L330=""),"",L330-K330)</x:f>
      </x:c>
      <x:c r="N330" s="46" t="str">
        <x:f>IF(OR(K330="",A329&lt;&gt;A330,K329=""),"",K330-K329)</x:f>
      </x:c>
      <x:c r="O330" s="42" t="str">
        <x:v>Sem informação</x:v>
      </x:c>
      <x:c r="P330" s="42"/>
      <x:c r="Q330" s="42" t="str"/>
      <x:c r="R330" s="42" t="str"/>
      <x:c r="S330" s="42" t="str"/>
      <x:c r="T330" s="42" t="str"/>
    </x:row>
    <x:row r="331">
      <x:c r="A331" s="42" t="str">
        <x:v>Gabriel Mec</x:v>
      </x:c>
      <x:c r="B331" s="42" t="n">
        <x:v>2028</x:v>
      </x:c>
      <x:c r="C331" s="42" t="str">
        <x:v>T2</x:v>
      </x:c>
      <x:c r="D331" s="44" t="n">
        <x:v>46934</x:v>
      </x:c>
      <x:c r="E331" s="42" t="str">
        <x:v>Meia-armador</x:v>
      </x:c>
      <x:c r="F331" s="42" t="str">
        <x:v>Grêmio FBPA</x:v>
      </x:c>
      <x:c r="G331" s="46"/>
      <x:c r="H331" s="46"/>
      <x:c r="I331" s="46"/>
      <x:c r="J331" s="46"/>
      <x:c r="K331" s="46" t="str">
        <x:f>IF(COUNT(G331,I331)=0,"",AVERAGE(G331,I331))</x:f>
      </x:c>
      <x:c r="L331" s="46" t="str">
        <x:f>IF(COUNT(H331,J331)=0,"",AVERAGE(H331,J331))</x:f>
      </x:c>
      <x:c r="M331" s="46" t="str">
        <x:f>IF(OR(K331="",L331=""),"",L331-K331)</x:f>
      </x:c>
      <x:c r="N331" s="46" t="str">
        <x:f>IF(OR(K331="",A330&lt;&gt;A331,K330=""),"",K331-K330)</x:f>
      </x:c>
      <x:c r="O331" s="42" t="str">
        <x:v>Sem informação</x:v>
      </x:c>
      <x:c r="P331" s="42"/>
      <x:c r="Q331" s="42" t="str"/>
      <x:c r="R331" s="42" t="str"/>
      <x:c r="S331" s="42" t="str"/>
      <x:c r="T331" s="42" t="str"/>
    </x:row>
    <x:row r="332">
      <x:c r="A332" s="42" t="str">
        <x:v>Gabriel Mec</x:v>
      </x:c>
      <x:c r="B332" s="42" t="n">
        <x:v>2028</x:v>
      </x:c>
      <x:c r="C332" s="42" t="str">
        <x:v>T3</x:v>
      </x:c>
      <x:c r="D332" s="44" t="n">
        <x:v>47026</x:v>
      </x:c>
      <x:c r="E332" s="42" t="str">
        <x:v>Meia-armador</x:v>
      </x:c>
      <x:c r="F332" s="42" t="str">
        <x:v>Grêmio FBPA</x:v>
      </x:c>
      <x:c r="G332" s="46"/>
      <x:c r="H332" s="46"/>
      <x:c r="I332" s="46"/>
      <x:c r="J332" s="46"/>
      <x:c r="K332" s="46" t="str">
        <x:f>IF(COUNT(G332,I332)=0,"",AVERAGE(G332,I332))</x:f>
      </x:c>
      <x:c r="L332" s="46" t="str">
        <x:f>IF(COUNT(H332,J332)=0,"",AVERAGE(H332,J332))</x:f>
      </x:c>
      <x:c r="M332" s="46" t="str">
        <x:f>IF(OR(K332="",L332=""),"",L332-K332)</x:f>
      </x:c>
      <x:c r="N332" s="46" t="str">
        <x:f>IF(OR(K332="",A331&lt;&gt;A332,K331=""),"",K332-K331)</x:f>
      </x:c>
      <x:c r="O332" s="42" t="str">
        <x:v>Sem informação</x:v>
      </x:c>
      <x:c r="P332" s="42"/>
      <x:c r="Q332" s="42" t="str"/>
      <x:c r="R332" s="42" t="str"/>
      <x:c r="S332" s="42" t="str"/>
      <x:c r="T332" s="42" t="str"/>
    </x:row>
    <x:row r="333">
      <x:c r="A333" s="42" t="str">
        <x:v>Gabriel Mec</x:v>
      </x:c>
      <x:c r="B333" s="42" t="n">
        <x:v>2028</x:v>
      </x:c>
      <x:c r="C333" s="42" t="str">
        <x:v>T4</x:v>
      </x:c>
      <x:c r="D333" s="44" t="n">
        <x:v>47118</x:v>
      </x:c>
      <x:c r="E333" s="42" t="str">
        <x:v>Meia-armador</x:v>
      </x:c>
      <x:c r="F333" s="42" t="str">
        <x:v>Grêmio FBPA</x:v>
      </x:c>
      <x:c r="G333" s="46"/>
      <x:c r="H333" s="46"/>
      <x:c r="I333" s="46"/>
      <x:c r="J333" s="46"/>
      <x:c r="K333" s="46" t="str">
        <x:f>IF(COUNT(G333,I333)=0,"",AVERAGE(G333,I333))</x:f>
      </x:c>
      <x:c r="L333" s="46" t="str">
        <x:f>IF(COUNT(H333,J333)=0,"",AVERAGE(H333,J333))</x:f>
      </x:c>
      <x:c r="M333" s="46" t="str">
        <x:f>IF(OR(K333="",L333=""),"",L333-K333)</x:f>
      </x:c>
      <x:c r="N333" s="46" t="str">
        <x:f>IF(OR(K333="",A332&lt;&gt;A333,K332=""),"",K333-K332)</x:f>
      </x:c>
      <x:c r="O333" s="42" t="str">
        <x:v>Sem informação</x:v>
      </x:c>
      <x:c r="P333" s="42"/>
      <x:c r="Q333" s="42" t="str"/>
      <x:c r="R333" s="42" t="str"/>
      <x:c r="S333" s="42" t="str"/>
      <x:c r="T333" s="42" t="str"/>
    </x:row>
    <x:row r="334">
      <x:c r="A334" s="42" t="str">
        <x:v>Gabriel Mec</x:v>
      </x:c>
      <x:c r="B334" s="42" t="n">
        <x:v>2029</x:v>
      </x:c>
      <x:c r="C334" s="42" t="str">
        <x:v>T1</x:v>
      </x:c>
      <x:c r="D334" s="44" t="n">
        <x:v>47208</x:v>
      </x:c>
      <x:c r="E334" s="42" t="str">
        <x:v>Meia-armador</x:v>
      </x:c>
      <x:c r="F334" s="42" t="str">
        <x:v>Grêmio FBPA</x:v>
      </x:c>
      <x:c r="G334" s="46"/>
      <x:c r="H334" s="46"/>
      <x:c r="I334" s="46"/>
      <x:c r="J334" s="46"/>
      <x:c r="K334" s="46" t="str">
        <x:f>IF(COUNT(G334,I334)=0,"",AVERAGE(G334,I334))</x:f>
      </x:c>
      <x:c r="L334" s="46" t="str">
        <x:f>IF(COUNT(H334,J334)=0,"",AVERAGE(H334,J334))</x:f>
      </x:c>
      <x:c r="M334" s="46" t="str">
        <x:f>IF(OR(K334="",L334=""),"",L334-K334)</x:f>
      </x:c>
      <x:c r="N334" s="46" t="str">
        <x:f>IF(OR(K334="",A333&lt;&gt;A334,K333=""),"",K334-K333)</x:f>
      </x:c>
      <x:c r="O334" s="42" t="str">
        <x:v>Sem informação</x:v>
      </x:c>
      <x:c r="P334" s="42"/>
      <x:c r="Q334" s="42" t="str"/>
      <x:c r="R334" s="42" t="str"/>
      <x:c r="S334" s="42" t="str"/>
      <x:c r="T334" s="42" t="str"/>
    </x:row>
    <x:row r="335">
      <x:c r="A335" s="42" t="str">
        <x:v>Gabriel Mec</x:v>
      </x:c>
      <x:c r="B335" s="42" t="n">
        <x:v>2029</x:v>
      </x:c>
      <x:c r="C335" s="42" t="str">
        <x:v>T2</x:v>
      </x:c>
      <x:c r="D335" s="44" t="n">
        <x:v>47299</x:v>
      </x:c>
      <x:c r="E335" s="42" t="str">
        <x:v>Meia-armador</x:v>
      </x:c>
      <x:c r="F335" s="42" t="str">
        <x:v>Grêmio FBPA</x:v>
      </x:c>
      <x:c r="G335" s="46"/>
      <x:c r="H335" s="46"/>
      <x:c r="I335" s="46"/>
      <x:c r="J335" s="46"/>
      <x:c r="K335" s="46" t="str">
        <x:f>IF(COUNT(G335,I335)=0,"",AVERAGE(G335,I335))</x:f>
      </x:c>
      <x:c r="L335" s="46" t="str">
        <x:f>IF(COUNT(H335,J335)=0,"",AVERAGE(H335,J335))</x:f>
      </x:c>
      <x:c r="M335" s="46" t="str">
        <x:f>IF(OR(K335="",L335=""),"",L335-K335)</x:f>
      </x:c>
      <x:c r="N335" s="46" t="str">
        <x:f>IF(OR(K335="",A334&lt;&gt;A335,K334=""),"",K335-K334)</x:f>
      </x:c>
      <x:c r="O335" s="42" t="str">
        <x:v>Sem informação</x:v>
      </x:c>
      <x:c r="P335" s="42"/>
      <x:c r="Q335" s="42" t="str"/>
      <x:c r="R335" s="42" t="str"/>
      <x:c r="S335" s="42" t="str"/>
      <x:c r="T335" s="42" t="str"/>
    </x:row>
    <x:row r="336">
      <x:c r="A336" s="42" t="str">
        <x:v>Gabriel Mec</x:v>
      </x:c>
      <x:c r="B336" s="42" t="n">
        <x:v>2029</x:v>
      </x:c>
      <x:c r="C336" s="42" t="str">
        <x:v>T3</x:v>
      </x:c>
      <x:c r="D336" s="44" t="n">
        <x:v>47391</x:v>
      </x:c>
      <x:c r="E336" s="42" t="str">
        <x:v>Meia-armador</x:v>
      </x:c>
      <x:c r="F336" s="42" t="str">
        <x:v>Grêmio FBPA</x:v>
      </x:c>
      <x:c r="G336" s="46"/>
      <x:c r="H336" s="46"/>
      <x:c r="I336" s="46"/>
      <x:c r="J336" s="46"/>
      <x:c r="K336" s="46" t="str">
        <x:f>IF(COUNT(G336,I336)=0,"",AVERAGE(G336,I336))</x:f>
      </x:c>
      <x:c r="L336" s="46" t="str">
        <x:f>IF(COUNT(H336,J336)=0,"",AVERAGE(H336,J336))</x:f>
      </x:c>
      <x:c r="M336" s="46" t="str">
        <x:f>IF(OR(K336="",L336=""),"",L336-K336)</x:f>
      </x:c>
      <x:c r="N336" s="46" t="str">
        <x:f>IF(OR(K336="",A335&lt;&gt;A336,K335=""),"",K336-K335)</x:f>
      </x:c>
      <x:c r="O336" s="42" t="str">
        <x:v>Sem informação</x:v>
      </x:c>
      <x:c r="P336" s="42"/>
      <x:c r="Q336" s="42" t="str"/>
      <x:c r="R336" s="42" t="str"/>
      <x:c r="S336" s="42" t="str"/>
      <x:c r="T336" s="42" t="str"/>
    </x:row>
    <x:row r="337">
      <x:c r="A337" s="42" t="str">
        <x:v>Gabriel Mec</x:v>
      </x:c>
      <x:c r="B337" s="42" t="n">
        <x:v>2029</x:v>
      </x:c>
      <x:c r="C337" s="42" t="str">
        <x:v>T4</x:v>
      </x:c>
      <x:c r="D337" s="44" t="n">
        <x:v>47483</x:v>
      </x:c>
      <x:c r="E337" s="42" t="str">
        <x:v>Meia-armador</x:v>
      </x:c>
      <x:c r="F337" s="42" t="str">
        <x:v>Grêmio FBPA</x:v>
      </x:c>
      <x:c r="G337" s="46"/>
      <x:c r="H337" s="46"/>
      <x:c r="I337" s="46"/>
      <x:c r="J337" s="46"/>
      <x:c r="K337" s="46" t="str">
        <x:f>IF(COUNT(G337,I337)=0,"",AVERAGE(G337,I337))</x:f>
      </x:c>
      <x:c r="L337" s="46" t="str">
        <x:f>IF(COUNT(H337,J337)=0,"",AVERAGE(H337,J337))</x:f>
      </x:c>
      <x:c r="M337" s="46" t="str">
        <x:f>IF(OR(K337="",L337=""),"",L337-K337)</x:f>
      </x:c>
      <x:c r="N337" s="46" t="str">
        <x:f>IF(OR(K337="",A336&lt;&gt;A337,K336=""),"",K337-K336)</x:f>
      </x:c>
      <x:c r="O337" s="42" t="str">
        <x:v>Sem informação</x:v>
      </x:c>
      <x:c r="P337" s="42"/>
      <x:c r="Q337" s="42" t="str"/>
      <x:c r="R337" s="42" t="str"/>
      <x:c r="S337" s="42" t="str"/>
      <x:c r="T337" s="42" t="str"/>
    </x:row>
    <x:row r="338">
      <x:c r="A338" s="42" t="str">
        <x:v>Gabriel Mec</x:v>
      </x:c>
      <x:c r="B338" s="42" t="n">
        <x:v>2030</x:v>
      </x:c>
      <x:c r="C338" s="42" t="str">
        <x:v>T1</x:v>
      </x:c>
      <x:c r="D338" s="44" t="n">
        <x:v>47573</x:v>
      </x:c>
      <x:c r="E338" s="42" t="str">
        <x:v>Meia-armador</x:v>
      </x:c>
      <x:c r="F338" s="42" t="str">
        <x:v>Grêmio FBPA</x:v>
      </x:c>
      <x:c r="G338" s="46"/>
      <x:c r="H338" s="46"/>
      <x:c r="I338" s="46"/>
      <x:c r="J338" s="46"/>
      <x:c r="K338" s="46" t="str">
        <x:f>IF(COUNT(G338,I338)=0,"",AVERAGE(G338,I338))</x:f>
      </x:c>
      <x:c r="L338" s="46" t="str">
        <x:f>IF(COUNT(H338,J338)=0,"",AVERAGE(H338,J338))</x:f>
      </x:c>
      <x:c r="M338" s="46" t="str">
        <x:f>IF(OR(K338="",L338=""),"",L338-K338)</x:f>
      </x:c>
      <x:c r="N338" s="46" t="str">
        <x:f>IF(OR(K338="",A337&lt;&gt;A338,K337=""),"",K338-K337)</x:f>
      </x:c>
      <x:c r="O338" s="42" t="str">
        <x:v>Sem informação</x:v>
      </x:c>
      <x:c r="P338" s="42"/>
      <x:c r="Q338" s="42" t="str"/>
      <x:c r="R338" s="42" t="str"/>
      <x:c r="S338" s="42" t="str"/>
      <x:c r="T338" s="42" t="str"/>
    </x:row>
    <x:row r="339">
      <x:c r="A339" s="42" t="str">
        <x:v>Gabriel Mec</x:v>
      </x:c>
      <x:c r="B339" s="42" t="n">
        <x:v>2030</x:v>
      </x:c>
      <x:c r="C339" s="42" t="str">
        <x:v>T2</x:v>
      </x:c>
      <x:c r="D339" s="44" t="n">
        <x:v>47664</x:v>
      </x:c>
      <x:c r="E339" s="42" t="str">
        <x:v>Meia-armador</x:v>
      </x:c>
      <x:c r="F339" s="42" t="str">
        <x:v>Grêmio FBPA</x:v>
      </x:c>
      <x:c r="G339" s="46"/>
      <x:c r="H339" s="46"/>
      <x:c r="I339" s="46"/>
      <x:c r="J339" s="46"/>
      <x:c r="K339" s="46" t="str">
        <x:f>IF(COUNT(G339,I339)=0,"",AVERAGE(G339,I339))</x:f>
      </x:c>
      <x:c r="L339" s="46" t="str">
        <x:f>IF(COUNT(H339,J339)=0,"",AVERAGE(H339,J339))</x:f>
      </x:c>
      <x:c r="M339" s="46" t="str">
        <x:f>IF(OR(K339="",L339=""),"",L339-K339)</x:f>
      </x:c>
      <x:c r="N339" s="46" t="str">
        <x:f>IF(OR(K339="",A338&lt;&gt;A339,K338=""),"",K339-K338)</x:f>
      </x:c>
      <x:c r="O339" s="42" t="str">
        <x:v>Sem informação</x:v>
      </x:c>
      <x:c r="P339" s="42"/>
      <x:c r="Q339" s="42" t="str"/>
      <x:c r="R339" s="42" t="str"/>
      <x:c r="S339" s="42" t="str"/>
      <x:c r="T339" s="42" t="str"/>
    </x:row>
    <x:row r="340">
      <x:c r="A340" s="42" t="str">
        <x:v>Gabriel Mec</x:v>
      </x:c>
      <x:c r="B340" s="42" t="n">
        <x:v>2030</x:v>
      </x:c>
      <x:c r="C340" s="42" t="str">
        <x:v>T3</x:v>
      </x:c>
      <x:c r="D340" s="44" t="n">
        <x:v>47756</x:v>
      </x:c>
      <x:c r="E340" s="42" t="str">
        <x:v>Meia-armador</x:v>
      </x:c>
      <x:c r="F340" s="42" t="str">
        <x:v>Grêmio FBPA</x:v>
      </x:c>
      <x:c r="G340" s="46"/>
      <x:c r="H340" s="46"/>
      <x:c r="I340" s="46"/>
      <x:c r="J340" s="46"/>
      <x:c r="K340" s="46" t="str">
        <x:f>IF(COUNT(G340,I340)=0,"",AVERAGE(G340,I340))</x:f>
      </x:c>
      <x:c r="L340" s="46" t="str">
        <x:f>IF(COUNT(H340,J340)=0,"",AVERAGE(H340,J340))</x:f>
      </x:c>
      <x:c r="M340" s="46" t="str">
        <x:f>IF(OR(K340="",L340=""),"",L340-K340)</x:f>
      </x:c>
      <x:c r="N340" s="46" t="str">
        <x:f>IF(OR(K340="",A339&lt;&gt;A340,K339=""),"",K340-K339)</x:f>
      </x:c>
      <x:c r="O340" s="42" t="str">
        <x:v>Sem informação</x:v>
      </x:c>
      <x:c r="P340" s="42"/>
      <x:c r="Q340" s="42" t="str"/>
      <x:c r="R340" s="42" t="str"/>
      <x:c r="S340" s="42" t="str"/>
      <x:c r="T340" s="42" t="str"/>
    </x:row>
    <x:row r="341">
      <x:c r="A341" s="42" t="str">
        <x:v>Gabriel Mec</x:v>
      </x:c>
      <x:c r="B341" s="42" t="n">
        <x:v>2030</x:v>
      </x:c>
      <x:c r="C341" s="42" t="str">
        <x:v>T4</x:v>
      </x:c>
      <x:c r="D341" s="44" t="n">
        <x:v>47848</x:v>
      </x:c>
      <x:c r="E341" s="42" t="str">
        <x:v>Meia-armador</x:v>
      </x:c>
      <x:c r="F341" s="42" t="str">
        <x:v>Grêmio FBPA</x:v>
      </x:c>
      <x:c r="G341" s="46"/>
      <x:c r="H341" s="46"/>
      <x:c r="I341" s="46"/>
      <x:c r="J341" s="46"/>
      <x:c r="K341" s="46" t="str">
        <x:f>IF(COUNT(G341,I341)=0,"",AVERAGE(G341,I341))</x:f>
      </x:c>
      <x:c r="L341" s="46" t="str">
        <x:f>IF(COUNT(H341,J341)=0,"",AVERAGE(H341,J341))</x:f>
      </x:c>
      <x:c r="M341" s="46" t="str">
        <x:f>IF(OR(K341="",L341=""),"",L341-K341)</x:f>
      </x:c>
      <x:c r="N341" s="46" t="str">
        <x:f>IF(OR(K341="",A340&lt;&gt;A341,K340=""),"",K341-K340)</x:f>
      </x:c>
      <x:c r="O341" s="42" t="str">
        <x:v>Sem informação</x:v>
      </x:c>
      <x:c r="P341" s="42"/>
      <x:c r="Q341" s="42" t="str"/>
      <x:c r="R341" s="42" t="str"/>
      <x:c r="S341" s="42" t="str"/>
      <x:c r="T341" s="42" t="str"/>
    </x:row>
    <x:row r="342">
      <x:c r="A342" s="42" t="str">
        <x:v>Guilherme Garutti</x:v>
      </x:c>
      <x:c r="B342" s="42" t="n">
        <x:v>2026</x:v>
      </x:c>
      <x:c r="C342" s="42" t="str">
        <x:v>T1</x:v>
      </x:c>
      <x:c r="D342" s="44" t="n">
        <x:v>46112</x:v>
      </x:c>
      <x:c r="E342" s="42" t="str">
        <x:v>Zagueiro</x:v>
      </x:c>
      <x:c r="F342" s="42" t="str">
        <x:v>ACSC FC Arges</x:v>
      </x:c>
      <x:c r="G342" s="46"/>
      <x:c r="H342" s="46"/>
      <x:c r="I342" s="46"/>
      <x:c r="J342" s="46"/>
      <x:c r="K342" s="46" t="str">
        <x:f>IF(COUNT(G342,I342)=0,"",AVERAGE(G342,I342))</x:f>
      </x:c>
      <x:c r="L342" s="46" t="str">
        <x:f>IF(COUNT(H342,J342)=0,"",AVERAGE(H342,J342))</x:f>
      </x:c>
      <x:c r="M342" s="46" t="str">
        <x:f>IF(OR(K342="",L342=""),"",L342-K342)</x:f>
      </x:c>
      <x:c r="N342" s="46" t="str">
        <x:f>IF(OR(K342="",A341&lt;&gt;A342,K341=""),"",K342-K341)</x:f>
      </x:c>
      <x:c r="O342" s="42" t="str">
        <x:v>Sem informação</x:v>
      </x:c>
      <x:c r="P342" s="42"/>
      <x:c r="Q342" s="42" t="str"/>
      <x:c r="R342" s="42" t="str"/>
      <x:c r="S342" s="42" t="str"/>
      <x:c r="T342" s="42" t="str"/>
    </x:row>
    <x:row r="343">
      <x:c r="A343" s="42" t="str">
        <x:v>Guilherme Garutti</x:v>
      </x:c>
      <x:c r="B343" s="42" t="n">
        <x:v>2026</x:v>
      </x:c>
      <x:c r="C343" s="42" t="str">
        <x:v>T2</x:v>
      </x:c>
      <x:c r="D343" s="44" t="n">
        <x:v>46203</x:v>
      </x:c>
      <x:c r="E343" s="42" t="str">
        <x:v>Zagueiro</x:v>
      </x:c>
      <x:c r="F343" s="42" t="str">
        <x:v>ACSC FC Arges</x:v>
      </x:c>
      <x:c r="G343" s="46"/>
      <x:c r="H343" s="46"/>
      <x:c r="I343" s="46"/>
      <x:c r="J343" s="46"/>
      <x:c r="K343" s="46" t="str">
        <x:f>IF(COUNT(G343,I343)=0,"",AVERAGE(G343,I343))</x:f>
      </x:c>
      <x:c r="L343" s="46" t="str">
        <x:f>IF(COUNT(H343,J343)=0,"",AVERAGE(H343,J343))</x:f>
      </x:c>
      <x:c r="M343" s="46" t="str">
        <x:f>IF(OR(K343="",L343=""),"",L343-K343)</x:f>
      </x:c>
      <x:c r="N343" s="46" t="str">
        <x:f>IF(OR(K343="",A342&lt;&gt;A343,K342=""),"",K343-K342)</x:f>
      </x:c>
      <x:c r="O343" s="42" t="str">
        <x:v>Sem informação</x:v>
      </x:c>
      <x:c r="P343" s="42"/>
      <x:c r="Q343" s="42" t="str"/>
      <x:c r="R343" s="42" t="str"/>
      <x:c r="S343" s="42" t="str"/>
      <x:c r="T343" s="42" t="str"/>
    </x:row>
    <x:row r="344">
      <x:c r="A344" s="42" t="str">
        <x:v>Guilherme Garutti</x:v>
      </x:c>
      <x:c r="B344" s="42" t="n">
        <x:v>2026</x:v>
      </x:c>
      <x:c r="C344" s="42" t="str">
        <x:v>T3</x:v>
      </x:c>
      <x:c r="D344" s="44" t="n">
        <x:v>46295</x:v>
      </x:c>
      <x:c r="E344" s="42" t="str">
        <x:v>Zagueiro</x:v>
      </x:c>
      <x:c r="F344" s="42" t="str">
        <x:v>ACSC FC Arges</x:v>
      </x:c>
      <x:c r="G344" s="46"/>
      <x:c r="H344" s="46"/>
      <x:c r="I344" s="46"/>
      <x:c r="J344" s="46"/>
      <x:c r="K344" s="46" t="str">
        <x:f>IF(COUNT(G344,I344)=0,"",AVERAGE(G344,I344))</x:f>
      </x:c>
      <x:c r="L344" s="46" t="str">
        <x:f>IF(COUNT(H344,J344)=0,"",AVERAGE(H344,J344))</x:f>
      </x:c>
      <x:c r="M344" s="46" t="str">
        <x:f>IF(OR(K344="",L344=""),"",L344-K344)</x:f>
      </x:c>
      <x:c r="N344" s="46" t="str">
        <x:f>IF(OR(K344="",A343&lt;&gt;A344,K343=""),"",K344-K343)</x:f>
      </x:c>
      <x:c r="O344" s="42" t="str">
        <x:v>Sem informação</x:v>
      </x:c>
      <x:c r="P344" s="42"/>
      <x:c r="Q344" s="42" t="str"/>
      <x:c r="R344" s="42" t="str"/>
      <x:c r="S344" s="42" t="str"/>
      <x:c r="T344" s="42" t="str"/>
    </x:row>
    <x:row r="345">
      <x:c r="A345" s="42" t="str">
        <x:v>Guilherme Garutti</x:v>
      </x:c>
      <x:c r="B345" s="42" t="n">
        <x:v>2026</x:v>
      </x:c>
      <x:c r="C345" s="42" t="str">
        <x:v>T4</x:v>
      </x:c>
      <x:c r="D345" s="44" t="n">
        <x:v>46387</x:v>
      </x:c>
      <x:c r="E345" s="42" t="str">
        <x:v>Zagueiro</x:v>
      </x:c>
      <x:c r="F345" s="42" t="str">
        <x:v>ACSC FC Arges</x:v>
      </x:c>
      <x:c r="G345" s="46"/>
      <x:c r="H345" s="46"/>
      <x:c r="I345" s="46"/>
      <x:c r="J345" s="46"/>
      <x:c r="K345" s="46" t="str">
        <x:f>IF(COUNT(G345,I345)=0,"",AVERAGE(G345,I345))</x:f>
      </x:c>
      <x:c r="L345" s="46" t="str">
        <x:f>IF(COUNT(H345,J345)=0,"",AVERAGE(H345,J345))</x:f>
      </x:c>
      <x:c r="M345" s="46" t="str">
        <x:f>IF(OR(K345="",L345=""),"",L345-K345)</x:f>
      </x:c>
      <x:c r="N345" s="46" t="str">
        <x:f>IF(OR(K345="",A344&lt;&gt;A345,K344=""),"",K345-K344)</x:f>
      </x:c>
      <x:c r="O345" s="42" t="str">
        <x:v>Sem informação</x:v>
      </x:c>
      <x:c r="P345" s="42"/>
      <x:c r="Q345" s="42" t="str"/>
      <x:c r="R345" s="42" t="str"/>
      <x:c r="S345" s="42" t="str"/>
      <x:c r="T345" s="42" t="str"/>
    </x:row>
    <x:row r="346">
      <x:c r="A346" s="42" t="str">
        <x:v>Guilherme Garutti</x:v>
      </x:c>
      <x:c r="B346" s="42" t="n">
        <x:v>2027</x:v>
      </x:c>
      <x:c r="C346" s="42" t="str">
        <x:v>T1</x:v>
      </x:c>
      <x:c r="D346" s="44" t="n">
        <x:v>46477</x:v>
      </x:c>
      <x:c r="E346" s="42" t="str">
        <x:v>Zagueiro</x:v>
      </x:c>
      <x:c r="F346" s="42" t="str">
        <x:v>ACSC FC Arges</x:v>
      </x:c>
      <x:c r="G346" s="46"/>
      <x:c r="H346" s="46"/>
      <x:c r="I346" s="46"/>
      <x:c r="J346" s="46"/>
      <x:c r="K346" s="46" t="str">
        <x:f>IF(COUNT(G346,I346)=0,"",AVERAGE(G346,I346))</x:f>
      </x:c>
      <x:c r="L346" s="46" t="str">
        <x:f>IF(COUNT(H346,J346)=0,"",AVERAGE(H346,J346))</x:f>
      </x:c>
      <x:c r="M346" s="46" t="str">
        <x:f>IF(OR(K346="",L346=""),"",L346-K346)</x:f>
      </x:c>
      <x:c r="N346" s="46" t="str">
        <x:f>IF(OR(K346="",A345&lt;&gt;A346,K345=""),"",K346-K345)</x:f>
      </x:c>
      <x:c r="O346" s="42" t="str">
        <x:v>Sem informação</x:v>
      </x:c>
      <x:c r="P346" s="42"/>
      <x:c r="Q346" s="42" t="str"/>
      <x:c r="R346" s="42" t="str"/>
      <x:c r="S346" s="42" t="str"/>
      <x:c r="T346" s="42" t="str"/>
    </x:row>
    <x:row r="347">
      <x:c r="A347" s="42" t="str">
        <x:v>Guilherme Garutti</x:v>
      </x:c>
      <x:c r="B347" s="42" t="n">
        <x:v>2027</x:v>
      </x:c>
      <x:c r="C347" s="42" t="str">
        <x:v>T2</x:v>
      </x:c>
      <x:c r="D347" s="44" t="n">
        <x:v>46568</x:v>
      </x:c>
      <x:c r="E347" s="42" t="str">
        <x:v>Zagueiro</x:v>
      </x:c>
      <x:c r="F347" s="42" t="str">
        <x:v>ACSC FC Arges</x:v>
      </x:c>
      <x:c r="G347" s="46"/>
      <x:c r="H347" s="46"/>
      <x:c r="I347" s="46"/>
      <x:c r="J347" s="46"/>
      <x:c r="K347" s="46" t="str">
        <x:f>IF(COUNT(G347,I347)=0,"",AVERAGE(G347,I347))</x:f>
      </x:c>
      <x:c r="L347" s="46" t="str">
        <x:f>IF(COUNT(H347,J347)=0,"",AVERAGE(H347,J347))</x:f>
      </x:c>
      <x:c r="M347" s="46" t="str">
        <x:f>IF(OR(K347="",L347=""),"",L347-K347)</x:f>
      </x:c>
      <x:c r="N347" s="46" t="str">
        <x:f>IF(OR(K347="",A346&lt;&gt;A347,K346=""),"",K347-K346)</x:f>
      </x:c>
      <x:c r="O347" s="42" t="str">
        <x:v>Sem informação</x:v>
      </x:c>
      <x:c r="P347" s="42"/>
      <x:c r="Q347" s="42" t="str"/>
      <x:c r="R347" s="42" t="str"/>
      <x:c r="S347" s="42" t="str"/>
      <x:c r="T347" s="42" t="str"/>
    </x:row>
    <x:row r="348">
      <x:c r="A348" s="42" t="str">
        <x:v>Guilherme Garutti</x:v>
      </x:c>
      <x:c r="B348" s="42" t="n">
        <x:v>2027</x:v>
      </x:c>
      <x:c r="C348" s="42" t="str">
        <x:v>T3</x:v>
      </x:c>
      <x:c r="D348" s="44" t="n">
        <x:v>46660</x:v>
      </x:c>
      <x:c r="E348" s="42" t="str">
        <x:v>Zagueiro</x:v>
      </x:c>
      <x:c r="F348" s="42" t="str">
        <x:v>ACSC FC Arges</x:v>
      </x:c>
      <x:c r="G348" s="46"/>
      <x:c r="H348" s="46"/>
      <x:c r="I348" s="46"/>
      <x:c r="J348" s="46"/>
      <x:c r="K348" s="46" t="str">
        <x:f>IF(COUNT(G348,I348)=0,"",AVERAGE(G348,I348))</x:f>
      </x:c>
      <x:c r="L348" s="46" t="str">
        <x:f>IF(COUNT(H348,J348)=0,"",AVERAGE(H348,J348))</x:f>
      </x:c>
      <x:c r="M348" s="46" t="str">
        <x:f>IF(OR(K348="",L348=""),"",L348-K348)</x:f>
      </x:c>
      <x:c r="N348" s="46" t="str">
        <x:f>IF(OR(K348="",A347&lt;&gt;A348,K347=""),"",K348-K347)</x:f>
      </x:c>
      <x:c r="O348" s="42" t="str">
        <x:v>Sem informação</x:v>
      </x:c>
      <x:c r="P348" s="42"/>
      <x:c r="Q348" s="42" t="str"/>
      <x:c r="R348" s="42" t="str"/>
      <x:c r="S348" s="42" t="str"/>
      <x:c r="T348" s="42" t="str"/>
    </x:row>
    <x:row r="349">
      <x:c r="A349" s="42" t="str">
        <x:v>Guilherme Garutti</x:v>
      </x:c>
      <x:c r="B349" s="42" t="n">
        <x:v>2027</x:v>
      </x:c>
      <x:c r="C349" s="42" t="str">
        <x:v>T4</x:v>
      </x:c>
      <x:c r="D349" s="44" t="n">
        <x:v>46752</x:v>
      </x:c>
      <x:c r="E349" s="42" t="str">
        <x:v>Zagueiro</x:v>
      </x:c>
      <x:c r="F349" s="42" t="str">
        <x:v>ACSC FC Arges</x:v>
      </x:c>
      <x:c r="G349" s="46"/>
      <x:c r="H349" s="46"/>
      <x:c r="I349" s="46"/>
      <x:c r="J349" s="46"/>
      <x:c r="K349" s="46" t="str">
        <x:f>IF(COUNT(G349,I349)=0,"",AVERAGE(G349,I349))</x:f>
      </x:c>
      <x:c r="L349" s="46" t="str">
        <x:f>IF(COUNT(H349,J349)=0,"",AVERAGE(H349,J349))</x:f>
      </x:c>
      <x:c r="M349" s="46" t="str">
        <x:f>IF(OR(K349="",L349=""),"",L349-K349)</x:f>
      </x:c>
      <x:c r="N349" s="46" t="str">
        <x:f>IF(OR(K349="",A348&lt;&gt;A349,K348=""),"",K349-K348)</x:f>
      </x:c>
      <x:c r="O349" s="42" t="str">
        <x:v>Sem informação</x:v>
      </x:c>
      <x:c r="P349" s="42"/>
      <x:c r="Q349" s="42" t="str"/>
      <x:c r="R349" s="42" t="str"/>
      <x:c r="S349" s="42" t="str"/>
      <x:c r="T349" s="42" t="str"/>
    </x:row>
    <x:row r="350">
      <x:c r="A350" s="42" t="str">
        <x:v>Guilherme Garutti</x:v>
      </x:c>
      <x:c r="B350" s="42" t="n">
        <x:v>2028</x:v>
      </x:c>
      <x:c r="C350" s="42" t="str">
        <x:v>T1</x:v>
      </x:c>
      <x:c r="D350" s="44" t="n">
        <x:v>46843</x:v>
      </x:c>
      <x:c r="E350" s="42" t="str">
        <x:v>Zagueiro</x:v>
      </x:c>
      <x:c r="F350" s="42" t="str">
        <x:v>ACSC FC Arges</x:v>
      </x:c>
      <x:c r="G350" s="46"/>
      <x:c r="H350" s="46"/>
      <x:c r="I350" s="46"/>
      <x:c r="J350" s="46"/>
      <x:c r="K350" s="46" t="str">
        <x:f>IF(COUNT(G350,I350)=0,"",AVERAGE(G350,I350))</x:f>
      </x:c>
      <x:c r="L350" s="46" t="str">
        <x:f>IF(COUNT(H350,J350)=0,"",AVERAGE(H350,J350))</x:f>
      </x:c>
      <x:c r="M350" s="46" t="str">
        <x:f>IF(OR(K350="",L350=""),"",L350-K350)</x:f>
      </x:c>
      <x:c r="N350" s="46" t="str">
        <x:f>IF(OR(K350="",A349&lt;&gt;A350,K349=""),"",K350-K349)</x:f>
      </x:c>
      <x:c r="O350" s="42" t="str">
        <x:v>Sem informação</x:v>
      </x:c>
      <x:c r="P350" s="42"/>
      <x:c r="Q350" s="42" t="str"/>
      <x:c r="R350" s="42" t="str"/>
      <x:c r="S350" s="42" t="str"/>
      <x:c r="T350" s="42" t="str"/>
    </x:row>
    <x:row r="351">
      <x:c r="A351" s="42" t="str">
        <x:v>Guilherme Garutti</x:v>
      </x:c>
      <x:c r="B351" s="42" t="n">
        <x:v>2028</x:v>
      </x:c>
      <x:c r="C351" s="42" t="str">
        <x:v>T2</x:v>
      </x:c>
      <x:c r="D351" s="44" t="n">
        <x:v>46934</x:v>
      </x:c>
      <x:c r="E351" s="42" t="str">
        <x:v>Zagueiro</x:v>
      </x:c>
      <x:c r="F351" s="42" t="str">
        <x:v>ACSC FC Arges</x:v>
      </x:c>
      <x:c r="G351" s="46"/>
      <x:c r="H351" s="46"/>
      <x:c r="I351" s="46"/>
      <x:c r="J351" s="46"/>
      <x:c r="K351" s="46" t="str">
        <x:f>IF(COUNT(G351,I351)=0,"",AVERAGE(G351,I351))</x:f>
      </x:c>
      <x:c r="L351" s="46" t="str">
        <x:f>IF(COUNT(H351,J351)=0,"",AVERAGE(H351,J351))</x:f>
      </x:c>
      <x:c r="M351" s="46" t="str">
        <x:f>IF(OR(K351="",L351=""),"",L351-K351)</x:f>
      </x:c>
      <x:c r="N351" s="46" t="str">
        <x:f>IF(OR(K351="",A350&lt;&gt;A351,K350=""),"",K351-K350)</x:f>
      </x:c>
      <x:c r="O351" s="42" t="str">
        <x:v>Sem informação</x:v>
      </x:c>
      <x:c r="P351" s="42"/>
      <x:c r="Q351" s="42" t="str"/>
      <x:c r="R351" s="42" t="str"/>
      <x:c r="S351" s="42" t="str"/>
      <x:c r="T351" s="42" t="str"/>
    </x:row>
    <x:row r="352">
      <x:c r="A352" s="42" t="str">
        <x:v>Guilherme Garutti</x:v>
      </x:c>
      <x:c r="B352" s="42" t="n">
        <x:v>2028</x:v>
      </x:c>
      <x:c r="C352" s="42" t="str">
        <x:v>T3</x:v>
      </x:c>
      <x:c r="D352" s="44" t="n">
        <x:v>47026</x:v>
      </x:c>
      <x:c r="E352" s="42" t="str">
        <x:v>Zagueiro</x:v>
      </x:c>
      <x:c r="F352" s="42" t="str">
        <x:v>ACSC FC Arges</x:v>
      </x:c>
      <x:c r="G352" s="46"/>
      <x:c r="H352" s="46"/>
      <x:c r="I352" s="46"/>
      <x:c r="J352" s="46"/>
      <x:c r="K352" s="46" t="str">
        <x:f>IF(COUNT(G352,I352)=0,"",AVERAGE(G352,I352))</x:f>
      </x:c>
      <x:c r="L352" s="46" t="str">
        <x:f>IF(COUNT(H352,J352)=0,"",AVERAGE(H352,J352))</x:f>
      </x:c>
      <x:c r="M352" s="46" t="str">
        <x:f>IF(OR(K352="",L352=""),"",L352-K352)</x:f>
      </x:c>
      <x:c r="N352" s="46" t="str">
        <x:f>IF(OR(K352="",A351&lt;&gt;A352,K351=""),"",K352-K351)</x:f>
      </x:c>
      <x:c r="O352" s="42" t="str">
        <x:v>Sem informação</x:v>
      </x:c>
      <x:c r="P352" s="42"/>
      <x:c r="Q352" s="42" t="str"/>
      <x:c r="R352" s="42" t="str"/>
      <x:c r="S352" s="42" t="str"/>
      <x:c r="T352" s="42" t="str"/>
    </x:row>
    <x:row r="353">
      <x:c r="A353" s="42" t="str">
        <x:v>Guilherme Garutti</x:v>
      </x:c>
      <x:c r="B353" s="42" t="n">
        <x:v>2028</x:v>
      </x:c>
      <x:c r="C353" s="42" t="str">
        <x:v>T4</x:v>
      </x:c>
      <x:c r="D353" s="44" t="n">
        <x:v>47118</x:v>
      </x:c>
      <x:c r="E353" s="42" t="str">
        <x:v>Zagueiro</x:v>
      </x:c>
      <x:c r="F353" s="42" t="str">
        <x:v>ACSC FC Arges</x:v>
      </x:c>
      <x:c r="G353" s="46"/>
      <x:c r="H353" s="46"/>
      <x:c r="I353" s="46"/>
      <x:c r="J353" s="46"/>
      <x:c r="K353" s="46" t="str">
        <x:f>IF(COUNT(G353,I353)=0,"",AVERAGE(G353,I353))</x:f>
      </x:c>
      <x:c r="L353" s="46" t="str">
        <x:f>IF(COUNT(H353,J353)=0,"",AVERAGE(H353,J353))</x:f>
      </x:c>
      <x:c r="M353" s="46" t="str">
        <x:f>IF(OR(K353="",L353=""),"",L353-K353)</x:f>
      </x:c>
      <x:c r="N353" s="46" t="str">
        <x:f>IF(OR(K353="",A352&lt;&gt;A353,K352=""),"",K353-K352)</x:f>
      </x:c>
      <x:c r="O353" s="42" t="str">
        <x:v>Sem informação</x:v>
      </x:c>
      <x:c r="P353" s="42"/>
      <x:c r="Q353" s="42" t="str"/>
      <x:c r="R353" s="42" t="str"/>
      <x:c r="S353" s="42" t="str"/>
      <x:c r="T353" s="42" t="str"/>
    </x:row>
    <x:row r="354">
      <x:c r="A354" s="42" t="str">
        <x:v>Guilherme Garutti</x:v>
      </x:c>
      <x:c r="B354" s="42" t="n">
        <x:v>2029</x:v>
      </x:c>
      <x:c r="C354" s="42" t="str">
        <x:v>T1</x:v>
      </x:c>
      <x:c r="D354" s="44" t="n">
        <x:v>47208</x:v>
      </x:c>
      <x:c r="E354" s="42" t="str">
        <x:v>Zagueiro</x:v>
      </x:c>
      <x:c r="F354" s="42" t="str">
        <x:v>ACSC FC Arges</x:v>
      </x:c>
      <x:c r="G354" s="46"/>
      <x:c r="H354" s="46"/>
      <x:c r="I354" s="46"/>
      <x:c r="J354" s="46"/>
      <x:c r="K354" s="46" t="str">
        <x:f>IF(COUNT(G354,I354)=0,"",AVERAGE(G354,I354))</x:f>
      </x:c>
      <x:c r="L354" s="46" t="str">
        <x:f>IF(COUNT(H354,J354)=0,"",AVERAGE(H354,J354))</x:f>
      </x:c>
      <x:c r="M354" s="46" t="str">
        <x:f>IF(OR(K354="",L354=""),"",L354-K354)</x:f>
      </x:c>
      <x:c r="N354" s="46" t="str">
        <x:f>IF(OR(K354="",A353&lt;&gt;A354,K353=""),"",K354-K353)</x:f>
      </x:c>
      <x:c r="O354" s="42" t="str">
        <x:v>Sem informação</x:v>
      </x:c>
      <x:c r="P354" s="42"/>
      <x:c r="Q354" s="42" t="str"/>
      <x:c r="R354" s="42" t="str"/>
      <x:c r="S354" s="42" t="str"/>
      <x:c r="T354" s="42" t="str"/>
    </x:row>
    <x:row r="355">
      <x:c r="A355" s="42" t="str">
        <x:v>Guilherme Garutti</x:v>
      </x:c>
      <x:c r="B355" s="42" t="n">
        <x:v>2029</x:v>
      </x:c>
      <x:c r="C355" s="42" t="str">
        <x:v>T2</x:v>
      </x:c>
      <x:c r="D355" s="44" t="n">
        <x:v>47299</x:v>
      </x:c>
      <x:c r="E355" s="42" t="str">
        <x:v>Zagueiro</x:v>
      </x:c>
      <x:c r="F355" s="42" t="str">
        <x:v>ACSC FC Arges</x:v>
      </x:c>
      <x:c r="G355" s="46"/>
      <x:c r="H355" s="46"/>
      <x:c r="I355" s="46"/>
      <x:c r="J355" s="46"/>
      <x:c r="K355" s="46" t="str">
        <x:f>IF(COUNT(G355,I355)=0,"",AVERAGE(G355,I355))</x:f>
      </x:c>
      <x:c r="L355" s="46" t="str">
        <x:f>IF(COUNT(H355,J355)=0,"",AVERAGE(H355,J355))</x:f>
      </x:c>
      <x:c r="M355" s="46" t="str">
        <x:f>IF(OR(K355="",L355=""),"",L355-K355)</x:f>
      </x:c>
      <x:c r="N355" s="46" t="str">
        <x:f>IF(OR(K355="",A354&lt;&gt;A355,K354=""),"",K355-K354)</x:f>
      </x:c>
      <x:c r="O355" s="42" t="str">
        <x:v>Sem informação</x:v>
      </x:c>
      <x:c r="P355" s="42"/>
      <x:c r="Q355" s="42" t="str"/>
      <x:c r="R355" s="42" t="str"/>
      <x:c r="S355" s="42" t="str"/>
      <x:c r="T355" s="42" t="str"/>
    </x:row>
    <x:row r="356">
      <x:c r="A356" s="42" t="str">
        <x:v>Guilherme Garutti</x:v>
      </x:c>
      <x:c r="B356" s="42" t="n">
        <x:v>2029</x:v>
      </x:c>
      <x:c r="C356" s="42" t="str">
        <x:v>T3</x:v>
      </x:c>
      <x:c r="D356" s="44" t="n">
        <x:v>47391</x:v>
      </x:c>
      <x:c r="E356" s="42" t="str">
        <x:v>Zagueiro</x:v>
      </x:c>
      <x:c r="F356" s="42" t="str">
        <x:v>ACSC FC Arges</x:v>
      </x:c>
      <x:c r="G356" s="46"/>
      <x:c r="H356" s="46"/>
      <x:c r="I356" s="46"/>
      <x:c r="J356" s="46"/>
      <x:c r="K356" s="46" t="str">
        <x:f>IF(COUNT(G356,I356)=0,"",AVERAGE(G356,I356))</x:f>
      </x:c>
      <x:c r="L356" s="46" t="str">
        <x:f>IF(COUNT(H356,J356)=0,"",AVERAGE(H356,J356))</x:f>
      </x:c>
      <x:c r="M356" s="46" t="str">
        <x:f>IF(OR(K356="",L356=""),"",L356-K356)</x:f>
      </x:c>
      <x:c r="N356" s="46" t="str">
        <x:f>IF(OR(K356="",A355&lt;&gt;A356,K355=""),"",K356-K355)</x:f>
      </x:c>
      <x:c r="O356" s="42" t="str">
        <x:v>Sem informação</x:v>
      </x:c>
      <x:c r="P356" s="42"/>
      <x:c r="Q356" s="42" t="str"/>
      <x:c r="R356" s="42" t="str"/>
      <x:c r="S356" s="42" t="str"/>
      <x:c r="T356" s="42" t="str"/>
    </x:row>
    <x:row r="357">
      <x:c r="A357" s="42" t="str">
        <x:v>Guilherme Garutti</x:v>
      </x:c>
      <x:c r="B357" s="42" t="n">
        <x:v>2029</x:v>
      </x:c>
      <x:c r="C357" s="42" t="str">
        <x:v>T4</x:v>
      </x:c>
      <x:c r="D357" s="44" t="n">
        <x:v>47483</x:v>
      </x:c>
      <x:c r="E357" s="42" t="str">
        <x:v>Zagueiro</x:v>
      </x:c>
      <x:c r="F357" s="42" t="str">
        <x:v>ACSC FC Arges</x:v>
      </x:c>
      <x:c r="G357" s="46"/>
      <x:c r="H357" s="46"/>
      <x:c r="I357" s="46"/>
      <x:c r="J357" s="46"/>
      <x:c r="K357" s="46" t="str">
        <x:f>IF(COUNT(G357,I357)=0,"",AVERAGE(G357,I357))</x:f>
      </x:c>
      <x:c r="L357" s="46" t="str">
        <x:f>IF(COUNT(H357,J357)=0,"",AVERAGE(H357,J357))</x:f>
      </x:c>
      <x:c r="M357" s="46" t="str">
        <x:f>IF(OR(K357="",L357=""),"",L357-K357)</x:f>
      </x:c>
      <x:c r="N357" s="46" t="str">
        <x:f>IF(OR(K357="",A356&lt;&gt;A357,K356=""),"",K357-K356)</x:f>
      </x:c>
      <x:c r="O357" s="42" t="str">
        <x:v>Sem informação</x:v>
      </x:c>
      <x:c r="P357" s="42"/>
      <x:c r="Q357" s="42" t="str"/>
      <x:c r="R357" s="42" t="str"/>
      <x:c r="S357" s="42" t="str"/>
      <x:c r="T357" s="42" t="str"/>
    </x:row>
    <x:row r="358">
      <x:c r="A358" s="42" t="str">
        <x:v>Guilherme Garutti</x:v>
      </x:c>
      <x:c r="B358" s="42" t="n">
        <x:v>2030</x:v>
      </x:c>
      <x:c r="C358" s="42" t="str">
        <x:v>T1</x:v>
      </x:c>
      <x:c r="D358" s="44" t="n">
        <x:v>47573</x:v>
      </x:c>
      <x:c r="E358" s="42" t="str">
        <x:v>Zagueiro</x:v>
      </x:c>
      <x:c r="F358" s="42" t="str">
        <x:v>ACSC FC Arges</x:v>
      </x:c>
      <x:c r="G358" s="46"/>
      <x:c r="H358" s="46"/>
      <x:c r="I358" s="46"/>
      <x:c r="J358" s="46"/>
      <x:c r="K358" s="46" t="str">
        <x:f>IF(COUNT(G358,I358)=0,"",AVERAGE(G358,I358))</x:f>
      </x:c>
      <x:c r="L358" s="46" t="str">
        <x:f>IF(COUNT(H358,J358)=0,"",AVERAGE(H358,J358))</x:f>
      </x:c>
      <x:c r="M358" s="46" t="str">
        <x:f>IF(OR(K358="",L358=""),"",L358-K358)</x:f>
      </x:c>
      <x:c r="N358" s="46" t="str">
        <x:f>IF(OR(K358="",A357&lt;&gt;A358,K357=""),"",K358-K357)</x:f>
      </x:c>
      <x:c r="O358" s="42" t="str">
        <x:v>Sem informação</x:v>
      </x:c>
      <x:c r="P358" s="42"/>
      <x:c r="Q358" s="42" t="str"/>
      <x:c r="R358" s="42" t="str"/>
      <x:c r="S358" s="42" t="str"/>
      <x:c r="T358" s="42" t="str"/>
    </x:row>
    <x:row r="359">
      <x:c r="A359" s="42" t="str">
        <x:v>Guilherme Garutti</x:v>
      </x:c>
      <x:c r="B359" s="42" t="n">
        <x:v>2030</x:v>
      </x:c>
      <x:c r="C359" s="42" t="str">
        <x:v>T2</x:v>
      </x:c>
      <x:c r="D359" s="44" t="n">
        <x:v>47664</x:v>
      </x:c>
      <x:c r="E359" s="42" t="str">
        <x:v>Zagueiro</x:v>
      </x:c>
      <x:c r="F359" s="42" t="str">
        <x:v>ACSC FC Arges</x:v>
      </x:c>
      <x:c r="G359" s="46"/>
      <x:c r="H359" s="46"/>
      <x:c r="I359" s="46"/>
      <x:c r="J359" s="46"/>
      <x:c r="K359" s="46" t="str">
        <x:f>IF(COUNT(G359,I359)=0,"",AVERAGE(G359,I359))</x:f>
      </x:c>
      <x:c r="L359" s="46" t="str">
        <x:f>IF(COUNT(H359,J359)=0,"",AVERAGE(H359,J359))</x:f>
      </x:c>
      <x:c r="M359" s="46" t="str">
        <x:f>IF(OR(K359="",L359=""),"",L359-K359)</x:f>
      </x:c>
      <x:c r="N359" s="46" t="str">
        <x:f>IF(OR(K359="",A358&lt;&gt;A359,K358=""),"",K359-K358)</x:f>
      </x:c>
      <x:c r="O359" s="42" t="str">
        <x:v>Sem informação</x:v>
      </x:c>
      <x:c r="P359" s="42"/>
      <x:c r="Q359" s="42" t="str"/>
      <x:c r="R359" s="42" t="str"/>
      <x:c r="S359" s="42" t="str"/>
      <x:c r="T359" s="42" t="str"/>
    </x:row>
    <x:row r="360">
      <x:c r="A360" s="42" t="str">
        <x:v>Guilherme Garutti</x:v>
      </x:c>
      <x:c r="B360" s="42" t="n">
        <x:v>2030</x:v>
      </x:c>
      <x:c r="C360" s="42" t="str">
        <x:v>T3</x:v>
      </x:c>
      <x:c r="D360" s="44" t="n">
        <x:v>47756</x:v>
      </x:c>
      <x:c r="E360" s="42" t="str">
        <x:v>Zagueiro</x:v>
      </x:c>
      <x:c r="F360" s="42" t="str">
        <x:v>ACSC FC Arges</x:v>
      </x:c>
      <x:c r="G360" s="46"/>
      <x:c r="H360" s="46"/>
      <x:c r="I360" s="46"/>
      <x:c r="J360" s="46"/>
      <x:c r="K360" s="46" t="str">
        <x:f>IF(COUNT(G360,I360)=0,"",AVERAGE(G360,I360))</x:f>
      </x:c>
      <x:c r="L360" s="46" t="str">
        <x:f>IF(COUNT(H360,J360)=0,"",AVERAGE(H360,J360))</x:f>
      </x:c>
      <x:c r="M360" s="46" t="str">
        <x:f>IF(OR(K360="",L360=""),"",L360-K360)</x:f>
      </x:c>
      <x:c r="N360" s="46" t="str">
        <x:f>IF(OR(K360="",A359&lt;&gt;A360,K359=""),"",K360-K359)</x:f>
      </x:c>
      <x:c r="O360" s="42" t="str">
        <x:v>Sem informação</x:v>
      </x:c>
      <x:c r="P360" s="42"/>
      <x:c r="Q360" s="42" t="str"/>
      <x:c r="R360" s="42" t="str"/>
      <x:c r="S360" s="42" t="str"/>
      <x:c r="T360" s="42" t="str"/>
    </x:row>
    <x:row r="361">
      <x:c r="A361" s="42" t="str">
        <x:v>Guilherme Garutti</x:v>
      </x:c>
      <x:c r="B361" s="42" t="n">
        <x:v>2030</x:v>
      </x:c>
      <x:c r="C361" s="42" t="str">
        <x:v>T4</x:v>
      </x:c>
      <x:c r="D361" s="44" t="n">
        <x:v>47848</x:v>
      </x:c>
      <x:c r="E361" s="42" t="str">
        <x:v>Zagueiro</x:v>
      </x:c>
      <x:c r="F361" s="42" t="str">
        <x:v>ACSC FC Arges</x:v>
      </x:c>
      <x:c r="G361" s="46"/>
      <x:c r="H361" s="46"/>
      <x:c r="I361" s="46"/>
      <x:c r="J361" s="46"/>
      <x:c r="K361" s="46" t="str">
        <x:f>IF(COUNT(G361,I361)=0,"",AVERAGE(G361,I361))</x:f>
      </x:c>
      <x:c r="L361" s="46" t="str">
        <x:f>IF(COUNT(H361,J361)=0,"",AVERAGE(H361,J361))</x:f>
      </x:c>
      <x:c r="M361" s="46" t="str">
        <x:f>IF(OR(K361="",L361=""),"",L361-K361)</x:f>
      </x:c>
      <x:c r="N361" s="46" t="str">
        <x:f>IF(OR(K361="",A360&lt;&gt;A361,K360=""),"",K361-K360)</x:f>
      </x:c>
      <x:c r="O361" s="42" t="str">
        <x:v>Sem informação</x:v>
      </x:c>
      <x:c r="P361" s="42"/>
      <x:c r="Q361" s="42" t="str"/>
      <x:c r="R361" s="42" t="str"/>
      <x:c r="S361" s="42" t="str"/>
      <x:c r="T361" s="42" t="str"/>
    </x:row>
    <x:row r="362">
      <x:c r="A362" s="42" t="str">
        <x:v>Hugo Souza</x:v>
      </x:c>
      <x:c r="B362" s="42" t="n">
        <x:v>2026</x:v>
      </x:c>
      <x:c r="C362" s="42" t="str">
        <x:v>T1</x:v>
      </x:c>
      <x:c r="D362" s="44" t="n">
        <x:v>46112</x:v>
      </x:c>
      <x:c r="E362" s="42" t="str">
        <x:v>Goleiro</x:v>
      </x:c>
      <x:c r="F362" s="42" t="str">
        <x:v>SC Corinthians</x:v>
      </x:c>
      <x:c r="G362" s="46"/>
      <x:c r="H362" s="46"/>
      <x:c r="I362" s="46"/>
      <x:c r="J362" s="46"/>
      <x:c r="K362" s="46" t="str">
        <x:f>IF(COUNT(G362,I362)=0,"",AVERAGE(G362,I362))</x:f>
      </x:c>
      <x:c r="L362" s="46" t="str">
        <x:f>IF(COUNT(H362,J362)=0,"",AVERAGE(H362,J362))</x:f>
      </x:c>
      <x:c r="M362" s="46" t="str">
        <x:f>IF(OR(K362="",L362=""),"",L362-K362)</x:f>
      </x:c>
      <x:c r="N362" s="46" t="str">
        <x:f>IF(OR(K362="",A361&lt;&gt;A362,K361=""),"",K362-K361)</x:f>
      </x:c>
      <x:c r="O362" s="42" t="str">
        <x:v>Sem informação</x:v>
      </x:c>
      <x:c r="P362" s="42"/>
      <x:c r="Q362" s="42" t="str"/>
      <x:c r="R362" s="42" t="str"/>
      <x:c r="S362" s="42" t="str"/>
      <x:c r="T362" s="42" t="str"/>
    </x:row>
    <x:row r="363">
      <x:c r="A363" s="42" t="str">
        <x:v>Hugo Souza</x:v>
      </x:c>
      <x:c r="B363" s="42" t="n">
        <x:v>2026</x:v>
      </x:c>
      <x:c r="C363" s="42" t="str">
        <x:v>T2</x:v>
      </x:c>
      <x:c r="D363" s="44" t="n">
        <x:v>46203</x:v>
      </x:c>
      <x:c r="E363" s="42" t="str">
        <x:v>Goleiro</x:v>
      </x:c>
      <x:c r="F363" s="42" t="str">
        <x:v>SC Corinthians</x:v>
      </x:c>
      <x:c r="G363" s="46" t="n">
        <x:v>6.5</x:v>
      </x:c>
      <x:c r="H363" s="46" t="n">
        <x:v>7.5</x:v>
      </x:c>
      <x:c r="I363" s="46" t="n">
        <x:v>7</x:v>
      </x:c>
      <x:c r="J363" s="46" t="n">
        <x:v>8</x:v>
      </x:c>
      <x:c r="K363" s="46" t="n">
        <x:f>IF(COUNT(G363,I363)=0,"",AVERAGE(G363,I363))</x:f>
        <x:v>6.75</x:v>
      </x:c>
      <x:c r="L363" s="46" t="n">
        <x:f>IF(COUNT(H363,J363)=0,"",AVERAGE(H363,J363))</x:f>
        <x:v>7.75</x:v>
      </x:c>
      <x:c r="M363" s="46" t="n">
        <x:f>IF(OR(K363="",L363=""),"",L363-K363)</x:f>
        <x:v>1</x:v>
      </x:c>
      <x:c r="N363" s="46" t="str">
        <x:f>IF(OR(K363="",A362&lt;&gt;A363,K362=""),"",K363-K362)</x:f>
      </x:c>
      <x:c r="O363" s="42" t="str">
        <x:v>Sem informação</x:v>
      </x:c>
      <x:c r="P363" s="42"/>
      <x:c r="Q363" s="42" t="str">
        <x:v>Excelente para penaltis.</x:v>
      </x:c>
      <x:c r="R363" s="42" t="str">
        <x:v>Bom goleiro para momentos decisivos.</x:v>
      </x:c>
      <x:c r="S363" s="42" t="str"/>
      <x:c r="T363" s="42" t="str"/>
    </x:row>
    <x:row r="364">
      <x:c r="A364" s="42" t="str">
        <x:v>Hugo Souza</x:v>
      </x:c>
      <x:c r="B364" s="42" t="n">
        <x:v>2026</x:v>
      </x:c>
      <x:c r="C364" s="42" t="str">
        <x:v>T3</x:v>
      </x:c>
      <x:c r="D364" s="44" t="n">
        <x:v>46295</x:v>
      </x:c>
      <x:c r="E364" s="42" t="str">
        <x:v>Goleiro</x:v>
      </x:c>
      <x:c r="F364" s="42" t="str">
        <x:v>SC Corinthians</x:v>
      </x:c>
      <x:c r="G364" s="46"/>
      <x:c r="H364" s="46"/>
      <x:c r="I364" s="46"/>
      <x:c r="J364" s="46"/>
      <x:c r="K364" s="46" t="str">
        <x:f>IF(COUNT(G364,I364)=0,"",AVERAGE(G364,I364))</x:f>
      </x:c>
      <x:c r="L364" s="46" t="str">
        <x:f>IF(COUNT(H364,J364)=0,"",AVERAGE(H364,J364))</x:f>
      </x:c>
      <x:c r="M364" s="46" t="str">
        <x:f>IF(OR(K364="",L364=""),"",L364-K364)</x:f>
      </x:c>
      <x:c r="N364" s="46" t="str">
        <x:f>IF(OR(K364="",A363&lt;&gt;A364,K363=""),"",K364-K363)</x:f>
      </x:c>
      <x:c r="O364" s="42" t="str">
        <x:v>Sem informação</x:v>
      </x:c>
      <x:c r="P364" s="42"/>
      <x:c r="Q364" s="42" t="str"/>
      <x:c r="R364" s="42" t="str"/>
      <x:c r="S364" s="42" t="str"/>
      <x:c r="T364" s="42" t="str"/>
    </x:row>
    <x:row r="365">
      <x:c r="A365" s="42" t="str">
        <x:v>Hugo Souza</x:v>
      </x:c>
      <x:c r="B365" s="42" t="n">
        <x:v>2026</x:v>
      </x:c>
      <x:c r="C365" s="42" t="str">
        <x:v>T4</x:v>
      </x:c>
      <x:c r="D365" s="44" t="n">
        <x:v>46387</x:v>
      </x:c>
      <x:c r="E365" s="42" t="str">
        <x:v>Goleiro</x:v>
      </x:c>
      <x:c r="F365" s="42" t="str">
        <x:v>SC Corinthians</x:v>
      </x:c>
      <x:c r="G365" s="46"/>
      <x:c r="H365" s="46"/>
      <x:c r="I365" s="46"/>
      <x:c r="J365" s="46"/>
      <x:c r="K365" s="46" t="str">
        <x:f>IF(COUNT(G365,I365)=0,"",AVERAGE(G365,I365))</x:f>
      </x:c>
      <x:c r="L365" s="46" t="str">
        <x:f>IF(COUNT(H365,J365)=0,"",AVERAGE(H365,J365))</x:f>
      </x:c>
      <x:c r="M365" s="46" t="str">
        <x:f>IF(OR(K365="",L365=""),"",L365-K365)</x:f>
      </x:c>
      <x:c r="N365" s="46" t="str">
        <x:f>IF(OR(K365="",A364&lt;&gt;A365,K364=""),"",K365-K364)</x:f>
      </x:c>
      <x:c r="O365" s="42" t="str">
        <x:v>Sem informação</x:v>
      </x:c>
      <x:c r="P365" s="42"/>
      <x:c r="Q365" s="42" t="str"/>
      <x:c r="R365" s="42" t="str"/>
      <x:c r="S365" s="42" t="str"/>
      <x:c r="T365" s="42" t="str"/>
    </x:row>
    <x:row r="366">
      <x:c r="A366" s="42" t="str">
        <x:v>Hugo Souza</x:v>
      </x:c>
      <x:c r="B366" s="42" t="n">
        <x:v>2027</x:v>
      </x:c>
      <x:c r="C366" s="42" t="str">
        <x:v>T1</x:v>
      </x:c>
      <x:c r="D366" s="44" t="n">
        <x:v>46477</x:v>
      </x:c>
      <x:c r="E366" s="42" t="str">
        <x:v>Goleiro</x:v>
      </x:c>
      <x:c r="F366" s="42" t="str">
        <x:v>SC Corinthians</x:v>
      </x:c>
      <x:c r="G366" s="46"/>
      <x:c r="H366" s="46"/>
      <x:c r="I366" s="46"/>
      <x:c r="J366" s="46"/>
      <x:c r="K366" s="46" t="str">
        <x:f>IF(COUNT(G366,I366)=0,"",AVERAGE(G366,I366))</x:f>
      </x:c>
      <x:c r="L366" s="46" t="str">
        <x:f>IF(COUNT(H366,J366)=0,"",AVERAGE(H366,J366))</x:f>
      </x:c>
      <x:c r="M366" s="46" t="str">
        <x:f>IF(OR(K366="",L366=""),"",L366-K366)</x:f>
      </x:c>
      <x:c r="N366" s="46" t="str">
        <x:f>IF(OR(K366="",A365&lt;&gt;A366,K365=""),"",K366-K365)</x:f>
      </x:c>
      <x:c r="O366" s="42" t="str">
        <x:v>Sem informação</x:v>
      </x:c>
      <x:c r="P366" s="42"/>
      <x:c r="Q366" s="42" t="str"/>
      <x:c r="R366" s="42" t="str"/>
      <x:c r="S366" s="42" t="str"/>
      <x:c r="T366" s="42" t="str"/>
    </x:row>
    <x:row r="367">
      <x:c r="A367" s="42" t="str">
        <x:v>Hugo Souza</x:v>
      </x:c>
      <x:c r="B367" s="42" t="n">
        <x:v>2027</x:v>
      </x:c>
      <x:c r="C367" s="42" t="str">
        <x:v>T2</x:v>
      </x:c>
      <x:c r="D367" s="44" t="n">
        <x:v>46568</x:v>
      </x:c>
      <x:c r="E367" s="42" t="str">
        <x:v>Goleiro</x:v>
      </x:c>
      <x:c r="F367" s="42" t="str">
        <x:v>SC Corinthians</x:v>
      </x:c>
      <x:c r="G367" s="46"/>
      <x:c r="H367" s="46"/>
      <x:c r="I367" s="46"/>
      <x:c r="J367" s="46"/>
      <x:c r="K367" s="46" t="str">
        <x:f>IF(COUNT(G367,I367)=0,"",AVERAGE(G367,I367))</x:f>
      </x:c>
      <x:c r="L367" s="46" t="str">
        <x:f>IF(COUNT(H367,J367)=0,"",AVERAGE(H367,J367))</x:f>
      </x:c>
      <x:c r="M367" s="46" t="str">
        <x:f>IF(OR(K367="",L367=""),"",L367-K367)</x:f>
      </x:c>
      <x:c r="N367" s="46" t="str">
        <x:f>IF(OR(K367="",A366&lt;&gt;A367,K366=""),"",K367-K366)</x:f>
      </x:c>
      <x:c r="O367" s="42" t="str">
        <x:v>Sem informação</x:v>
      </x:c>
      <x:c r="P367" s="42"/>
      <x:c r="Q367" s="42" t="str"/>
      <x:c r="R367" s="42" t="str"/>
      <x:c r="S367" s="42" t="str"/>
      <x:c r="T367" s="42" t="str"/>
    </x:row>
    <x:row r="368">
      <x:c r="A368" s="42" t="str">
        <x:v>Hugo Souza</x:v>
      </x:c>
      <x:c r="B368" s="42" t="n">
        <x:v>2027</x:v>
      </x:c>
      <x:c r="C368" s="42" t="str">
        <x:v>T3</x:v>
      </x:c>
      <x:c r="D368" s="44" t="n">
        <x:v>46660</x:v>
      </x:c>
      <x:c r="E368" s="42" t="str">
        <x:v>Goleiro</x:v>
      </x:c>
      <x:c r="F368" s="42" t="str">
        <x:v>SC Corinthians</x:v>
      </x:c>
      <x:c r="G368" s="46"/>
      <x:c r="H368" s="46"/>
      <x:c r="I368" s="46"/>
      <x:c r="J368" s="46"/>
      <x:c r="K368" s="46" t="str">
        <x:f>IF(COUNT(G368,I368)=0,"",AVERAGE(G368,I368))</x:f>
      </x:c>
      <x:c r="L368" s="46" t="str">
        <x:f>IF(COUNT(H368,J368)=0,"",AVERAGE(H368,J368))</x:f>
      </x:c>
      <x:c r="M368" s="46" t="str">
        <x:f>IF(OR(K368="",L368=""),"",L368-K368)</x:f>
      </x:c>
      <x:c r="N368" s="46" t="str">
        <x:f>IF(OR(K368="",A367&lt;&gt;A368,K367=""),"",K368-K367)</x:f>
      </x:c>
      <x:c r="O368" s="42" t="str">
        <x:v>Sem informação</x:v>
      </x:c>
      <x:c r="P368" s="42"/>
      <x:c r="Q368" s="42" t="str"/>
      <x:c r="R368" s="42" t="str"/>
      <x:c r="S368" s="42" t="str"/>
      <x:c r="T368" s="42" t="str"/>
    </x:row>
    <x:row r="369">
      <x:c r="A369" s="42" t="str">
        <x:v>Hugo Souza</x:v>
      </x:c>
      <x:c r="B369" s="42" t="n">
        <x:v>2027</x:v>
      </x:c>
      <x:c r="C369" s="42" t="str">
        <x:v>T4</x:v>
      </x:c>
      <x:c r="D369" s="44" t="n">
        <x:v>46752</x:v>
      </x:c>
      <x:c r="E369" s="42" t="str">
        <x:v>Goleiro</x:v>
      </x:c>
      <x:c r="F369" s="42" t="str">
        <x:v>SC Corinthians</x:v>
      </x:c>
      <x:c r="G369" s="46"/>
      <x:c r="H369" s="46"/>
      <x:c r="I369" s="46"/>
      <x:c r="J369" s="46"/>
      <x:c r="K369" s="46" t="str">
        <x:f>IF(COUNT(G369,I369)=0,"",AVERAGE(G369,I369))</x:f>
      </x:c>
      <x:c r="L369" s="46" t="str">
        <x:f>IF(COUNT(H369,J369)=0,"",AVERAGE(H369,J369))</x:f>
      </x:c>
      <x:c r="M369" s="46" t="str">
        <x:f>IF(OR(K369="",L369=""),"",L369-K369)</x:f>
      </x:c>
      <x:c r="N369" s="46" t="str">
        <x:f>IF(OR(K369="",A368&lt;&gt;A369,K368=""),"",K369-K368)</x:f>
      </x:c>
      <x:c r="O369" s="42" t="str">
        <x:v>Sem informação</x:v>
      </x:c>
      <x:c r="P369" s="42"/>
      <x:c r="Q369" s="42" t="str"/>
      <x:c r="R369" s="42" t="str"/>
      <x:c r="S369" s="42" t="str"/>
      <x:c r="T369" s="42" t="str"/>
    </x:row>
    <x:row r="370">
      <x:c r="A370" s="42" t="str">
        <x:v>Hugo Souza</x:v>
      </x:c>
      <x:c r="B370" s="42" t="n">
        <x:v>2028</x:v>
      </x:c>
      <x:c r="C370" s="42" t="str">
        <x:v>T1</x:v>
      </x:c>
      <x:c r="D370" s="44" t="n">
        <x:v>46843</x:v>
      </x:c>
      <x:c r="E370" s="42" t="str">
        <x:v>Goleiro</x:v>
      </x:c>
      <x:c r="F370" s="42" t="str">
        <x:v>SC Corinthians</x:v>
      </x:c>
      <x:c r="G370" s="46"/>
      <x:c r="H370" s="46"/>
      <x:c r="I370" s="46"/>
      <x:c r="J370" s="46"/>
      <x:c r="K370" s="46" t="str">
        <x:f>IF(COUNT(G370,I370)=0,"",AVERAGE(G370,I370))</x:f>
      </x:c>
      <x:c r="L370" s="46" t="str">
        <x:f>IF(COUNT(H370,J370)=0,"",AVERAGE(H370,J370))</x:f>
      </x:c>
      <x:c r="M370" s="46" t="str">
        <x:f>IF(OR(K370="",L370=""),"",L370-K370)</x:f>
      </x:c>
      <x:c r="N370" s="46" t="str">
        <x:f>IF(OR(K370="",A369&lt;&gt;A370,K369=""),"",K370-K369)</x:f>
      </x:c>
      <x:c r="O370" s="42" t="str">
        <x:v>Sem informação</x:v>
      </x:c>
      <x:c r="P370" s="42"/>
      <x:c r="Q370" s="42" t="str"/>
      <x:c r="R370" s="42" t="str"/>
      <x:c r="S370" s="42" t="str"/>
      <x:c r="T370" s="42" t="str"/>
    </x:row>
    <x:row r="371">
      <x:c r="A371" s="42" t="str">
        <x:v>Hugo Souza</x:v>
      </x:c>
      <x:c r="B371" s="42" t="n">
        <x:v>2028</x:v>
      </x:c>
      <x:c r="C371" s="42" t="str">
        <x:v>T2</x:v>
      </x:c>
      <x:c r="D371" s="44" t="n">
        <x:v>46934</x:v>
      </x:c>
      <x:c r="E371" s="42" t="str">
        <x:v>Goleiro</x:v>
      </x:c>
      <x:c r="F371" s="42" t="str">
        <x:v>SC Corinthians</x:v>
      </x:c>
      <x:c r="G371" s="46"/>
      <x:c r="H371" s="46"/>
      <x:c r="I371" s="46"/>
      <x:c r="J371" s="46"/>
      <x:c r="K371" s="46" t="str">
        <x:f>IF(COUNT(G371,I371)=0,"",AVERAGE(G371,I371))</x:f>
      </x:c>
      <x:c r="L371" s="46" t="str">
        <x:f>IF(COUNT(H371,J371)=0,"",AVERAGE(H371,J371))</x:f>
      </x:c>
      <x:c r="M371" s="46" t="str">
        <x:f>IF(OR(K371="",L371=""),"",L371-K371)</x:f>
      </x:c>
      <x:c r="N371" s="46" t="str">
        <x:f>IF(OR(K371="",A370&lt;&gt;A371,K370=""),"",K371-K370)</x:f>
      </x:c>
      <x:c r="O371" s="42" t="str">
        <x:v>Sem informação</x:v>
      </x:c>
      <x:c r="P371" s="42"/>
      <x:c r="Q371" s="42" t="str"/>
      <x:c r="R371" s="42" t="str"/>
      <x:c r="S371" s="42" t="str"/>
      <x:c r="T371" s="42" t="str"/>
    </x:row>
    <x:row r="372">
      <x:c r="A372" s="42" t="str">
        <x:v>Hugo Souza</x:v>
      </x:c>
      <x:c r="B372" s="42" t="n">
        <x:v>2028</x:v>
      </x:c>
      <x:c r="C372" s="42" t="str">
        <x:v>T3</x:v>
      </x:c>
      <x:c r="D372" s="44" t="n">
        <x:v>47026</x:v>
      </x:c>
      <x:c r="E372" s="42" t="str">
        <x:v>Goleiro</x:v>
      </x:c>
      <x:c r="F372" s="42" t="str">
        <x:v>SC Corinthians</x:v>
      </x:c>
      <x:c r="G372" s="46"/>
      <x:c r="H372" s="46"/>
      <x:c r="I372" s="46"/>
      <x:c r="J372" s="46"/>
      <x:c r="K372" s="46" t="str">
        <x:f>IF(COUNT(G372,I372)=0,"",AVERAGE(G372,I372))</x:f>
      </x:c>
      <x:c r="L372" s="46" t="str">
        <x:f>IF(COUNT(H372,J372)=0,"",AVERAGE(H372,J372))</x:f>
      </x:c>
      <x:c r="M372" s="46" t="str">
        <x:f>IF(OR(K372="",L372=""),"",L372-K372)</x:f>
      </x:c>
      <x:c r="N372" s="46" t="str">
        <x:f>IF(OR(K372="",A371&lt;&gt;A372,K371=""),"",K372-K371)</x:f>
      </x:c>
      <x:c r="O372" s="42" t="str">
        <x:v>Sem informação</x:v>
      </x:c>
      <x:c r="P372" s="42"/>
      <x:c r="Q372" s="42" t="str"/>
      <x:c r="R372" s="42" t="str"/>
      <x:c r="S372" s="42" t="str"/>
      <x:c r="T372" s="42" t="str"/>
    </x:row>
    <x:row r="373">
      <x:c r="A373" s="42" t="str">
        <x:v>Hugo Souza</x:v>
      </x:c>
      <x:c r="B373" s="42" t="n">
        <x:v>2028</x:v>
      </x:c>
      <x:c r="C373" s="42" t="str">
        <x:v>T4</x:v>
      </x:c>
      <x:c r="D373" s="44" t="n">
        <x:v>47118</x:v>
      </x:c>
      <x:c r="E373" s="42" t="str">
        <x:v>Goleiro</x:v>
      </x:c>
      <x:c r="F373" s="42" t="str">
        <x:v>SC Corinthians</x:v>
      </x:c>
      <x:c r="G373" s="46"/>
      <x:c r="H373" s="46"/>
      <x:c r="I373" s="46"/>
      <x:c r="J373" s="46"/>
      <x:c r="K373" s="46" t="str">
        <x:f>IF(COUNT(G373,I373)=0,"",AVERAGE(G373,I373))</x:f>
      </x:c>
      <x:c r="L373" s="46" t="str">
        <x:f>IF(COUNT(H373,J373)=0,"",AVERAGE(H373,J373))</x:f>
      </x:c>
      <x:c r="M373" s="46" t="str">
        <x:f>IF(OR(K373="",L373=""),"",L373-K373)</x:f>
      </x:c>
      <x:c r="N373" s="46" t="str">
        <x:f>IF(OR(K373="",A372&lt;&gt;A373,K372=""),"",K373-K372)</x:f>
      </x:c>
      <x:c r="O373" s="42" t="str">
        <x:v>Sem informação</x:v>
      </x:c>
      <x:c r="P373" s="42"/>
      <x:c r="Q373" s="42" t="str"/>
      <x:c r="R373" s="42" t="str"/>
      <x:c r="S373" s="42" t="str"/>
      <x:c r="T373" s="42" t="str"/>
    </x:row>
    <x:row r="374">
      <x:c r="A374" s="42" t="str">
        <x:v>Hugo Souza</x:v>
      </x:c>
      <x:c r="B374" s="42" t="n">
        <x:v>2029</x:v>
      </x:c>
      <x:c r="C374" s="42" t="str">
        <x:v>T1</x:v>
      </x:c>
      <x:c r="D374" s="44" t="n">
        <x:v>47208</x:v>
      </x:c>
      <x:c r="E374" s="42" t="str">
        <x:v>Goleiro</x:v>
      </x:c>
      <x:c r="F374" s="42" t="str">
        <x:v>SC Corinthians</x:v>
      </x:c>
      <x:c r="G374" s="46"/>
      <x:c r="H374" s="46"/>
      <x:c r="I374" s="46"/>
      <x:c r="J374" s="46"/>
      <x:c r="K374" s="46" t="str">
        <x:f>IF(COUNT(G374,I374)=0,"",AVERAGE(G374,I374))</x:f>
      </x:c>
      <x:c r="L374" s="46" t="str">
        <x:f>IF(COUNT(H374,J374)=0,"",AVERAGE(H374,J374))</x:f>
      </x:c>
      <x:c r="M374" s="46" t="str">
        <x:f>IF(OR(K374="",L374=""),"",L374-K374)</x:f>
      </x:c>
      <x:c r="N374" s="46" t="str">
        <x:f>IF(OR(K374="",A373&lt;&gt;A374,K373=""),"",K374-K373)</x:f>
      </x:c>
      <x:c r="O374" s="42" t="str">
        <x:v>Sem informação</x:v>
      </x:c>
      <x:c r="P374" s="42"/>
      <x:c r="Q374" s="42" t="str"/>
      <x:c r="R374" s="42" t="str"/>
      <x:c r="S374" s="42" t="str"/>
      <x:c r="T374" s="42" t="str"/>
    </x:row>
    <x:row r="375">
      <x:c r="A375" s="42" t="str">
        <x:v>Hugo Souza</x:v>
      </x:c>
      <x:c r="B375" s="42" t="n">
        <x:v>2029</x:v>
      </x:c>
      <x:c r="C375" s="42" t="str">
        <x:v>T2</x:v>
      </x:c>
      <x:c r="D375" s="44" t="n">
        <x:v>47299</x:v>
      </x:c>
      <x:c r="E375" s="42" t="str">
        <x:v>Goleiro</x:v>
      </x:c>
      <x:c r="F375" s="42" t="str">
        <x:v>SC Corinthians</x:v>
      </x:c>
      <x:c r="G375" s="46"/>
      <x:c r="H375" s="46"/>
      <x:c r="I375" s="46"/>
      <x:c r="J375" s="46"/>
      <x:c r="K375" s="46" t="str">
        <x:f>IF(COUNT(G375,I375)=0,"",AVERAGE(G375,I375))</x:f>
      </x:c>
      <x:c r="L375" s="46" t="str">
        <x:f>IF(COUNT(H375,J375)=0,"",AVERAGE(H375,J375))</x:f>
      </x:c>
      <x:c r="M375" s="46" t="str">
        <x:f>IF(OR(K375="",L375=""),"",L375-K375)</x:f>
      </x:c>
      <x:c r="N375" s="46" t="str">
        <x:f>IF(OR(K375="",A374&lt;&gt;A375,K374=""),"",K375-K374)</x:f>
      </x:c>
      <x:c r="O375" s="42" t="str">
        <x:v>Sem informação</x:v>
      </x:c>
      <x:c r="P375" s="42"/>
      <x:c r="Q375" s="42" t="str"/>
      <x:c r="R375" s="42" t="str"/>
      <x:c r="S375" s="42" t="str"/>
      <x:c r="T375" s="42" t="str"/>
    </x:row>
    <x:row r="376">
      <x:c r="A376" s="42" t="str">
        <x:v>Hugo Souza</x:v>
      </x:c>
      <x:c r="B376" s="42" t="n">
        <x:v>2029</x:v>
      </x:c>
      <x:c r="C376" s="42" t="str">
        <x:v>T3</x:v>
      </x:c>
      <x:c r="D376" s="44" t="n">
        <x:v>47391</x:v>
      </x:c>
      <x:c r="E376" s="42" t="str">
        <x:v>Goleiro</x:v>
      </x:c>
      <x:c r="F376" s="42" t="str">
        <x:v>SC Corinthians</x:v>
      </x:c>
      <x:c r="G376" s="46"/>
      <x:c r="H376" s="46"/>
      <x:c r="I376" s="46"/>
      <x:c r="J376" s="46"/>
      <x:c r="K376" s="46" t="str">
        <x:f>IF(COUNT(G376,I376)=0,"",AVERAGE(G376,I376))</x:f>
      </x:c>
      <x:c r="L376" s="46" t="str">
        <x:f>IF(COUNT(H376,J376)=0,"",AVERAGE(H376,J376))</x:f>
      </x:c>
      <x:c r="M376" s="46" t="str">
        <x:f>IF(OR(K376="",L376=""),"",L376-K376)</x:f>
      </x:c>
      <x:c r="N376" s="46" t="str">
        <x:f>IF(OR(K376="",A375&lt;&gt;A376,K375=""),"",K376-K375)</x:f>
      </x:c>
      <x:c r="O376" s="42" t="str">
        <x:v>Sem informação</x:v>
      </x:c>
      <x:c r="P376" s="42"/>
      <x:c r="Q376" s="42" t="str"/>
      <x:c r="R376" s="42" t="str"/>
      <x:c r="S376" s="42" t="str"/>
      <x:c r="T376" s="42" t="str"/>
    </x:row>
    <x:row r="377">
      <x:c r="A377" s="42" t="str">
        <x:v>Hugo Souza</x:v>
      </x:c>
      <x:c r="B377" s="42" t="n">
        <x:v>2029</x:v>
      </x:c>
      <x:c r="C377" s="42" t="str">
        <x:v>T4</x:v>
      </x:c>
      <x:c r="D377" s="44" t="n">
        <x:v>47483</x:v>
      </x:c>
      <x:c r="E377" s="42" t="str">
        <x:v>Goleiro</x:v>
      </x:c>
      <x:c r="F377" s="42" t="str">
        <x:v>SC Corinthians</x:v>
      </x:c>
      <x:c r="G377" s="46"/>
      <x:c r="H377" s="46"/>
      <x:c r="I377" s="46"/>
      <x:c r="J377" s="46"/>
      <x:c r="K377" s="46" t="str">
        <x:f>IF(COUNT(G377,I377)=0,"",AVERAGE(G377,I377))</x:f>
      </x:c>
      <x:c r="L377" s="46" t="str">
        <x:f>IF(COUNT(H377,J377)=0,"",AVERAGE(H377,J377))</x:f>
      </x:c>
      <x:c r="M377" s="46" t="str">
        <x:f>IF(OR(K377="",L377=""),"",L377-K377)</x:f>
      </x:c>
      <x:c r="N377" s="46" t="str">
        <x:f>IF(OR(K377="",A376&lt;&gt;A377,K376=""),"",K377-K376)</x:f>
      </x:c>
      <x:c r="O377" s="42" t="str">
        <x:v>Sem informação</x:v>
      </x:c>
      <x:c r="P377" s="42"/>
      <x:c r="Q377" s="42" t="str"/>
      <x:c r="R377" s="42" t="str"/>
      <x:c r="S377" s="42" t="str"/>
      <x:c r="T377" s="42" t="str"/>
    </x:row>
    <x:row r="378">
      <x:c r="A378" s="42" t="str">
        <x:v>Hugo Souza</x:v>
      </x:c>
      <x:c r="B378" s="42" t="n">
        <x:v>2030</x:v>
      </x:c>
      <x:c r="C378" s="42" t="str">
        <x:v>T1</x:v>
      </x:c>
      <x:c r="D378" s="44" t="n">
        <x:v>47573</x:v>
      </x:c>
      <x:c r="E378" s="42" t="str">
        <x:v>Goleiro</x:v>
      </x:c>
      <x:c r="F378" s="42" t="str">
        <x:v>SC Corinthians</x:v>
      </x:c>
      <x:c r="G378" s="46"/>
      <x:c r="H378" s="46"/>
      <x:c r="I378" s="46"/>
      <x:c r="J378" s="46"/>
      <x:c r="K378" s="46" t="str">
        <x:f>IF(COUNT(G378,I378)=0,"",AVERAGE(G378,I378))</x:f>
      </x:c>
      <x:c r="L378" s="46" t="str">
        <x:f>IF(COUNT(H378,J378)=0,"",AVERAGE(H378,J378))</x:f>
      </x:c>
      <x:c r="M378" s="46" t="str">
        <x:f>IF(OR(K378="",L378=""),"",L378-K378)</x:f>
      </x:c>
      <x:c r="N378" s="46" t="str">
        <x:f>IF(OR(K378="",A377&lt;&gt;A378,K377=""),"",K378-K377)</x:f>
      </x:c>
      <x:c r="O378" s="42" t="str">
        <x:v>Sem informação</x:v>
      </x:c>
      <x:c r="P378" s="42"/>
      <x:c r="Q378" s="42" t="str"/>
      <x:c r="R378" s="42" t="str"/>
      <x:c r="S378" s="42" t="str"/>
      <x:c r="T378" s="42" t="str"/>
    </x:row>
    <x:row r="379">
      <x:c r="A379" s="42" t="str">
        <x:v>Hugo Souza</x:v>
      </x:c>
      <x:c r="B379" s="42" t="n">
        <x:v>2030</x:v>
      </x:c>
      <x:c r="C379" s="42" t="str">
        <x:v>T2</x:v>
      </x:c>
      <x:c r="D379" s="44" t="n">
        <x:v>47664</x:v>
      </x:c>
      <x:c r="E379" s="42" t="str">
        <x:v>Goleiro</x:v>
      </x:c>
      <x:c r="F379" s="42" t="str">
        <x:v>SC Corinthians</x:v>
      </x:c>
      <x:c r="G379" s="46"/>
      <x:c r="H379" s="46"/>
      <x:c r="I379" s="46"/>
      <x:c r="J379" s="46"/>
      <x:c r="K379" s="46" t="str">
        <x:f>IF(COUNT(G379,I379)=0,"",AVERAGE(G379,I379))</x:f>
      </x:c>
      <x:c r="L379" s="46" t="str">
        <x:f>IF(COUNT(H379,J379)=0,"",AVERAGE(H379,J379))</x:f>
      </x:c>
      <x:c r="M379" s="46" t="str">
        <x:f>IF(OR(K379="",L379=""),"",L379-K379)</x:f>
      </x:c>
      <x:c r="N379" s="46" t="str">
        <x:f>IF(OR(K379="",A378&lt;&gt;A379,K378=""),"",K379-K378)</x:f>
      </x:c>
      <x:c r="O379" s="42" t="str">
        <x:v>Sem informação</x:v>
      </x:c>
      <x:c r="P379" s="42"/>
      <x:c r="Q379" s="42" t="str"/>
      <x:c r="R379" s="42" t="str"/>
      <x:c r="S379" s="42" t="str"/>
      <x:c r="T379" s="42" t="str"/>
    </x:row>
    <x:row r="380">
      <x:c r="A380" s="42" t="str">
        <x:v>Hugo Souza</x:v>
      </x:c>
      <x:c r="B380" s="42" t="n">
        <x:v>2030</x:v>
      </x:c>
      <x:c r="C380" s="42" t="str">
        <x:v>T3</x:v>
      </x:c>
      <x:c r="D380" s="44" t="n">
        <x:v>47756</x:v>
      </x:c>
      <x:c r="E380" s="42" t="str">
        <x:v>Goleiro</x:v>
      </x:c>
      <x:c r="F380" s="42" t="str">
        <x:v>SC Corinthians</x:v>
      </x:c>
      <x:c r="G380" s="46"/>
      <x:c r="H380" s="46"/>
      <x:c r="I380" s="46"/>
      <x:c r="J380" s="46"/>
      <x:c r="K380" s="46" t="str">
        <x:f>IF(COUNT(G380,I380)=0,"",AVERAGE(G380,I380))</x:f>
      </x:c>
      <x:c r="L380" s="46" t="str">
        <x:f>IF(COUNT(H380,J380)=0,"",AVERAGE(H380,J380))</x:f>
      </x:c>
      <x:c r="M380" s="46" t="str">
        <x:f>IF(OR(K380="",L380=""),"",L380-K380)</x:f>
      </x:c>
      <x:c r="N380" s="46" t="str">
        <x:f>IF(OR(K380="",A379&lt;&gt;A380,K379=""),"",K380-K379)</x:f>
      </x:c>
      <x:c r="O380" s="42" t="str">
        <x:v>Sem informação</x:v>
      </x:c>
      <x:c r="P380" s="42"/>
      <x:c r="Q380" s="42" t="str"/>
      <x:c r="R380" s="42" t="str"/>
      <x:c r="S380" s="42" t="str"/>
      <x:c r="T380" s="42" t="str"/>
    </x:row>
    <x:row r="381">
      <x:c r="A381" s="42" t="str">
        <x:v>Hugo Souza</x:v>
      </x:c>
      <x:c r="B381" s="42" t="n">
        <x:v>2030</x:v>
      </x:c>
      <x:c r="C381" s="42" t="str">
        <x:v>T4</x:v>
      </x:c>
      <x:c r="D381" s="44" t="n">
        <x:v>47848</x:v>
      </x:c>
      <x:c r="E381" s="42" t="str">
        <x:v>Goleiro</x:v>
      </x:c>
      <x:c r="F381" s="42" t="str">
        <x:v>SC Corinthians</x:v>
      </x:c>
      <x:c r="G381" s="46"/>
      <x:c r="H381" s="46"/>
      <x:c r="I381" s="46"/>
      <x:c r="J381" s="46"/>
      <x:c r="K381" s="46" t="str">
        <x:f>IF(COUNT(G381,I381)=0,"",AVERAGE(G381,I381))</x:f>
      </x:c>
      <x:c r="L381" s="46" t="str">
        <x:f>IF(COUNT(H381,J381)=0,"",AVERAGE(H381,J381))</x:f>
      </x:c>
      <x:c r="M381" s="46" t="str">
        <x:f>IF(OR(K381="",L381=""),"",L381-K381)</x:f>
      </x:c>
      <x:c r="N381" s="46" t="str">
        <x:f>IF(OR(K381="",A380&lt;&gt;A381,K380=""),"",K381-K380)</x:f>
      </x:c>
      <x:c r="O381" s="42" t="str">
        <x:v>Sem informação</x:v>
      </x:c>
      <x:c r="P381" s="42"/>
      <x:c r="Q381" s="42" t="str"/>
      <x:c r="R381" s="42" t="str"/>
      <x:c r="S381" s="42" t="str"/>
      <x:c r="T381" s="42" t="str"/>
    </x:row>
    <x:row r="382">
      <x:c r="A382" s="42" t="str">
        <x:v>Igor Jesus</x:v>
      </x:c>
      <x:c r="B382" s="42" t="n">
        <x:v>2026</x:v>
      </x:c>
      <x:c r="C382" s="42" t="str">
        <x:v>T1</x:v>
      </x:c>
      <x:c r="D382" s="44" t="n">
        <x:v>46112</x:v>
      </x:c>
      <x:c r="E382" s="42" t="str">
        <x:v>Centroavante</x:v>
      </x:c>
      <x:c r="F382" s="42" t="str">
        <x:v>Nottingham Forest</x:v>
      </x:c>
      <x:c r="G382" s="46"/>
      <x:c r="H382" s="46"/>
      <x:c r="I382" s="46"/>
      <x:c r="J382" s="46"/>
      <x:c r="K382" s="46" t="str">
        <x:f>IF(COUNT(G382,I382)=0,"",AVERAGE(G382,I382))</x:f>
      </x:c>
      <x:c r="L382" s="46" t="str">
        <x:f>IF(COUNT(H382,J382)=0,"",AVERAGE(H382,J382))</x:f>
      </x:c>
      <x:c r="M382" s="46" t="str">
        <x:f>IF(OR(K382="",L382=""),"",L382-K382)</x:f>
      </x:c>
      <x:c r="N382" s="46" t="str">
        <x:f>IF(OR(K382="",A381&lt;&gt;A382,K381=""),"",K382-K381)</x:f>
      </x:c>
      <x:c r="O382" s="42" t="str">
        <x:v>Sem informação</x:v>
      </x:c>
      <x:c r="P382" s="42"/>
      <x:c r="Q382" s="42" t="str"/>
      <x:c r="R382" s="42" t="str"/>
      <x:c r="S382" s="42" t="str"/>
      <x:c r="T382" s="42" t="str"/>
    </x:row>
    <x:row r="383">
      <x:c r="A383" s="42" t="str">
        <x:v>Igor Jesus</x:v>
      </x:c>
      <x:c r="B383" s="42" t="n">
        <x:v>2026</x:v>
      </x:c>
      <x:c r="C383" s="42" t="str">
        <x:v>T2</x:v>
      </x:c>
      <x:c r="D383" s="44" t="n">
        <x:v>46203</x:v>
      </x:c>
      <x:c r="E383" s="42" t="str">
        <x:v>Centroavante</x:v>
      </x:c>
      <x:c r="F383" s="42" t="str">
        <x:v>Nottingham Forest</x:v>
      </x:c>
      <x:c r="G383" s="46"/>
      <x:c r="H383" s="46"/>
      <x:c r="I383" s="46" t="n">
        <x:v>6.5</x:v>
      </x:c>
      <x:c r="J383" s="46" t="n">
        <x:v>7.5</x:v>
      </x:c>
      <x:c r="K383" s="46" t="n">
        <x:f>IF(COUNT(G383,I383)=0,"",AVERAGE(G383,I383))</x:f>
        <x:v>6.5</x:v>
      </x:c>
      <x:c r="L383" s="46" t="n">
        <x:f>IF(COUNT(H383,J383)=0,"",AVERAGE(H383,J383))</x:f>
        <x:v>7.5</x:v>
      </x:c>
      <x:c r="M383" s="46" t="n">
        <x:f>IF(OR(K383="",L383=""),"",L383-K383)</x:f>
        <x:v>1</x:v>
      </x:c>
      <x:c r="N383" s="46" t="str">
        <x:f>IF(OR(K383="",A382&lt;&gt;A383,K382=""),"",K383-K382)</x:f>
      </x:c>
      <x:c r="O383" s="42" t="str">
        <x:v>Sem informação</x:v>
      </x:c>
      <x:c r="P383" s="42"/>
      <x:c r="Q383" s="42" t="str"/>
      <x:c r="R383" s="42" t="str"/>
      <x:c r="S383" s="42" t="str"/>
      <x:c r="T383" s="42" t="str"/>
    </x:row>
    <x:row r="384">
      <x:c r="A384" s="42" t="str">
        <x:v>Igor Jesus</x:v>
      </x:c>
      <x:c r="B384" s="42" t="n">
        <x:v>2026</x:v>
      </x:c>
      <x:c r="C384" s="42" t="str">
        <x:v>T3</x:v>
      </x:c>
      <x:c r="D384" s="44" t="n">
        <x:v>46295</x:v>
      </x:c>
      <x:c r="E384" s="42" t="str">
        <x:v>Centroavante</x:v>
      </x:c>
      <x:c r="F384" s="42" t="str">
        <x:v>Nottingham Forest</x:v>
      </x:c>
      <x:c r="G384" s="46"/>
      <x:c r="H384" s="46"/>
      <x:c r="I384" s="46"/>
      <x:c r="J384" s="46"/>
      <x:c r="K384" s="46" t="str">
        <x:f>IF(COUNT(G384,I384)=0,"",AVERAGE(G384,I384))</x:f>
      </x:c>
      <x:c r="L384" s="46" t="str">
        <x:f>IF(COUNT(H384,J384)=0,"",AVERAGE(H384,J384))</x:f>
      </x:c>
      <x:c r="M384" s="46" t="str">
        <x:f>IF(OR(K384="",L384=""),"",L384-K384)</x:f>
      </x:c>
      <x:c r="N384" s="46" t="str">
        <x:f>IF(OR(K384="",A383&lt;&gt;A384,K383=""),"",K384-K383)</x:f>
      </x:c>
      <x:c r="O384" s="42" t="str">
        <x:v>Sem informação</x:v>
      </x:c>
      <x:c r="P384" s="42"/>
      <x:c r="Q384" s="42" t="str"/>
      <x:c r="R384" s="42" t="str"/>
      <x:c r="S384" s="42" t="str"/>
      <x:c r="T384" s="42" t="str"/>
    </x:row>
    <x:row r="385">
      <x:c r="A385" s="42" t="str">
        <x:v>Igor Jesus</x:v>
      </x:c>
      <x:c r="B385" s="42" t="n">
        <x:v>2026</x:v>
      </x:c>
      <x:c r="C385" s="42" t="str">
        <x:v>T4</x:v>
      </x:c>
      <x:c r="D385" s="44" t="n">
        <x:v>46387</x:v>
      </x:c>
      <x:c r="E385" s="42" t="str">
        <x:v>Centroavante</x:v>
      </x:c>
      <x:c r="F385" s="42" t="str">
        <x:v>Nottingham Forest</x:v>
      </x:c>
      <x:c r="G385" s="46"/>
      <x:c r="H385" s="46"/>
      <x:c r="I385" s="46"/>
      <x:c r="J385" s="46"/>
      <x:c r="K385" s="46" t="str">
        <x:f>IF(COUNT(G385,I385)=0,"",AVERAGE(G385,I385))</x:f>
      </x:c>
      <x:c r="L385" s="46" t="str">
        <x:f>IF(COUNT(H385,J385)=0,"",AVERAGE(H385,J385))</x:f>
      </x:c>
      <x:c r="M385" s="46" t="str">
        <x:f>IF(OR(K385="",L385=""),"",L385-K385)</x:f>
      </x:c>
      <x:c r="N385" s="46" t="str">
        <x:f>IF(OR(K385="",A384&lt;&gt;A385,K384=""),"",K385-K384)</x:f>
      </x:c>
      <x:c r="O385" s="42" t="str">
        <x:v>Sem informação</x:v>
      </x:c>
      <x:c r="P385" s="42"/>
      <x:c r="Q385" s="42" t="str"/>
      <x:c r="R385" s="42" t="str"/>
      <x:c r="S385" s="42" t="str"/>
      <x:c r="T385" s="42" t="str"/>
    </x:row>
    <x:row r="386">
      <x:c r="A386" s="42" t="str">
        <x:v>Igor Jesus</x:v>
      </x:c>
      <x:c r="B386" s="42" t="n">
        <x:v>2027</x:v>
      </x:c>
      <x:c r="C386" s="42" t="str">
        <x:v>T1</x:v>
      </x:c>
      <x:c r="D386" s="44" t="n">
        <x:v>46477</x:v>
      </x:c>
      <x:c r="E386" s="42" t="str">
        <x:v>Centroavante</x:v>
      </x:c>
      <x:c r="F386" s="42" t="str">
        <x:v>Nottingham Forest</x:v>
      </x:c>
      <x:c r="G386" s="46"/>
      <x:c r="H386" s="46"/>
      <x:c r="I386" s="46"/>
      <x:c r="J386" s="46"/>
      <x:c r="K386" s="46" t="str">
        <x:f>IF(COUNT(G386,I386)=0,"",AVERAGE(G386,I386))</x:f>
      </x:c>
      <x:c r="L386" s="46" t="str">
        <x:f>IF(COUNT(H386,J386)=0,"",AVERAGE(H386,J386))</x:f>
      </x:c>
      <x:c r="M386" s="46" t="str">
        <x:f>IF(OR(K386="",L386=""),"",L386-K386)</x:f>
      </x:c>
      <x:c r="N386" s="46" t="str">
        <x:f>IF(OR(K386="",A385&lt;&gt;A386,K385=""),"",K386-K385)</x:f>
      </x:c>
      <x:c r="O386" s="42" t="str">
        <x:v>Sem informação</x:v>
      </x:c>
      <x:c r="P386" s="42"/>
      <x:c r="Q386" s="42" t="str"/>
      <x:c r="R386" s="42" t="str"/>
      <x:c r="S386" s="42" t="str"/>
      <x:c r="T386" s="42" t="str"/>
    </x:row>
    <x:row r="387">
      <x:c r="A387" s="42" t="str">
        <x:v>Igor Jesus</x:v>
      </x:c>
      <x:c r="B387" s="42" t="n">
        <x:v>2027</x:v>
      </x:c>
      <x:c r="C387" s="42" t="str">
        <x:v>T2</x:v>
      </x:c>
      <x:c r="D387" s="44" t="n">
        <x:v>46568</x:v>
      </x:c>
      <x:c r="E387" s="42" t="str">
        <x:v>Centroavante</x:v>
      </x:c>
      <x:c r="F387" s="42" t="str">
        <x:v>Nottingham Forest</x:v>
      </x:c>
      <x:c r="G387" s="46"/>
      <x:c r="H387" s="46"/>
      <x:c r="I387" s="46"/>
      <x:c r="J387" s="46"/>
      <x:c r="K387" s="46" t="str">
        <x:f>IF(COUNT(G387,I387)=0,"",AVERAGE(G387,I387))</x:f>
      </x:c>
      <x:c r="L387" s="46" t="str">
        <x:f>IF(COUNT(H387,J387)=0,"",AVERAGE(H387,J387))</x:f>
      </x:c>
      <x:c r="M387" s="46" t="str">
        <x:f>IF(OR(K387="",L387=""),"",L387-K387)</x:f>
      </x:c>
      <x:c r="N387" s="46" t="str">
        <x:f>IF(OR(K387="",A386&lt;&gt;A387,K386=""),"",K387-K386)</x:f>
      </x:c>
      <x:c r="O387" s="42" t="str">
        <x:v>Sem informação</x:v>
      </x:c>
      <x:c r="P387" s="42"/>
      <x:c r="Q387" s="42" t="str"/>
      <x:c r="R387" s="42" t="str"/>
      <x:c r="S387" s="42" t="str"/>
      <x:c r="T387" s="42" t="str"/>
    </x:row>
    <x:row r="388">
      <x:c r="A388" s="42" t="str">
        <x:v>Igor Jesus</x:v>
      </x:c>
      <x:c r="B388" s="42" t="n">
        <x:v>2027</x:v>
      </x:c>
      <x:c r="C388" s="42" t="str">
        <x:v>T3</x:v>
      </x:c>
      <x:c r="D388" s="44" t="n">
        <x:v>46660</x:v>
      </x:c>
      <x:c r="E388" s="42" t="str">
        <x:v>Centroavante</x:v>
      </x:c>
      <x:c r="F388" s="42" t="str">
        <x:v>Nottingham Forest</x:v>
      </x:c>
      <x:c r="G388" s="46"/>
      <x:c r="H388" s="46"/>
      <x:c r="I388" s="46"/>
      <x:c r="J388" s="46"/>
      <x:c r="K388" s="46" t="str">
        <x:f>IF(COUNT(G388,I388)=0,"",AVERAGE(G388,I388))</x:f>
      </x:c>
      <x:c r="L388" s="46" t="str">
        <x:f>IF(COUNT(H388,J388)=0,"",AVERAGE(H388,J388))</x:f>
      </x:c>
      <x:c r="M388" s="46" t="str">
        <x:f>IF(OR(K388="",L388=""),"",L388-K388)</x:f>
      </x:c>
      <x:c r="N388" s="46" t="str">
        <x:f>IF(OR(K388="",A387&lt;&gt;A388,K387=""),"",K388-K387)</x:f>
      </x:c>
      <x:c r="O388" s="42" t="str">
        <x:v>Sem informação</x:v>
      </x:c>
      <x:c r="P388" s="42"/>
      <x:c r="Q388" s="42" t="str"/>
      <x:c r="R388" s="42" t="str"/>
      <x:c r="S388" s="42" t="str"/>
      <x:c r="T388" s="42" t="str"/>
    </x:row>
    <x:row r="389">
      <x:c r="A389" s="42" t="str">
        <x:v>Igor Jesus</x:v>
      </x:c>
      <x:c r="B389" s="42" t="n">
        <x:v>2027</x:v>
      </x:c>
      <x:c r="C389" s="42" t="str">
        <x:v>T4</x:v>
      </x:c>
      <x:c r="D389" s="44" t="n">
        <x:v>46752</x:v>
      </x:c>
      <x:c r="E389" s="42" t="str">
        <x:v>Centroavante</x:v>
      </x:c>
      <x:c r="F389" s="42" t="str">
        <x:v>Nottingham Forest</x:v>
      </x:c>
      <x:c r="G389" s="46"/>
      <x:c r="H389" s="46"/>
      <x:c r="I389" s="46"/>
      <x:c r="J389" s="46"/>
      <x:c r="K389" s="46" t="str">
        <x:f>IF(COUNT(G389,I389)=0,"",AVERAGE(G389,I389))</x:f>
      </x:c>
      <x:c r="L389" s="46" t="str">
        <x:f>IF(COUNT(H389,J389)=0,"",AVERAGE(H389,J389))</x:f>
      </x:c>
      <x:c r="M389" s="46" t="str">
        <x:f>IF(OR(K389="",L389=""),"",L389-K389)</x:f>
      </x:c>
      <x:c r="N389" s="46" t="str">
        <x:f>IF(OR(K389="",A388&lt;&gt;A389,K388=""),"",K389-K388)</x:f>
      </x:c>
      <x:c r="O389" s="42" t="str">
        <x:v>Sem informação</x:v>
      </x:c>
      <x:c r="P389" s="42"/>
      <x:c r="Q389" s="42" t="str"/>
      <x:c r="R389" s="42" t="str"/>
      <x:c r="S389" s="42" t="str"/>
      <x:c r="T389" s="42" t="str"/>
    </x:row>
    <x:row r="390">
      <x:c r="A390" s="42" t="str">
        <x:v>Igor Jesus</x:v>
      </x:c>
      <x:c r="B390" s="42" t="n">
        <x:v>2028</x:v>
      </x:c>
      <x:c r="C390" s="42" t="str">
        <x:v>T1</x:v>
      </x:c>
      <x:c r="D390" s="44" t="n">
        <x:v>46843</x:v>
      </x:c>
      <x:c r="E390" s="42" t="str">
        <x:v>Centroavante</x:v>
      </x:c>
      <x:c r="F390" s="42" t="str">
        <x:v>Nottingham Forest</x:v>
      </x:c>
      <x:c r="G390" s="46"/>
      <x:c r="H390" s="46"/>
      <x:c r="I390" s="46"/>
      <x:c r="J390" s="46"/>
      <x:c r="K390" s="46" t="str">
        <x:f>IF(COUNT(G390,I390)=0,"",AVERAGE(G390,I390))</x:f>
      </x:c>
      <x:c r="L390" s="46" t="str">
        <x:f>IF(COUNT(H390,J390)=0,"",AVERAGE(H390,J390))</x:f>
      </x:c>
      <x:c r="M390" s="46" t="str">
        <x:f>IF(OR(K390="",L390=""),"",L390-K390)</x:f>
      </x:c>
      <x:c r="N390" s="46" t="str">
        <x:f>IF(OR(K390="",A389&lt;&gt;A390,K389=""),"",K390-K389)</x:f>
      </x:c>
      <x:c r="O390" s="42" t="str">
        <x:v>Sem informação</x:v>
      </x:c>
      <x:c r="P390" s="42"/>
      <x:c r="Q390" s="42" t="str"/>
      <x:c r="R390" s="42" t="str"/>
      <x:c r="S390" s="42" t="str"/>
      <x:c r="T390" s="42" t="str"/>
    </x:row>
    <x:row r="391">
      <x:c r="A391" s="42" t="str">
        <x:v>Igor Jesus</x:v>
      </x:c>
      <x:c r="B391" s="42" t="n">
        <x:v>2028</x:v>
      </x:c>
      <x:c r="C391" s="42" t="str">
        <x:v>T2</x:v>
      </x:c>
      <x:c r="D391" s="44" t="n">
        <x:v>46934</x:v>
      </x:c>
      <x:c r="E391" s="42" t="str">
        <x:v>Centroavante</x:v>
      </x:c>
      <x:c r="F391" s="42" t="str">
        <x:v>Nottingham Forest</x:v>
      </x:c>
      <x:c r="G391" s="46"/>
      <x:c r="H391" s="46"/>
      <x:c r="I391" s="46"/>
      <x:c r="J391" s="46"/>
      <x:c r="K391" s="46" t="str">
        <x:f>IF(COUNT(G391,I391)=0,"",AVERAGE(G391,I391))</x:f>
      </x:c>
      <x:c r="L391" s="46" t="str">
        <x:f>IF(COUNT(H391,J391)=0,"",AVERAGE(H391,J391))</x:f>
      </x:c>
      <x:c r="M391" s="46" t="str">
        <x:f>IF(OR(K391="",L391=""),"",L391-K391)</x:f>
      </x:c>
      <x:c r="N391" s="46" t="str">
        <x:f>IF(OR(K391="",A390&lt;&gt;A391,K390=""),"",K391-K390)</x:f>
      </x:c>
      <x:c r="O391" s="42" t="str">
        <x:v>Sem informação</x:v>
      </x:c>
      <x:c r="P391" s="42"/>
      <x:c r="Q391" s="42" t="str"/>
      <x:c r="R391" s="42" t="str"/>
      <x:c r="S391" s="42" t="str"/>
      <x:c r="T391" s="42" t="str"/>
    </x:row>
    <x:row r="392">
      <x:c r="A392" s="42" t="str">
        <x:v>Igor Jesus</x:v>
      </x:c>
      <x:c r="B392" s="42" t="n">
        <x:v>2028</x:v>
      </x:c>
      <x:c r="C392" s="42" t="str">
        <x:v>T3</x:v>
      </x:c>
      <x:c r="D392" s="44" t="n">
        <x:v>47026</x:v>
      </x:c>
      <x:c r="E392" s="42" t="str">
        <x:v>Centroavante</x:v>
      </x:c>
      <x:c r="F392" s="42" t="str">
        <x:v>Nottingham Forest</x:v>
      </x:c>
      <x:c r="G392" s="46"/>
      <x:c r="H392" s="46"/>
      <x:c r="I392" s="46"/>
      <x:c r="J392" s="46"/>
      <x:c r="K392" s="46" t="str">
        <x:f>IF(COUNT(G392,I392)=0,"",AVERAGE(G392,I392))</x:f>
      </x:c>
      <x:c r="L392" s="46" t="str">
        <x:f>IF(COUNT(H392,J392)=0,"",AVERAGE(H392,J392))</x:f>
      </x:c>
      <x:c r="M392" s="46" t="str">
        <x:f>IF(OR(K392="",L392=""),"",L392-K392)</x:f>
      </x:c>
      <x:c r="N392" s="46" t="str">
        <x:f>IF(OR(K392="",A391&lt;&gt;A392,K391=""),"",K392-K391)</x:f>
      </x:c>
      <x:c r="O392" s="42" t="str">
        <x:v>Sem informação</x:v>
      </x:c>
      <x:c r="P392" s="42"/>
      <x:c r="Q392" s="42" t="str"/>
      <x:c r="R392" s="42" t="str"/>
      <x:c r="S392" s="42" t="str"/>
      <x:c r="T392" s="42" t="str"/>
    </x:row>
    <x:row r="393">
      <x:c r="A393" s="42" t="str">
        <x:v>Igor Jesus</x:v>
      </x:c>
      <x:c r="B393" s="42" t="n">
        <x:v>2028</x:v>
      </x:c>
      <x:c r="C393" s="42" t="str">
        <x:v>T4</x:v>
      </x:c>
      <x:c r="D393" s="44" t="n">
        <x:v>47118</x:v>
      </x:c>
      <x:c r="E393" s="42" t="str">
        <x:v>Centroavante</x:v>
      </x:c>
      <x:c r="F393" s="42" t="str">
        <x:v>Nottingham Forest</x:v>
      </x:c>
      <x:c r="G393" s="46"/>
      <x:c r="H393" s="46"/>
      <x:c r="I393" s="46"/>
      <x:c r="J393" s="46"/>
      <x:c r="K393" s="46" t="str">
        <x:f>IF(COUNT(G393,I393)=0,"",AVERAGE(G393,I393))</x:f>
      </x:c>
      <x:c r="L393" s="46" t="str">
        <x:f>IF(COUNT(H393,J393)=0,"",AVERAGE(H393,J393))</x:f>
      </x:c>
      <x:c r="M393" s="46" t="str">
        <x:f>IF(OR(K393="",L393=""),"",L393-K393)</x:f>
      </x:c>
      <x:c r="N393" s="46" t="str">
        <x:f>IF(OR(K393="",A392&lt;&gt;A393,K392=""),"",K393-K392)</x:f>
      </x:c>
      <x:c r="O393" s="42" t="str">
        <x:v>Sem informação</x:v>
      </x:c>
      <x:c r="P393" s="42"/>
      <x:c r="Q393" s="42" t="str"/>
      <x:c r="R393" s="42" t="str"/>
      <x:c r="S393" s="42" t="str"/>
      <x:c r="T393" s="42" t="str"/>
    </x:row>
    <x:row r="394">
      <x:c r="A394" s="42" t="str">
        <x:v>Igor Jesus</x:v>
      </x:c>
      <x:c r="B394" s="42" t="n">
        <x:v>2029</x:v>
      </x:c>
      <x:c r="C394" s="42" t="str">
        <x:v>T1</x:v>
      </x:c>
      <x:c r="D394" s="44" t="n">
        <x:v>47208</x:v>
      </x:c>
      <x:c r="E394" s="42" t="str">
        <x:v>Centroavante</x:v>
      </x:c>
      <x:c r="F394" s="42" t="str">
        <x:v>Nottingham Forest</x:v>
      </x:c>
      <x:c r="G394" s="46"/>
      <x:c r="H394" s="46"/>
      <x:c r="I394" s="46"/>
      <x:c r="J394" s="46"/>
      <x:c r="K394" s="46" t="str">
        <x:f>IF(COUNT(G394,I394)=0,"",AVERAGE(G394,I394))</x:f>
      </x:c>
      <x:c r="L394" s="46" t="str">
        <x:f>IF(COUNT(H394,J394)=0,"",AVERAGE(H394,J394))</x:f>
      </x:c>
      <x:c r="M394" s="46" t="str">
        <x:f>IF(OR(K394="",L394=""),"",L394-K394)</x:f>
      </x:c>
      <x:c r="N394" s="46" t="str">
        <x:f>IF(OR(K394="",A393&lt;&gt;A394,K393=""),"",K394-K393)</x:f>
      </x:c>
      <x:c r="O394" s="42" t="str">
        <x:v>Sem informação</x:v>
      </x:c>
      <x:c r="P394" s="42"/>
      <x:c r="Q394" s="42" t="str"/>
      <x:c r="R394" s="42" t="str"/>
      <x:c r="S394" s="42" t="str"/>
      <x:c r="T394" s="42" t="str"/>
    </x:row>
    <x:row r="395">
      <x:c r="A395" s="42" t="str">
        <x:v>Igor Jesus</x:v>
      </x:c>
      <x:c r="B395" s="42" t="n">
        <x:v>2029</x:v>
      </x:c>
      <x:c r="C395" s="42" t="str">
        <x:v>T2</x:v>
      </x:c>
      <x:c r="D395" s="44" t="n">
        <x:v>47299</x:v>
      </x:c>
      <x:c r="E395" s="42" t="str">
        <x:v>Centroavante</x:v>
      </x:c>
      <x:c r="F395" s="42" t="str">
        <x:v>Nottingham Forest</x:v>
      </x:c>
      <x:c r="G395" s="46"/>
      <x:c r="H395" s="46"/>
      <x:c r="I395" s="46"/>
      <x:c r="J395" s="46"/>
      <x:c r="K395" s="46" t="str">
        <x:f>IF(COUNT(G395,I395)=0,"",AVERAGE(G395,I395))</x:f>
      </x:c>
      <x:c r="L395" s="46" t="str">
        <x:f>IF(COUNT(H395,J395)=0,"",AVERAGE(H395,J395))</x:f>
      </x:c>
      <x:c r="M395" s="46" t="str">
        <x:f>IF(OR(K395="",L395=""),"",L395-K395)</x:f>
      </x:c>
      <x:c r="N395" s="46" t="str">
        <x:f>IF(OR(K395="",A394&lt;&gt;A395,K394=""),"",K395-K394)</x:f>
      </x:c>
      <x:c r="O395" s="42" t="str">
        <x:v>Sem informação</x:v>
      </x:c>
      <x:c r="P395" s="42"/>
      <x:c r="Q395" s="42" t="str"/>
      <x:c r="R395" s="42" t="str"/>
      <x:c r="S395" s="42" t="str"/>
      <x:c r="T395" s="42" t="str"/>
    </x:row>
    <x:row r="396">
      <x:c r="A396" s="42" t="str">
        <x:v>Igor Jesus</x:v>
      </x:c>
      <x:c r="B396" s="42" t="n">
        <x:v>2029</x:v>
      </x:c>
      <x:c r="C396" s="42" t="str">
        <x:v>T3</x:v>
      </x:c>
      <x:c r="D396" s="44" t="n">
        <x:v>47391</x:v>
      </x:c>
      <x:c r="E396" s="42" t="str">
        <x:v>Centroavante</x:v>
      </x:c>
      <x:c r="F396" s="42" t="str">
        <x:v>Nottingham Forest</x:v>
      </x:c>
      <x:c r="G396" s="46"/>
      <x:c r="H396" s="46"/>
      <x:c r="I396" s="46"/>
      <x:c r="J396" s="46"/>
      <x:c r="K396" s="46" t="str">
        <x:f>IF(COUNT(G396,I396)=0,"",AVERAGE(G396,I396))</x:f>
      </x:c>
      <x:c r="L396" s="46" t="str">
        <x:f>IF(COUNT(H396,J396)=0,"",AVERAGE(H396,J396))</x:f>
      </x:c>
      <x:c r="M396" s="46" t="str">
        <x:f>IF(OR(K396="",L396=""),"",L396-K396)</x:f>
      </x:c>
      <x:c r="N396" s="46" t="str">
        <x:f>IF(OR(K396="",A395&lt;&gt;A396,K395=""),"",K396-K395)</x:f>
      </x:c>
      <x:c r="O396" s="42" t="str">
        <x:v>Sem informação</x:v>
      </x:c>
      <x:c r="P396" s="42"/>
      <x:c r="Q396" s="42" t="str"/>
      <x:c r="R396" s="42" t="str"/>
      <x:c r="S396" s="42" t="str"/>
      <x:c r="T396" s="42" t="str"/>
    </x:row>
    <x:row r="397">
      <x:c r="A397" s="42" t="str">
        <x:v>Igor Jesus</x:v>
      </x:c>
      <x:c r="B397" s="42" t="n">
        <x:v>2029</x:v>
      </x:c>
      <x:c r="C397" s="42" t="str">
        <x:v>T4</x:v>
      </x:c>
      <x:c r="D397" s="44" t="n">
        <x:v>47483</x:v>
      </x:c>
      <x:c r="E397" s="42" t="str">
        <x:v>Centroavante</x:v>
      </x:c>
      <x:c r="F397" s="42" t="str">
        <x:v>Nottingham Forest</x:v>
      </x:c>
      <x:c r="G397" s="46"/>
      <x:c r="H397" s="46"/>
      <x:c r="I397" s="46"/>
      <x:c r="J397" s="46"/>
      <x:c r="K397" s="46" t="str">
        <x:f>IF(COUNT(G397,I397)=0,"",AVERAGE(G397,I397))</x:f>
      </x:c>
      <x:c r="L397" s="46" t="str">
        <x:f>IF(COUNT(H397,J397)=0,"",AVERAGE(H397,J397))</x:f>
      </x:c>
      <x:c r="M397" s="46" t="str">
        <x:f>IF(OR(K397="",L397=""),"",L397-K397)</x:f>
      </x:c>
      <x:c r="N397" s="46" t="str">
        <x:f>IF(OR(K397="",A396&lt;&gt;A397,K396=""),"",K397-K396)</x:f>
      </x:c>
      <x:c r="O397" s="42" t="str">
        <x:v>Sem informação</x:v>
      </x:c>
      <x:c r="P397" s="42"/>
      <x:c r="Q397" s="42" t="str"/>
      <x:c r="R397" s="42" t="str"/>
      <x:c r="S397" s="42" t="str"/>
      <x:c r="T397" s="42" t="str"/>
    </x:row>
    <x:row r="398">
      <x:c r="A398" s="42" t="str">
        <x:v>Igor Jesus</x:v>
      </x:c>
      <x:c r="B398" s="42" t="n">
        <x:v>2030</x:v>
      </x:c>
      <x:c r="C398" s="42" t="str">
        <x:v>T1</x:v>
      </x:c>
      <x:c r="D398" s="44" t="n">
        <x:v>47573</x:v>
      </x:c>
      <x:c r="E398" s="42" t="str">
        <x:v>Centroavante</x:v>
      </x:c>
      <x:c r="F398" s="42" t="str">
        <x:v>Nottingham Forest</x:v>
      </x:c>
      <x:c r="G398" s="46"/>
      <x:c r="H398" s="46"/>
      <x:c r="I398" s="46"/>
      <x:c r="J398" s="46"/>
      <x:c r="K398" s="46" t="str">
        <x:f>IF(COUNT(G398,I398)=0,"",AVERAGE(G398,I398))</x:f>
      </x:c>
      <x:c r="L398" s="46" t="str">
        <x:f>IF(COUNT(H398,J398)=0,"",AVERAGE(H398,J398))</x:f>
      </x:c>
      <x:c r="M398" s="46" t="str">
        <x:f>IF(OR(K398="",L398=""),"",L398-K398)</x:f>
      </x:c>
      <x:c r="N398" s="46" t="str">
        <x:f>IF(OR(K398="",A397&lt;&gt;A398,K397=""),"",K398-K397)</x:f>
      </x:c>
      <x:c r="O398" s="42" t="str">
        <x:v>Sem informação</x:v>
      </x:c>
      <x:c r="P398" s="42"/>
      <x:c r="Q398" s="42" t="str"/>
      <x:c r="R398" s="42" t="str"/>
      <x:c r="S398" s="42" t="str"/>
      <x:c r="T398" s="42" t="str"/>
    </x:row>
    <x:row r="399">
      <x:c r="A399" s="42" t="str">
        <x:v>Igor Jesus</x:v>
      </x:c>
      <x:c r="B399" s="42" t="n">
        <x:v>2030</x:v>
      </x:c>
      <x:c r="C399" s="42" t="str">
        <x:v>T2</x:v>
      </x:c>
      <x:c r="D399" s="44" t="n">
        <x:v>47664</x:v>
      </x:c>
      <x:c r="E399" s="42" t="str">
        <x:v>Centroavante</x:v>
      </x:c>
      <x:c r="F399" s="42" t="str">
        <x:v>Nottingham Forest</x:v>
      </x:c>
      <x:c r="G399" s="46"/>
      <x:c r="H399" s="46"/>
      <x:c r="I399" s="46"/>
      <x:c r="J399" s="46"/>
      <x:c r="K399" s="46" t="str">
        <x:f>IF(COUNT(G399,I399)=0,"",AVERAGE(G399,I399))</x:f>
      </x:c>
      <x:c r="L399" s="46" t="str">
        <x:f>IF(COUNT(H399,J399)=0,"",AVERAGE(H399,J399))</x:f>
      </x:c>
      <x:c r="M399" s="46" t="str">
        <x:f>IF(OR(K399="",L399=""),"",L399-K399)</x:f>
      </x:c>
      <x:c r="N399" s="46" t="str">
        <x:f>IF(OR(K399="",A398&lt;&gt;A399,K398=""),"",K399-K398)</x:f>
      </x:c>
      <x:c r="O399" s="42" t="str">
        <x:v>Sem informação</x:v>
      </x:c>
      <x:c r="P399" s="42"/>
      <x:c r="Q399" s="42" t="str"/>
      <x:c r="R399" s="42" t="str"/>
      <x:c r="S399" s="42" t="str"/>
      <x:c r="T399" s="42" t="str"/>
    </x:row>
    <x:row r="400">
      <x:c r="A400" s="42" t="str">
        <x:v>Igor Jesus</x:v>
      </x:c>
      <x:c r="B400" s="42" t="n">
        <x:v>2030</x:v>
      </x:c>
      <x:c r="C400" s="42" t="str">
        <x:v>T3</x:v>
      </x:c>
      <x:c r="D400" s="44" t="n">
        <x:v>47756</x:v>
      </x:c>
      <x:c r="E400" s="42" t="str">
        <x:v>Centroavante</x:v>
      </x:c>
      <x:c r="F400" s="42" t="str">
        <x:v>Nottingham Forest</x:v>
      </x:c>
      <x:c r="G400" s="46"/>
      <x:c r="H400" s="46"/>
      <x:c r="I400" s="46"/>
      <x:c r="J400" s="46"/>
      <x:c r="K400" s="46" t="str">
        <x:f>IF(COUNT(G400,I400)=0,"",AVERAGE(G400,I400))</x:f>
      </x:c>
      <x:c r="L400" s="46" t="str">
        <x:f>IF(COUNT(H400,J400)=0,"",AVERAGE(H400,J400))</x:f>
      </x:c>
      <x:c r="M400" s="46" t="str">
        <x:f>IF(OR(K400="",L400=""),"",L400-K400)</x:f>
      </x:c>
      <x:c r="N400" s="46" t="str">
        <x:f>IF(OR(K400="",A399&lt;&gt;A400,K399=""),"",K400-K399)</x:f>
      </x:c>
      <x:c r="O400" s="42" t="str">
        <x:v>Sem informação</x:v>
      </x:c>
      <x:c r="P400" s="42"/>
      <x:c r="Q400" s="42" t="str"/>
      <x:c r="R400" s="42" t="str"/>
      <x:c r="S400" s="42" t="str"/>
      <x:c r="T400" s="42" t="str"/>
    </x:row>
    <x:row r="401">
      <x:c r="A401" s="42" t="str">
        <x:v>Igor Jesus</x:v>
      </x:c>
      <x:c r="B401" s="42" t="n">
        <x:v>2030</x:v>
      </x:c>
      <x:c r="C401" s="42" t="str">
        <x:v>T4</x:v>
      </x:c>
      <x:c r="D401" s="44" t="n">
        <x:v>47848</x:v>
      </x:c>
      <x:c r="E401" s="42" t="str">
        <x:v>Centroavante</x:v>
      </x:c>
      <x:c r="F401" s="42" t="str">
        <x:v>Nottingham Forest</x:v>
      </x:c>
      <x:c r="G401" s="46"/>
      <x:c r="H401" s="46"/>
      <x:c r="I401" s="46"/>
      <x:c r="J401" s="46"/>
      <x:c r="K401" s="46" t="str">
        <x:f>IF(COUNT(G401,I401)=0,"",AVERAGE(G401,I401))</x:f>
      </x:c>
      <x:c r="L401" s="46" t="str">
        <x:f>IF(COUNT(H401,J401)=0,"",AVERAGE(H401,J401))</x:f>
      </x:c>
      <x:c r="M401" s="46" t="str">
        <x:f>IF(OR(K401="",L401=""),"",L401-K401)</x:f>
      </x:c>
      <x:c r="N401" s="46" t="str">
        <x:f>IF(OR(K401="",A400&lt;&gt;A401,K400=""),"",K401-K400)</x:f>
      </x:c>
      <x:c r="O401" s="42" t="str">
        <x:v>Sem informação</x:v>
      </x:c>
      <x:c r="P401" s="42"/>
      <x:c r="Q401" s="42" t="str"/>
      <x:c r="R401" s="42" t="str"/>
      <x:c r="S401" s="42" t="str"/>
      <x:c r="T401" s="42" t="str"/>
    </x:row>
    <x:row r="402">
      <x:c r="A402" s="42" t="str">
        <x:v>Jhuan</x:v>
      </x:c>
      <x:c r="B402" s="42" t="n">
        <x:v>2026</x:v>
      </x:c>
      <x:c r="C402" s="42" t="str">
        <x:v>T1</x:v>
      </x:c>
      <x:c r="D402" s="44" t="n">
        <x:v>46112</x:v>
      </x:c>
      <x:c r="E402" s="42" t="str">
        <x:v>Ponta-direita</x:v>
      </x:c>
      <x:c r="F402" s="42" t="str">
        <x:v>RB Bragantino Sub-20</x:v>
      </x:c>
      <x:c r="G402" s="46"/>
      <x:c r="H402" s="46"/>
      <x:c r="I402" s="46"/>
      <x:c r="J402" s="46"/>
      <x:c r="K402" s="46" t="str">
        <x:f>IF(COUNT(G402,I402)=0,"",AVERAGE(G402,I402))</x:f>
      </x:c>
      <x:c r="L402" s="46" t="str">
        <x:f>IF(COUNT(H402,J402)=0,"",AVERAGE(H402,J402))</x:f>
      </x:c>
      <x:c r="M402" s="46" t="str">
        <x:f>IF(OR(K402="",L402=""),"",L402-K402)</x:f>
      </x:c>
      <x:c r="N402" s="46" t="str">
        <x:f>IF(OR(K402="",A401&lt;&gt;A402,K401=""),"",K402-K401)</x:f>
      </x:c>
      <x:c r="O402" s="42" t="str">
        <x:v>Sem informação</x:v>
      </x:c>
      <x:c r="P402" s="42"/>
      <x:c r="Q402" s="42" t="str"/>
      <x:c r="R402" s="42" t="str"/>
      <x:c r="S402" s="42" t="str"/>
      <x:c r="T402" s="42" t="str"/>
    </x:row>
    <x:row r="403">
      <x:c r="A403" s="42" t="str">
        <x:v>Jhuan</x:v>
      </x:c>
      <x:c r="B403" s="42" t="n">
        <x:v>2026</x:v>
      </x:c>
      <x:c r="C403" s="42" t="str">
        <x:v>T2</x:v>
      </x:c>
      <x:c r="D403" s="44" t="n">
        <x:v>46203</x:v>
      </x:c>
      <x:c r="E403" s="42" t="str">
        <x:v>Ponta-direita</x:v>
      </x:c>
      <x:c r="F403" s="42" t="str">
        <x:v>RB Bragantino Sub-20</x:v>
      </x:c>
      <x:c r="G403" s="46"/>
      <x:c r="H403" s="46"/>
      <x:c r="I403" s="46"/>
      <x:c r="J403" s="46"/>
      <x:c r="K403" s="46" t="str">
        <x:f>IF(COUNT(G403,I403)=0,"",AVERAGE(G403,I403))</x:f>
      </x:c>
      <x:c r="L403" s="46" t="str">
        <x:f>IF(COUNT(H403,J403)=0,"",AVERAGE(H403,J403))</x:f>
      </x:c>
      <x:c r="M403" s="46" t="str">
        <x:f>IF(OR(K403="",L403=""),"",L403-K403)</x:f>
      </x:c>
      <x:c r="N403" s="46" t="str">
        <x:f>IF(OR(K403="",A402&lt;&gt;A403,K402=""),"",K403-K402)</x:f>
      </x:c>
      <x:c r="O403" s="42" t="str">
        <x:v>Sem informação</x:v>
      </x:c>
      <x:c r="P403" s="42"/>
      <x:c r="Q403" s="42" t="str"/>
      <x:c r="R403" s="42" t="str"/>
      <x:c r="S403" s="42" t="str"/>
      <x:c r="T403" s="42" t="str"/>
    </x:row>
    <x:row r="404">
      <x:c r="A404" s="42" t="str">
        <x:v>Jhuan</x:v>
      </x:c>
      <x:c r="B404" s="42" t="n">
        <x:v>2026</x:v>
      </x:c>
      <x:c r="C404" s="42" t="str">
        <x:v>T3</x:v>
      </x:c>
      <x:c r="D404" s="44" t="n">
        <x:v>46295</x:v>
      </x:c>
      <x:c r="E404" s="42" t="str">
        <x:v>Ponta-direita</x:v>
      </x:c>
      <x:c r="F404" s="42" t="str">
        <x:v>RB Bragantino Sub-20</x:v>
      </x:c>
      <x:c r="G404" s="46"/>
      <x:c r="H404" s="46"/>
      <x:c r="I404" s="46"/>
      <x:c r="J404" s="46"/>
      <x:c r="K404" s="46" t="str">
        <x:f>IF(COUNT(G404,I404)=0,"",AVERAGE(G404,I404))</x:f>
      </x:c>
      <x:c r="L404" s="46" t="str">
        <x:f>IF(COUNT(H404,J404)=0,"",AVERAGE(H404,J404))</x:f>
      </x:c>
      <x:c r="M404" s="46" t="str">
        <x:f>IF(OR(K404="",L404=""),"",L404-K404)</x:f>
      </x:c>
      <x:c r="N404" s="46" t="str">
        <x:f>IF(OR(K404="",A403&lt;&gt;A404,K403=""),"",K404-K403)</x:f>
      </x:c>
      <x:c r="O404" s="42" t="str">
        <x:v>Sem informação</x:v>
      </x:c>
      <x:c r="P404" s="42"/>
      <x:c r="Q404" s="42" t="str"/>
      <x:c r="R404" s="42" t="str"/>
      <x:c r="S404" s="42" t="str"/>
      <x:c r="T404" s="42" t="str"/>
    </x:row>
    <x:row r="405">
      <x:c r="A405" s="42" t="str">
        <x:v>Jhuan</x:v>
      </x:c>
      <x:c r="B405" s="42" t="n">
        <x:v>2026</x:v>
      </x:c>
      <x:c r="C405" s="42" t="str">
        <x:v>T4</x:v>
      </x:c>
      <x:c r="D405" s="44" t="n">
        <x:v>46387</x:v>
      </x:c>
      <x:c r="E405" s="42" t="str">
        <x:v>Ponta-direita</x:v>
      </x:c>
      <x:c r="F405" s="42" t="str">
        <x:v>RB Bragantino Sub-20</x:v>
      </x:c>
      <x:c r="G405" s="46"/>
      <x:c r="H405" s="46"/>
      <x:c r="I405" s="46"/>
      <x:c r="J405" s="46"/>
      <x:c r="K405" s="46" t="str">
        <x:f>IF(COUNT(G405,I405)=0,"",AVERAGE(G405,I405))</x:f>
      </x:c>
      <x:c r="L405" s="46" t="str">
        <x:f>IF(COUNT(H405,J405)=0,"",AVERAGE(H405,J405))</x:f>
      </x:c>
      <x:c r="M405" s="46" t="str">
        <x:f>IF(OR(K405="",L405=""),"",L405-K405)</x:f>
      </x:c>
      <x:c r="N405" s="46" t="str">
        <x:f>IF(OR(K405="",A404&lt;&gt;A405,K404=""),"",K405-K404)</x:f>
      </x:c>
      <x:c r="O405" s="42" t="str">
        <x:v>Sem informação</x:v>
      </x:c>
      <x:c r="P405" s="42"/>
      <x:c r="Q405" s="42" t="str"/>
      <x:c r="R405" s="42" t="str"/>
      <x:c r="S405" s="42" t="str"/>
      <x:c r="T405" s="42" t="str"/>
    </x:row>
    <x:row r="406">
      <x:c r="A406" s="42" t="str">
        <x:v>Jhuan</x:v>
      </x:c>
      <x:c r="B406" s="42" t="n">
        <x:v>2027</x:v>
      </x:c>
      <x:c r="C406" s="42" t="str">
        <x:v>T1</x:v>
      </x:c>
      <x:c r="D406" s="44" t="n">
        <x:v>46477</x:v>
      </x:c>
      <x:c r="E406" s="42" t="str">
        <x:v>Ponta-direita</x:v>
      </x:c>
      <x:c r="F406" s="42" t="str">
        <x:v>RB Bragantino Sub-20</x:v>
      </x:c>
      <x:c r="G406" s="46"/>
      <x:c r="H406" s="46"/>
      <x:c r="I406" s="46"/>
      <x:c r="J406" s="46"/>
      <x:c r="K406" s="46" t="str">
        <x:f>IF(COUNT(G406,I406)=0,"",AVERAGE(G406,I406))</x:f>
      </x:c>
      <x:c r="L406" s="46" t="str">
        <x:f>IF(COUNT(H406,J406)=0,"",AVERAGE(H406,J406))</x:f>
      </x:c>
      <x:c r="M406" s="46" t="str">
        <x:f>IF(OR(K406="",L406=""),"",L406-K406)</x:f>
      </x:c>
      <x:c r="N406" s="46" t="str">
        <x:f>IF(OR(K406="",A405&lt;&gt;A406,K405=""),"",K406-K405)</x:f>
      </x:c>
      <x:c r="O406" s="42" t="str">
        <x:v>Sem informação</x:v>
      </x:c>
      <x:c r="P406" s="42"/>
      <x:c r="Q406" s="42" t="str"/>
      <x:c r="R406" s="42" t="str"/>
      <x:c r="S406" s="42" t="str"/>
      <x:c r="T406" s="42" t="str"/>
    </x:row>
    <x:row r="407">
      <x:c r="A407" s="42" t="str">
        <x:v>Jhuan</x:v>
      </x:c>
      <x:c r="B407" s="42" t="n">
        <x:v>2027</x:v>
      </x:c>
      <x:c r="C407" s="42" t="str">
        <x:v>T2</x:v>
      </x:c>
      <x:c r="D407" s="44" t="n">
        <x:v>46568</x:v>
      </x:c>
      <x:c r="E407" s="42" t="str">
        <x:v>Ponta-direita</x:v>
      </x:c>
      <x:c r="F407" s="42" t="str">
        <x:v>RB Bragantino Sub-20</x:v>
      </x:c>
      <x:c r="G407" s="46"/>
      <x:c r="H407" s="46"/>
      <x:c r="I407" s="46"/>
      <x:c r="J407" s="46"/>
      <x:c r="K407" s="46" t="str">
        <x:f>IF(COUNT(G407,I407)=0,"",AVERAGE(G407,I407))</x:f>
      </x:c>
      <x:c r="L407" s="46" t="str">
        <x:f>IF(COUNT(H407,J407)=0,"",AVERAGE(H407,J407))</x:f>
      </x:c>
      <x:c r="M407" s="46" t="str">
        <x:f>IF(OR(K407="",L407=""),"",L407-K407)</x:f>
      </x:c>
      <x:c r="N407" s="46" t="str">
        <x:f>IF(OR(K407="",A406&lt;&gt;A407,K406=""),"",K407-K406)</x:f>
      </x:c>
      <x:c r="O407" s="42" t="str">
        <x:v>Sem informação</x:v>
      </x:c>
      <x:c r="P407" s="42"/>
      <x:c r="Q407" s="42" t="str"/>
      <x:c r="R407" s="42" t="str"/>
      <x:c r="S407" s="42" t="str"/>
      <x:c r="T407" s="42" t="str"/>
    </x:row>
    <x:row r="408">
      <x:c r="A408" s="42" t="str">
        <x:v>Jhuan</x:v>
      </x:c>
      <x:c r="B408" s="42" t="n">
        <x:v>2027</x:v>
      </x:c>
      <x:c r="C408" s="42" t="str">
        <x:v>T3</x:v>
      </x:c>
      <x:c r="D408" s="44" t="n">
        <x:v>46660</x:v>
      </x:c>
      <x:c r="E408" s="42" t="str">
        <x:v>Ponta-direita</x:v>
      </x:c>
      <x:c r="F408" s="42" t="str">
        <x:v>RB Bragantino Sub-20</x:v>
      </x:c>
      <x:c r="G408" s="46"/>
      <x:c r="H408" s="46"/>
      <x:c r="I408" s="46"/>
      <x:c r="J408" s="46"/>
      <x:c r="K408" s="46" t="str">
        <x:f>IF(COUNT(G408,I408)=0,"",AVERAGE(G408,I408))</x:f>
      </x:c>
      <x:c r="L408" s="46" t="str">
        <x:f>IF(COUNT(H408,J408)=0,"",AVERAGE(H408,J408))</x:f>
      </x:c>
      <x:c r="M408" s="46" t="str">
        <x:f>IF(OR(K408="",L408=""),"",L408-K408)</x:f>
      </x:c>
      <x:c r="N408" s="46" t="str">
        <x:f>IF(OR(K408="",A407&lt;&gt;A408,K407=""),"",K408-K407)</x:f>
      </x:c>
      <x:c r="O408" s="42" t="str">
        <x:v>Sem informação</x:v>
      </x:c>
      <x:c r="P408" s="42"/>
      <x:c r="Q408" s="42" t="str"/>
      <x:c r="R408" s="42" t="str"/>
      <x:c r="S408" s="42" t="str"/>
      <x:c r="T408" s="42" t="str"/>
    </x:row>
    <x:row r="409">
      <x:c r="A409" s="42" t="str">
        <x:v>Jhuan</x:v>
      </x:c>
      <x:c r="B409" s="42" t="n">
        <x:v>2027</x:v>
      </x:c>
      <x:c r="C409" s="42" t="str">
        <x:v>T4</x:v>
      </x:c>
      <x:c r="D409" s="44" t="n">
        <x:v>46752</x:v>
      </x:c>
      <x:c r="E409" s="42" t="str">
        <x:v>Ponta-direita</x:v>
      </x:c>
      <x:c r="F409" s="42" t="str">
        <x:v>RB Bragantino Sub-20</x:v>
      </x:c>
      <x:c r="G409" s="46"/>
      <x:c r="H409" s="46"/>
      <x:c r="I409" s="46"/>
      <x:c r="J409" s="46"/>
      <x:c r="K409" s="46" t="str">
        <x:f>IF(COUNT(G409,I409)=0,"",AVERAGE(G409,I409))</x:f>
      </x:c>
      <x:c r="L409" s="46" t="str">
        <x:f>IF(COUNT(H409,J409)=0,"",AVERAGE(H409,J409))</x:f>
      </x:c>
      <x:c r="M409" s="46" t="str">
        <x:f>IF(OR(K409="",L409=""),"",L409-K409)</x:f>
      </x:c>
      <x:c r="N409" s="46" t="str">
        <x:f>IF(OR(K409="",A408&lt;&gt;A409,K408=""),"",K409-K408)</x:f>
      </x:c>
      <x:c r="O409" s="42" t="str">
        <x:v>Sem informação</x:v>
      </x:c>
      <x:c r="P409" s="42"/>
      <x:c r="Q409" s="42" t="str"/>
      <x:c r="R409" s="42" t="str"/>
      <x:c r="S409" s="42" t="str"/>
      <x:c r="T409" s="42" t="str"/>
    </x:row>
    <x:row r="410">
      <x:c r="A410" s="42" t="str">
        <x:v>Jhuan</x:v>
      </x:c>
      <x:c r="B410" s="42" t="n">
        <x:v>2028</x:v>
      </x:c>
      <x:c r="C410" s="42" t="str">
        <x:v>T1</x:v>
      </x:c>
      <x:c r="D410" s="44" t="n">
        <x:v>46843</x:v>
      </x:c>
      <x:c r="E410" s="42" t="str">
        <x:v>Ponta-direita</x:v>
      </x:c>
      <x:c r="F410" s="42" t="str">
        <x:v>RB Bragantino Sub-20</x:v>
      </x:c>
      <x:c r="G410" s="46"/>
      <x:c r="H410" s="46"/>
      <x:c r="I410" s="46"/>
      <x:c r="J410" s="46"/>
      <x:c r="K410" s="46" t="str">
        <x:f>IF(COUNT(G410,I410)=0,"",AVERAGE(G410,I410))</x:f>
      </x:c>
      <x:c r="L410" s="46" t="str">
        <x:f>IF(COUNT(H410,J410)=0,"",AVERAGE(H410,J410))</x:f>
      </x:c>
      <x:c r="M410" s="46" t="str">
        <x:f>IF(OR(K410="",L410=""),"",L410-K410)</x:f>
      </x:c>
      <x:c r="N410" s="46" t="str">
        <x:f>IF(OR(K410="",A409&lt;&gt;A410,K409=""),"",K410-K409)</x:f>
      </x:c>
      <x:c r="O410" s="42" t="str">
        <x:v>Sem informação</x:v>
      </x:c>
      <x:c r="P410" s="42"/>
      <x:c r="Q410" s="42" t="str"/>
      <x:c r="R410" s="42" t="str"/>
      <x:c r="S410" s="42" t="str"/>
      <x:c r="T410" s="42" t="str"/>
    </x:row>
    <x:row r="411">
      <x:c r="A411" s="42" t="str">
        <x:v>Jhuan</x:v>
      </x:c>
      <x:c r="B411" s="42" t="n">
        <x:v>2028</x:v>
      </x:c>
      <x:c r="C411" s="42" t="str">
        <x:v>T2</x:v>
      </x:c>
      <x:c r="D411" s="44" t="n">
        <x:v>46934</x:v>
      </x:c>
      <x:c r="E411" s="42" t="str">
        <x:v>Ponta-direita</x:v>
      </x:c>
      <x:c r="F411" s="42" t="str">
        <x:v>RB Bragantino Sub-20</x:v>
      </x:c>
      <x:c r="G411" s="46"/>
      <x:c r="H411" s="46"/>
      <x:c r="I411" s="46"/>
      <x:c r="J411" s="46"/>
      <x:c r="K411" s="46" t="str">
        <x:f>IF(COUNT(G411,I411)=0,"",AVERAGE(G411,I411))</x:f>
      </x:c>
      <x:c r="L411" s="46" t="str">
        <x:f>IF(COUNT(H411,J411)=0,"",AVERAGE(H411,J411))</x:f>
      </x:c>
      <x:c r="M411" s="46" t="str">
        <x:f>IF(OR(K411="",L411=""),"",L411-K411)</x:f>
      </x:c>
      <x:c r="N411" s="46" t="str">
        <x:f>IF(OR(K411="",A410&lt;&gt;A411,K410=""),"",K411-K410)</x:f>
      </x:c>
      <x:c r="O411" s="42" t="str">
        <x:v>Sem informação</x:v>
      </x:c>
      <x:c r="P411" s="42"/>
      <x:c r="Q411" s="42" t="str"/>
      <x:c r="R411" s="42" t="str"/>
      <x:c r="S411" s="42" t="str"/>
      <x:c r="T411" s="42" t="str"/>
    </x:row>
    <x:row r="412">
      <x:c r="A412" s="42" t="str">
        <x:v>Jhuan</x:v>
      </x:c>
      <x:c r="B412" s="42" t="n">
        <x:v>2028</x:v>
      </x:c>
      <x:c r="C412" s="42" t="str">
        <x:v>T3</x:v>
      </x:c>
      <x:c r="D412" s="44" t="n">
        <x:v>47026</x:v>
      </x:c>
      <x:c r="E412" s="42" t="str">
        <x:v>Ponta-direita</x:v>
      </x:c>
      <x:c r="F412" s="42" t="str">
        <x:v>RB Bragantino Sub-20</x:v>
      </x:c>
      <x:c r="G412" s="46"/>
      <x:c r="H412" s="46"/>
      <x:c r="I412" s="46"/>
      <x:c r="J412" s="46"/>
      <x:c r="K412" s="46" t="str">
        <x:f>IF(COUNT(G412,I412)=0,"",AVERAGE(G412,I412))</x:f>
      </x:c>
      <x:c r="L412" s="46" t="str">
        <x:f>IF(COUNT(H412,J412)=0,"",AVERAGE(H412,J412))</x:f>
      </x:c>
      <x:c r="M412" s="46" t="str">
        <x:f>IF(OR(K412="",L412=""),"",L412-K412)</x:f>
      </x:c>
      <x:c r="N412" s="46" t="str">
        <x:f>IF(OR(K412="",A411&lt;&gt;A412,K411=""),"",K412-K411)</x:f>
      </x:c>
      <x:c r="O412" s="42" t="str">
        <x:v>Sem informação</x:v>
      </x:c>
      <x:c r="P412" s="42"/>
      <x:c r="Q412" s="42" t="str"/>
      <x:c r="R412" s="42" t="str"/>
      <x:c r="S412" s="42" t="str"/>
      <x:c r="T412" s="42" t="str"/>
    </x:row>
    <x:row r="413">
      <x:c r="A413" s="42" t="str">
        <x:v>Jhuan</x:v>
      </x:c>
      <x:c r="B413" s="42" t="n">
        <x:v>2028</x:v>
      </x:c>
      <x:c r="C413" s="42" t="str">
        <x:v>T4</x:v>
      </x:c>
      <x:c r="D413" s="44" t="n">
        <x:v>47118</x:v>
      </x:c>
      <x:c r="E413" s="42" t="str">
        <x:v>Ponta-direita</x:v>
      </x:c>
      <x:c r="F413" s="42" t="str">
        <x:v>RB Bragantino Sub-20</x:v>
      </x:c>
      <x:c r="G413" s="46"/>
      <x:c r="H413" s="46"/>
      <x:c r="I413" s="46"/>
      <x:c r="J413" s="46"/>
      <x:c r="K413" s="46" t="str">
        <x:f>IF(COUNT(G413,I413)=0,"",AVERAGE(G413,I413))</x:f>
      </x:c>
      <x:c r="L413" s="46" t="str">
        <x:f>IF(COUNT(H413,J413)=0,"",AVERAGE(H413,J413))</x:f>
      </x:c>
      <x:c r="M413" s="46" t="str">
        <x:f>IF(OR(K413="",L413=""),"",L413-K413)</x:f>
      </x:c>
      <x:c r="N413" s="46" t="str">
        <x:f>IF(OR(K413="",A412&lt;&gt;A413,K412=""),"",K413-K412)</x:f>
      </x:c>
      <x:c r="O413" s="42" t="str">
        <x:v>Sem informação</x:v>
      </x:c>
      <x:c r="P413" s="42"/>
      <x:c r="Q413" s="42" t="str"/>
      <x:c r="R413" s="42" t="str"/>
      <x:c r="S413" s="42" t="str"/>
      <x:c r="T413" s="42" t="str"/>
    </x:row>
    <x:row r="414">
      <x:c r="A414" s="42" t="str">
        <x:v>Jhuan</x:v>
      </x:c>
      <x:c r="B414" s="42" t="n">
        <x:v>2029</x:v>
      </x:c>
      <x:c r="C414" s="42" t="str">
        <x:v>T1</x:v>
      </x:c>
      <x:c r="D414" s="44" t="n">
        <x:v>47208</x:v>
      </x:c>
      <x:c r="E414" s="42" t="str">
        <x:v>Ponta-direita</x:v>
      </x:c>
      <x:c r="F414" s="42" t="str">
        <x:v>RB Bragantino Sub-20</x:v>
      </x:c>
      <x:c r="G414" s="46"/>
      <x:c r="H414" s="46"/>
      <x:c r="I414" s="46"/>
      <x:c r="J414" s="46"/>
      <x:c r="K414" s="46" t="str">
        <x:f>IF(COUNT(G414,I414)=0,"",AVERAGE(G414,I414))</x:f>
      </x:c>
      <x:c r="L414" s="46" t="str">
        <x:f>IF(COUNT(H414,J414)=0,"",AVERAGE(H414,J414))</x:f>
      </x:c>
      <x:c r="M414" s="46" t="str">
        <x:f>IF(OR(K414="",L414=""),"",L414-K414)</x:f>
      </x:c>
      <x:c r="N414" s="46" t="str">
        <x:f>IF(OR(K414="",A413&lt;&gt;A414,K413=""),"",K414-K413)</x:f>
      </x:c>
      <x:c r="O414" s="42" t="str">
        <x:v>Sem informação</x:v>
      </x:c>
      <x:c r="P414" s="42"/>
      <x:c r="Q414" s="42" t="str"/>
      <x:c r="R414" s="42" t="str"/>
      <x:c r="S414" s="42" t="str"/>
      <x:c r="T414" s="42" t="str"/>
    </x:row>
    <x:row r="415">
      <x:c r="A415" s="42" t="str">
        <x:v>Jhuan</x:v>
      </x:c>
      <x:c r="B415" s="42" t="n">
        <x:v>2029</x:v>
      </x:c>
      <x:c r="C415" s="42" t="str">
        <x:v>T2</x:v>
      </x:c>
      <x:c r="D415" s="44" t="n">
        <x:v>47299</x:v>
      </x:c>
      <x:c r="E415" s="42" t="str">
        <x:v>Ponta-direita</x:v>
      </x:c>
      <x:c r="F415" s="42" t="str">
        <x:v>RB Bragantino Sub-20</x:v>
      </x:c>
      <x:c r="G415" s="46"/>
      <x:c r="H415" s="46"/>
      <x:c r="I415" s="46"/>
      <x:c r="J415" s="46"/>
      <x:c r="K415" s="46" t="str">
        <x:f>IF(COUNT(G415,I415)=0,"",AVERAGE(G415,I415))</x:f>
      </x:c>
      <x:c r="L415" s="46" t="str">
        <x:f>IF(COUNT(H415,J415)=0,"",AVERAGE(H415,J415))</x:f>
      </x:c>
      <x:c r="M415" s="46" t="str">
        <x:f>IF(OR(K415="",L415=""),"",L415-K415)</x:f>
      </x:c>
      <x:c r="N415" s="46" t="str">
        <x:f>IF(OR(K415="",A414&lt;&gt;A415,K414=""),"",K415-K414)</x:f>
      </x:c>
      <x:c r="O415" s="42" t="str">
        <x:v>Sem informação</x:v>
      </x:c>
      <x:c r="P415" s="42"/>
      <x:c r="Q415" s="42" t="str"/>
      <x:c r="R415" s="42" t="str"/>
      <x:c r="S415" s="42" t="str"/>
      <x:c r="T415" s="42" t="str"/>
    </x:row>
    <x:row r="416">
      <x:c r="A416" s="42" t="str">
        <x:v>Jhuan</x:v>
      </x:c>
      <x:c r="B416" s="42" t="n">
        <x:v>2029</x:v>
      </x:c>
      <x:c r="C416" s="42" t="str">
        <x:v>T3</x:v>
      </x:c>
      <x:c r="D416" s="44" t="n">
        <x:v>47391</x:v>
      </x:c>
      <x:c r="E416" s="42" t="str">
        <x:v>Ponta-direita</x:v>
      </x:c>
      <x:c r="F416" s="42" t="str">
        <x:v>RB Bragantino Sub-20</x:v>
      </x:c>
      <x:c r="G416" s="46"/>
      <x:c r="H416" s="46"/>
      <x:c r="I416" s="46"/>
      <x:c r="J416" s="46"/>
      <x:c r="K416" s="46" t="str">
        <x:f>IF(COUNT(G416,I416)=0,"",AVERAGE(G416,I416))</x:f>
      </x:c>
      <x:c r="L416" s="46" t="str">
        <x:f>IF(COUNT(H416,J416)=0,"",AVERAGE(H416,J416))</x:f>
      </x:c>
      <x:c r="M416" s="46" t="str">
        <x:f>IF(OR(K416="",L416=""),"",L416-K416)</x:f>
      </x:c>
      <x:c r="N416" s="46" t="str">
        <x:f>IF(OR(K416="",A415&lt;&gt;A416,K415=""),"",K416-K415)</x:f>
      </x:c>
      <x:c r="O416" s="42" t="str">
        <x:v>Sem informação</x:v>
      </x:c>
      <x:c r="P416" s="42"/>
      <x:c r="Q416" s="42" t="str"/>
      <x:c r="R416" s="42" t="str"/>
      <x:c r="S416" s="42" t="str"/>
      <x:c r="T416" s="42" t="str"/>
    </x:row>
    <x:row r="417">
      <x:c r="A417" s="42" t="str">
        <x:v>Jhuan</x:v>
      </x:c>
      <x:c r="B417" s="42" t="n">
        <x:v>2029</x:v>
      </x:c>
      <x:c r="C417" s="42" t="str">
        <x:v>T4</x:v>
      </x:c>
      <x:c r="D417" s="44" t="n">
        <x:v>47483</x:v>
      </x:c>
      <x:c r="E417" s="42" t="str">
        <x:v>Ponta-direita</x:v>
      </x:c>
      <x:c r="F417" s="42" t="str">
        <x:v>RB Bragantino Sub-20</x:v>
      </x:c>
      <x:c r="G417" s="46"/>
      <x:c r="H417" s="46"/>
      <x:c r="I417" s="46"/>
      <x:c r="J417" s="46"/>
      <x:c r="K417" s="46" t="str">
        <x:f>IF(COUNT(G417,I417)=0,"",AVERAGE(G417,I417))</x:f>
      </x:c>
      <x:c r="L417" s="46" t="str">
        <x:f>IF(COUNT(H417,J417)=0,"",AVERAGE(H417,J417))</x:f>
      </x:c>
      <x:c r="M417" s="46" t="str">
        <x:f>IF(OR(K417="",L417=""),"",L417-K417)</x:f>
      </x:c>
      <x:c r="N417" s="46" t="str">
        <x:f>IF(OR(K417="",A416&lt;&gt;A417,K416=""),"",K417-K416)</x:f>
      </x:c>
      <x:c r="O417" s="42" t="str">
        <x:v>Sem informação</x:v>
      </x:c>
      <x:c r="P417" s="42"/>
      <x:c r="Q417" s="42" t="str"/>
      <x:c r="R417" s="42" t="str"/>
      <x:c r="S417" s="42" t="str"/>
      <x:c r="T417" s="42" t="str"/>
    </x:row>
    <x:row r="418">
      <x:c r="A418" s="42" t="str">
        <x:v>Jhuan</x:v>
      </x:c>
      <x:c r="B418" s="42" t="n">
        <x:v>2030</x:v>
      </x:c>
      <x:c r="C418" s="42" t="str">
        <x:v>T1</x:v>
      </x:c>
      <x:c r="D418" s="44" t="n">
        <x:v>47573</x:v>
      </x:c>
      <x:c r="E418" s="42" t="str">
        <x:v>Ponta-direita</x:v>
      </x:c>
      <x:c r="F418" s="42" t="str">
        <x:v>RB Bragantino Sub-20</x:v>
      </x:c>
      <x:c r="G418" s="46"/>
      <x:c r="H418" s="46"/>
      <x:c r="I418" s="46"/>
      <x:c r="J418" s="46"/>
      <x:c r="K418" s="46" t="str">
        <x:f>IF(COUNT(G418,I418)=0,"",AVERAGE(G418,I418))</x:f>
      </x:c>
      <x:c r="L418" s="46" t="str">
        <x:f>IF(COUNT(H418,J418)=0,"",AVERAGE(H418,J418))</x:f>
      </x:c>
      <x:c r="M418" s="46" t="str">
        <x:f>IF(OR(K418="",L418=""),"",L418-K418)</x:f>
      </x:c>
      <x:c r="N418" s="46" t="str">
        <x:f>IF(OR(K418="",A417&lt;&gt;A418,K417=""),"",K418-K417)</x:f>
      </x:c>
      <x:c r="O418" s="42" t="str">
        <x:v>Sem informação</x:v>
      </x:c>
      <x:c r="P418" s="42"/>
      <x:c r="Q418" s="42" t="str"/>
      <x:c r="R418" s="42" t="str"/>
      <x:c r="S418" s="42" t="str"/>
      <x:c r="T418" s="42" t="str"/>
    </x:row>
    <x:row r="419">
      <x:c r="A419" s="42" t="str">
        <x:v>Jhuan</x:v>
      </x:c>
      <x:c r="B419" s="42" t="n">
        <x:v>2030</x:v>
      </x:c>
      <x:c r="C419" s="42" t="str">
        <x:v>T2</x:v>
      </x:c>
      <x:c r="D419" s="44" t="n">
        <x:v>47664</x:v>
      </x:c>
      <x:c r="E419" s="42" t="str">
        <x:v>Ponta-direita</x:v>
      </x:c>
      <x:c r="F419" s="42" t="str">
        <x:v>RB Bragantino Sub-20</x:v>
      </x:c>
      <x:c r="G419" s="46"/>
      <x:c r="H419" s="46"/>
      <x:c r="I419" s="46"/>
      <x:c r="J419" s="46"/>
      <x:c r="K419" s="46" t="str">
        <x:f>IF(COUNT(G419,I419)=0,"",AVERAGE(G419,I419))</x:f>
      </x:c>
      <x:c r="L419" s="46" t="str">
        <x:f>IF(COUNT(H419,J419)=0,"",AVERAGE(H419,J419))</x:f>
      </x:c>
      <x:c r="M419" s="46" t="str">
        <x:f>IF(OR(K419="",L419=""),"",L419-K419)</x:f>
      </x:c>
      <x:c r="N419" s="46" t="str">
        <x:f>IF(OR(K419="",A418&lt;&gt;A419,K418=""),"",K419-K418)</x:f>
      </x:c>
      <x:c r="O419" s="42" t="str">
        <x:v>Sem informação</x:v>
      </x:c>
      <x:c r="P419" s="42"/>
      <x:c r="Q419" s="42" t="str"/>
      <x:c r="R419" s="42" t="str"/>
      <x:c r="S419" s="42" t="str"/>
      <x:c r="T419" s="42" t="str"/>
    </x:row>
    <x:row r="420">
      <x:c r="A420" s="42" t="str">
        <x:v>Jhuan</x:v>
      </x:c>
      <x:c r="B420" s="42" t="n">
        <x:v>2030</x:v>
      </x:c>
      <x:c r="C420" s="42" t="str">
        <x:v>T3</x:v>
      </x:c>
      <x:c r="D420" s="44" t="n">
        <x:v>47756</x:v>
      </x:c>
      <x:c r="E420" s="42" t="str">
        <x:v>Ponta-direita</x:v>
      </x:c>
      <x:c r="F420" s="42" t="str">
        <x:v>RB Bragantino Sub-20</x:v>
      </x:c>
      <x:c r="G420" s="46"/>
      <x:c r="H420" s="46"/>
      <x:c r="I420" s="46"/>
      <x:c r="J420" s="46"/>
      <x:c r="K420" s="46" t="str">
        <x:f>IF(COUNT(G420,I420)=0,"",AVERAGE(G420,I420))</x:f>
      </x:c>
      <x:c r="L420" s="46" t="str">
        <x:f>IF(COUNT(H420,J420)=0,"",AVERAGE(H420,J420))</x:f>
      </x:c>
      <x:c r="M420" s="46" t="str">
        <x:f>IF(OR(K420="",L420=""),"",L420-K420)</x:f>
      </x:c>
      <x:c r="N420" s="46" t="str">
        <x:f>IF(OR(K420="",A419&lt;&gt;A420,K419=""),"",K420-K419)</x:f>
      </x:c>
      <x:c r="O420" s="42" t="str">
        <x:v>Sem informação</x:v>
      </x:c>
      <x:c r="P420" s="42"/>
      <x:c r="Q420" s="42" t="str"/>
      <x:c r="R420" s="42" t="str"/>
      <x:c r="S420" s="42" t="str"/>
      <x:c r="T420" s="42" t="str"/>
    </x:row>
    <x:row r="421">
      <x:c r="A421" s="42" t="str">
        <x:v>Jhuan</x:v>
      </x:c>
      <x:c r="B421" s="42" t="n">
        <x:v>2030</x:v>
      </x:c>
      <x:c r="C421" s="42" t="str">
        <x:v>T4</x:v>
      </x:c>
      <x:c r="D421" s="44" t="n">
        <x:v>47848</x:v>
      </x:c>
      <x:c r="E421" s="42" t="str">
        <x:v>Ponta-direita</x:v>
      </x:c>
      <x:c r="F421" s="42" t="str">
        <x:v>RB Bragantino Sub-20</x:v>
      </x:c>
      <x:c r="G421" s="46"/>
      <x:c r="H421" s="46"/>
      <x:c r="I421" s="46"/>
      <x:c r="J421" s="46"/>
      <x:c r="K421" s="46" t="str">
        <x:f>IF(COUNT(G421,I421)=0,"",AVERAGE(G421,I421))</x:f>
      </x:c>
      <x:c r="L421" s="46" t="str">
        <x:f>IF(COUNT(H421,J421)=0,"",AVERAGE(H421,J421))</x:f>
      </x:c>
      <x:c r="M421" s="46" t="str">
        <x:f>IF(OR(K421="",L421=""),"",L421-K421)</x:f>
      </x:c>
      <x:c r="N421" s="46" t="str">
        <x:f>IF(OR(K421="",A420&lt;&gt;A421,K420=""),"",K421-K420)</x:f>
      </x:c>
      <x:c r="O421" s="42" t="str">
        <x:v>Sem informação</x:v>
      </x:c>
      <x:c r="P421" s="42"/>
      <x:c r="Q421" s="42" t="str"/>
      <x:c r="R421" s="42" t="str"/>
      <x:c r="S421" s="42" t="str"/>
      <x:c r="T421" s="42" t="str"/>
    </x:row>
    <x:row r="422">
      <x:c r="A422" s="42" t="str">
        <x:v>João Gomes</x:v>
      </x:c>
      <x:c r="B422" s="42" t="n">
        <x:v>2026</x:v>
      </x:c>
      <x:c r="C422" s="42" t="str">
        <x:v>T1</x:v>
      </x:c>
      <x:c r="D422" s="44" t="n">
        <x:v>46112</x:v>
      </x:c>
      <x:c r="E422" s="42" t="str">
        <x:v>Volante</x:v>
      </x:c>
      <x:c r="F422" s="42" t="str">
        <x:v>Wolverhampton Wanderers</x:v>
      </x:c>
      <x:c r="G422" s="46"/>
      <x:c r="H422" s="46"/>
      <x:c r="I422" s="46"/>
      <x:c r="J422" s="46"/>
      <x:c r="K422" s="46" t="str">
        <x:f>IF(COUNT(G422,I422)=0,"",AVERAGE(G422,I422))</x:f>
      </x:c>
      <x:c r="L422" s="46" t="str">
        <x:f>IF(COUNT(H422,J422)=0,"",AVERAGE(H422,J422))</x:f>
      </x:c>
      <x:c r="M422" s="46" t="str">
        <x:f>IF(OR(K422="",L422=""),"",L422-K422)</x:f>
      </x:c>
      <x:c r="N422" s="46" t="str">
        <x:f>IF(OR(K422="",A421&lt;&gt;A422,K421=""),"",K422-K421)</x:f>
      </x:c>
      <x:c r="O422" s="42" t="str">
        <x:v>Sem informação</x:v>
      </x:c>
      <x:c r="P422" s="42"/>
      <x:c r="Q422" s="42" t="str"/>
      <x:c r="R422" s="42" t="str"/>
      <x:c r="S422" s="42" t="str"/>
      <x:c r="T422" s="42" t="str"/>
    </x:row>
    <x:row r="423">
      <x:c r="A423" s="42" t="str">
        <x:v>João Gomes</x:v>
      </x:c>
      <x:c r="B423" s="42" t="n">
        <x:v>2026</x:v>
      </x:c>
      <x:c r="C423" s="42" t="str">
        <x:v>T2</x:v>
      </x:c>
      <x:c r="D423" s="44" t="n">
        <x:v>46203</x:v>
      </x:c>
      <x:c r="E423" s="42" t="str">
        <x:v>Volante</x:v>
      </x:c>
      <x:c r="F423" s="42" t="str">
        <x:v>Wolverhampton Wanderers</x:v>
      </x:c>
      <x:c r="G423" s="46" t="n">
        <x:v>6.5</x:v>
      </x:c>
      <x:c r="H423" s="46" t="n">
        <x:v>7.5</x:v>
      </x:c>
      <x:c r="I423" s="46" t="n">
        <x:v>7</x:v>
      </x:c>
      <x:c r="J423" s="46" t="n">
        <x:v>7.5</x:v>
      </x:c>
      <x:c r="K423" s="46" t="n">
        <x:f>IF(COUNT(G423,I423)=0,"",AVERAGE(G423,I423))</x:f>
        <x:v>6.75</x:v>
      </x:c>
      <x:c r="L423" s="46" t="n">
        <x:f>IF(COUNT(H423,J423)=0,"",AVERAGE(H423,J423))</x:f>
        <x:v>7.5</x:v>
      </x:c>
      <x:c r="M423" s="46" t="n">
        <x:f>IF(OR(K423="",L423=""),"",L423-K423)</x:f>
        <x:v>0.75</x:v>
      </x:c>
      <x:c r="N423" s="46" t="str">
        <x:f>IF(OR(K423="",A422&lt;&gt;A423,K422=""),"",K423-K422)</x:f>
      </x:c>
      <x:c r="O423" s="42" t="str">
        <x:v>Sem informação</x:v>
      </x:c>
      <x:c r="P423" s="42"/>
      <x:c r="Q423" s="42" t="str"/>
      <x:c r="R423" s="42" t="str"/>
      <x:c r="S423" s="42" t="str"/>
      <x:c r="T423" s="42" t="str"/>
    </x:row>
    <x:row r="424">
      <x:c r="A424" s="42" t="str">
        <x:v>João Gomes</x:v>
      </x:c>
      <x:c r="B424" s="42" t="n">
        <x:v>2026</x:v>
      </x:c>
      <x:c r="C424" s="42" t="str">
        <x:v>T3</x:v>
      </x:c>
      <x:c r="D424" s="44" t="n">
        <x:v>46295</x:v>
      </x:c>
      <x:c r="E424" s="42" t="str">
        <x:v>Volante</x:v>
      </x:c>
      <x:c r="F424" s="42" t="str">
        <x:v>Wolverhampton Wanderers</x:v>
      </x:c>
      <x:c r="G424" s="46"/>
      <x:c r="H424" s="46"/>
      <x:c r="I424" s="46"/>
      <x:c r="J424" s="46"/>
      <x:c r="K424" s="46" t="str">
        <x:f>IF(COUNT(G424,I424)=0,"",AVERAGE(G424,I424))</x:f>
      </x:c>
      <x:c r="L424" s="46" t="str">
        <x:f>IF(COUNT(H424,J424)=0,"",AVERAGE(H424,J424))</x:f>
      </x:c>
      <x:c r="M424" s="46" t="str">
        <x:f>IF(OR(K424="",L424=""),"",L424-K424)</x:f>
      </x:c>
      <x:c r="N424" s="46" t="str">
        <x:f>IF(OR(K424="",A423&lt;&gt;A424,K423=""),"",K424-K423)</x:f>
      </x:c>
      <x:c r="O424" s="42" t="str">
        <x:v>Sem informação</x:v>
      </x:c>
      <x:c r="P424" s="42"/>
      <x:c r="Q424" s="42" t="str"/>
      <x:c r="R424" s="42" t="str"/>
      <x:c r="S424" s="42" t="str"/>
      <x:c r="T424" s="42" t="str"/>
    </x:row>
    <x:row r="425">
      <x:c r="A425" s="42" t="str">
        <x:v>João Gomes</x:v>
      </x:c>
      <x:c r="B425" s="42" t="n">
        <x:v>2026</x:v>
      </x:c>
      <x:c r="C425" s="42" t="str">
        <x:v>T4</x:v>
      </x:c>
      <x:c r="D425" s="44" t="n">
        <x:v>46387</x:v>
      </x:c>
      <x:c r="E425" s="42" t="str">
        <x:v>Volante</x:v>
      </x:c>
      <x:c r="F425" s="42" t="str">
        <x:v>Wolverhampton Wanderers</x:v>
      </x:c>
      <x:c r="G425" s="46"/>
      <x:c r="H425" s="46"/>
      <x:c r="I425" s="46"/>
      <x:c r="J425" s="46"/>
      <x:c r="K425" s="46" t="str">
        <x:f>IF(COUNT(G425,I425)=0,"",AVERAGE(G425,I425))</x:f>
      </x:c>
      <x:c r="L425" s="46" t="str">
        <x:f>IF(COUNT(H425,J425)=0,"",AVERAGE(H425,J425))</x:f>
      </x:c>
      <x:c r="M425" s="46" t="str">
        <x:f>IF(OR(K425="",L425=""),"",L425-K425)</x:f>
      </x:c>
      <x:c r="N425" s="46" t="str">
        <x:f>IF(OR(K425="",A424&lt;&gt;A425,K424=""),"",K425-K424)</x:f>
      </x:c>
      <x:c r="O425" s="42" t="str">
        <x:v>Sem informação</x:v>
      </x:c>
      <x:c r="P425" s="42"/>
      <x:c r="Q425" s="42" t="str"/>
      <x:c r="R425" s="42" t="str"/>
      <x:c r="S425" s="42" t="str"/>
      <x:c r="T425" s="42" t="str"/>
    </x:row>
    <x:row r="426">
      <x:c r="A426" s="42" t="str">
        <x:v>João Gomes</x:v>
      </x:c>
      <x:c r="B426" s="42" t="n">
        <x:v>2027</x:v>
      </x:c>
      <x:c r="C426" s="42" t="str">
        <x:v>T1</x:v>
      </x:c>
      <x:c r="D426" s="44" t="n">
        <x:v>46477</x:v>
      </x:c>
      <x:c r="E426" s="42" t="str">
        <x:v>Volante</x:v>
      </x:c>
      <x:c r="F426" s="42" t="str">
        <x:v>Wolverhampton Wanderers</x:v>
      </x:c>
      <x:c r="G426" s="46"/>
      <x:c r="H426" s="46"/>
      <x:c r="I426" s="46"/>
      <x:c r="J426" s="46"/>
      <x:c r="K426" s="46" t="str">
        <x:f>IF(COUNT(G426,I426)=0,"",AVERAGE(G426,I426))</x:f>
      </x:c>
      <x:c r="L426" s="46" t="str">
        <x:f>IF(COUNT(H426,J426)=0,"",AVERAGE(H426,J426))</x:f>
      </x:c>
      <x:c r="M426" s="46" t="str">
        <x:f>IF(OR(K426="",L426=""),"",L426-K426)</x:f>
      </x:c>
      <x:c r="N426" s="46" t="str">
        <x:f>IF(OR(K426="",A425&lt;&gt;A426,K425=""),"",K426-K425)</x:f>
      </x:c>
      <x:c r="O426" s="42" t="str">
        <x:v>Sem informação</x:v>
      </x:c>
      <x:c r="P426" s="42"/>
      <x:c r="Q426" s="42" t="str"/>
      <x:c r="R426" s="42" t="str"/>
      <x:c r="S426" s="42" t="str"/>
      <x:c r="T426" s="42" t="str"/>
    </x:row>
    <x:row r="427">
      <x:c r="A427" s="42" t="str">
        <x:v>João Gomes</x:v>
      </x:c>
      <x:c r="B427" s="42" t="n">
        <x:v>2027</x:v>
      </x:c>
      <x:c r="C427" s="42" t="str">
        <x:v>T2</x:v>
      </x:c>
      <x:c r="D427" s="44" t="n">
        <x:v>46568</x:v>
      </x:c>
      <x:c r="E427" s="42" t="str">
        <x:v>Volante</x:v>
      </x:c>
      <x:c r="F427" s="42" t="str">
        <x:v>Wolverhampton Wanderers</x:v>
      </x:c>
      <x:c r="G427" s="46"/>
      <x:c r="H427" s="46"/>
      <x:c r="I427" s="46"/>
      <x:c r="J427" s="46"/>
      <x:c r="K427" s="46" t="str">
        <x:f>IF(COUNT(G427,I427)=0,"",AVERAGE(G427,I427))</x:f>
      </x:c>
      <x:c r="L427" s="46" t="str">
        <x:f>IF(COUNT(H427,J427)=0,"",AVERAGE(H427,J427))</x:f>
      </x:c>
      <x:c r="M427" s="46" t="str">
        <x:f>IF(OR(K427="",L427=""),"",L427-K427)</x:f>
      </x:c>
      <x:c r="N427" s="46" t="str">
        <x:f>IF(OR(K427="",A426&lt;&gt;A427,K426=""),"",K427-K426)</x:f>
      </x:c>
      <x:c r="O427" s="42" t="str">
        <x:v>Sem informação</x:v>
      </x:c>
      <x:c r="P427" s="42"/>
      <x:c r="Q427" s="42" t="str"/>
      <x:c r="R427" s="42" t="str"/>
      <x:c r="S427" s="42" t="str"/>
      <x:c r="T427" s="42" t="str"/>
    </x:row>
    <x:row r="428">
      <x:c r="A428" s="42" t="str">
        <x:v>João Gomes</x:v>
      </x:c>
      <x:c r="B428" s="42" t="n">
        <x:v>2027</x:v>
      </x:c>
      <x:c r="C428" s="42" t="str">
        <x:v>T3</x:v>
      </x:c>
      <x:c r="D428" s="44" t="n">
        <x:v>46660</x:v>
      </x:c>
      <x:c r="E428" s="42" t="str">
        <x:v>Volante</x:v>
      </x:c>
      <x:c r="F428" s="42" t="str">
        <x:v>Wolverhampton Wanderers</x:v>
      </x:c>
      <x:c r="G428" s="46"/>
      <x:c r="H428" s="46"/>
      <x:c r="I428" s="46"/>
      <x:c r="J428" s="46"/>
      <x:c r="K428" s="46" t="str">
        <x:f>IF(COUNT(G428,I428)=0,"",AVERAGE(G428,I428))</x:f>
      </x:c>
      <x:c r="L428" s="46" t="str">
        <x:f>IF(COUNT(H428,J428)=0,"",AVERAGE(H428,J428))</x:f>
      </x:c>
      <x:c r="M428" s="46" t="str">
        <x:f>IF(OR(K428="",L428=""),"",L428-K428)</x:f>
      </x:c>
      <x:c r="N428" s="46" t="str">
        <x:f>IF(OR(K428="",A427&lt;&gt;A428,K427=""),"",K428-K427)</x:f>
      </x:c>
      <x:c r="O428" s="42" t="str">
        <x:v>Sem informação</x:v>
      </x:c>
      <x:c r="P428" s="42"/>
      <x:c r="Q428" s="42" t="str"/>
      <x:c r="R428" s="42" t="str"/>
      <x:c r="S428" s="42" t="str"/>
      <x:c r="T428" s="42" t="str"/>
    </x:row>
    <x:row r="429">
      <x:c r="A429" s="42" t="str">
        <x:v>João Gomes</x:v>
      </x:c>
      <x:c r="B429" s="42" t="n">
        <x:v>2027</x:v>
      </x:c>
      <x:c r="C429" s="42" t="str">
        <x:v>T4</x:v>
      </x:c>
      <x:c r="D429" s="44" t="n">
        <x:v>46752</x:v>
      </x:c>
      <x:c r="E429" s="42" t="str">
        <x:v>Volante</x:v>
      </x:c>
      <x:c r="F429" s="42" t="str">
        <x:v>Wolverhampton Wanderers</x:v>
      </x:c>
      <x:c r="G429" s="46"/>
      <x:c r="H429" s="46"/>
      <x:c r="I429" s="46"/>
      <x:c r="J429" s="46"/>
      <x:c r="K429" s="46" t="str">
        <x:f>IF(COUNT(G429,I429)=0,"",AVERAGE(G429,I429))</x:f>
      </x:c>
      <x:c r="L429" s="46" t="str">
        <x:f>IF(COUNT(H429,J429)=0,"",AVERAGE(H429,J429))</x:f>
      </x:c>
      <x:c r="M429" s="46" t="str">
        <x:f>IF(OR(K429="",L429=""),"",L429-K429)</x:f>
      </x:c>
      <x:c r="N429" s="46" t="str">
        <x:f>IF(OR(K429="",A428&lt;&gt;A429,K428=""),"",K429-K428)</x:f>
      </x:c>
      <x:c r="O429" s="42" t="str">
        <x:v>Sem informação</x:v>
      </x:c>
      <x:c r="P429" s="42"/>
      <x:c r="Q429" s="42" t="str"/>
      <x:c r="R429" s="42" t="str"/>
      <x:c r="S429" s="42" t="str"/>
      <x:c r="T429" s="42" t="str"/>
    </x:row>
    <x:row r="430">
      <x:c r="A430" s="42" t="str">
        <x:v>João Gomes</x:v>
      </x:c>
      <x:c r="B430" s="42" t="n">
        <x:v>2028</x:v>
      </x:c>
      <x:c r="C430" s="42" t="str">
        <x:v>T1</x:v>
      </x:c>
      <x:c r="D430" s="44" t="n">
        <x:v>46843</x:v>
      </x:c>
      <x:c r="E430" s="42" t="str">
        <x:v>Volante</x:v>
      </x:c>
      <x:c r="F430" s="42" t="str">
        <x:v>Wolverhampton Wanderers</x:v>
      </x:c>
      <x:c r="G430" s="46"/>
      <x:c r="H430" s="46"/>
      <x:c r="I430" s="46"/>
      <x:c r="J430" s="46"/>
      <x:c r="K430" s="46" t="str">
        <x:f>IF(COUNT(G430,I430)=0,"",AVERAGE(G430,I430))</x:f>
      </x:c>
      <x:c r="L430" s="46" t="str">
        <x:f>IF(COUNT(H430,J430)=0,"",AVERAGE(H430,J430))</x:f>
      </x:c>
      <x:c r="M430" s="46" t="str">
        <x:f>IF(OR(K430="",L430=""),"",L430-K430)</x:f>
      </x:c>
      <x:c r="N430" s="46" t="str">
        <x:f>IF(OR(K430="",A429&lt;&gt;A430,K429=""),"",K430-K429)</x:f>
      </x:c>
      <x:c r="O430" s="42" t="str">
        <x:v>Sem informação</x:v>
      </x:c>
      <x:c r="P430" s="42"/>
      <x:c r="Q430" s="42" t="str"/>
      <x:c r="R430" s="42" t="str"/>
      <x:c r="S430" s="42" t="str"/>
      <x:c r="T430" s="42" t="str"/>
    </x:row>
    <x:row r="431">
      <x:c r="A431" s="42" t="str">
        <x:v>João Gomes</x:v>
      </x:c>
      <x:c r="B431" s="42" t="n">
        <x:v>2028</x:v>
      </x:c>
      <x:c r="C431" s="42" t="str">
        <x:v>T2</x:v>
      </x:c>
      <x:c r="D431" s="44" t="n">
        <x:v>46934</x:v>
      </x:c>
      <x:c r="E431" s="42" t="str">
        <x:v>Volante</x:v>
      </x:c>
      <x:c r="F431" s="42" t="str">
        <x:v>Wolverhampton Wanderers</x:v>
      </x:c>
      <x:c r="G431" s="46"/>
      <x:c r="H431" s="46"/>
      <x:c r="I431" s="46"/>
      <x:c r="J431" s="46"/>
      <x:c r="K431" s="46" t="str">
        <x:f>IF(COUNT(G431,I431)=0,"",AVERAGE(G431,I431))</x:f>
      </x:c>
      <x:c r="L431" s="46" t="str">
        <x:f>IF(COUNT(H431,J431)=0,"",AVERAGE(H431,J431))</x:f>
      </x:c>
      <x:c r="M431" s="46" t="str">
        <x:f>IF(OR(K431="",L431=""),"",L431-K431)</x:f>
      </x:c>
      <x:c r="N431" s="46" t="str">
        <x:f>IF(OR(K431="",A430&lt;&gt;A431,K430=""),"",K431-K430)</x:f>
      </x:c>
      <x:c r="O431" s="42" t="str">
        <x:v>Sem informação</x:v>
      </x:c>
      <x:c r="P431" s="42"/>
      <x:c r="Q431" s="42" t="str"/>
      <x:c r="R431" s="42" t="str"/>
      <x:c r="S431" s="42" t="str"/>
      <x:c r="T431" s="42" t="str"/>
    </x:row>
    <x:row r="432">
      <x:c r="A432" s="42" t="str">
        <x:v>João Gomes</x:v>
      </x:c>
      <x:c r="B432" s="42" t="n">
        <x:v>2028</x:v>
      </x:c>
      <x:c r="C432" s="42" t="str">
        <x:v>T3</x:v>
      </x:c>
      <x:c r="D432" s="44" t="n">
        <x:v>47026</x:v>
      </x:c>
      <x:c r="E432" s="42" t="str">
        <x:v>Volante</x:v>
      </x:c>
      <x:c r="F432" s="42" t="str">
        <x:v>Wolverhampton Wanderers</x:v>
      </x:c>
      <x:c r="G432" s="46"/>
      <x:c r="H432" s="46"/>
      <x:c r="I432" s="46"/>
      <x:c r="J432" s="46"/>
      <x:c r="K432" s="46" t="str">
        <x:f>IF(COUNT(G432,I432)=0,"",AVERAGE(G432,I432))</x:f>
      </x:c>
      <x:c r="L432" s="46" t="str">
        <x:f>IF(COUNT(H432,J432)=0,"",AVERAGE(H432,J432))</x:f>
      </x:c>
      <x:c r="M432" s="46" t="str">
        <x:f>IF(OR(K432="",L432=""),"",L432-K432)</x:f>
      </x:c>
      <x:c r="N432" s="46" t="str">
        <x:f>IF(OR(K432="",A431&lt;&gt;A432,K431=""),"",K432-K431)</x:f>
      </x:c>
      <x:c r="O432" s="42" t="str">
        <x:v>Sem informação</x:v>
      </x:c>
      <x:c r="P432" s="42"/>
      <x:c r="Q432" s="42" t="str"/>
      <x:c r="R432" s="42" t="str"/>
      <x:c r="S432" s="42" t="str"/>
      <x:c r="T432" s="42" t="str"/>
    </x:row>
    <x:row r="433">
      <x:c r="A433" s="42" t="str">
        <x:v>João Gomes</x:v>
      </x:c>
      <x:c r="B433" s="42" t="n">
        <x:v>2028</x:v>
      </x:c>
      <x:c r="C433" s="42" t="str">
        <x:v>T4</x:v>
      </x:c>
      <x:c r="D433" s="44" t="n">
        <x:v>47118</x:v>
      </x:c>
      <x:c r="E433" s="42" t="str">
        <x:v>Volante</x:v>
      </x:c>
      <x:c r="F433" s="42" t="str">
        <x:v>Wolverhampton Wanderers</x:v>
      </x:c>
      <x:c r="G433" s="46"/>
      <x:c r="H433" s="46"/>
      <x:c r="I433" s="46"/>
      <x:c r="J433" s="46"/>
      <x:c r="K433" s="46" t="str">
        <x:f>IF(COUNT(G433,I433)=0,"",AVERAGE(G433,I433))</x:f>
      </x:c>
      <x:c r="L433" s="46" t="str">
        <x:f>IF(COUNT(H433,J433)=0,"",AVERAGE(H433,J433))</x:f>
      </x:c>
      <x:c r="M433" s="46" t="str">
        <x:f>IF(OR(K433="",L433=""),"",L433-K433)</x:f>
      </x:c>
      <x:c r="N433" s="46" t="str">
        <x:f>IF(OR(K433="",A432&lt;&gt;A433,K432=""),"",K433-K432)</x:f>
      </x:c>
      <x:c r="O433" s="42" t="str">
        <x:v>Sem informação</x:v>
      </x:c>
      <x:c r="P433" s="42"/>
      <x:c r="Q433" s="42" t="str"/>
      <x:c r="R433" s="42" t="str"/>
      <x:c r="S433" s="42" t="str"/>
      <x:c r="T433" s="42" t="str"/>
    </x:row>
    <x:row r="434">
      <x:c r="A434" s="42" t="str">
        <x:v>João Gomes</x:v>
      </x:c>
      <x:c r="B434" s="42" t="n">
        <x:v>2029</x:v>
      </x:c>
      <x:c r="C434" s="42" t="str">
        <x:v>T1</x:v>
      </x:c>
      <x:c r="D434" s="44" t="n">
        <x:v>47208</x:v>
      </x:c>
      <x:c r="E434" s="42" t="str">
        <x:v>Volante</x:v>
      </x:c>
      <x:c r="F434" s="42" t="str">
        <x:v>Wolverhampton Wanderers</x:v>
      </x:c>
      <x:c r="G434" s="46"/>
      <x:c r="H434" s="46"/>
      <x:c r="I434" s="46"/>
      <x:c r="J434" s="46"/>
      <x:c r="K434" s="46" t="str">
        <x:f>IF(COUNT(G434,I434)=0,"",AVERAGE(G434,I434))</x:f>
      </x:c>
      <x:c r="L434" s="46" t="str">
        <x:f>IF(COUNT(H434,J434)=0,"",AVERAGE(H434,J434))</x:f>
      </x:c>
      <x:c r="M434" s="46" t="str">
        <x:f>IF(OR(K434="",L434=""),"",L434-K434)</x:f>
      </x:c>
      <x:c r="N434" s="46" t="str">
        <x:f>IF(OR(K434="",A433&lt;&gt;A434,K433=""),"",K434-K433)</x:f>
      </x:c>
      <x:c r="O434" s="42" t="str">
        <x:v>Sem informação</x:v>
      </x:c>
      <x:c r="P434" s="42"/>
      <x:c r="Q434" s="42" t="str"/>
      <x:c r="R434" s="42" t="str"/>
      <x:c r="S434" s="42" t="str"/>
      <x:c r="T434" s="42" t="str"/>
    </x:row>
    <x:row r="435">
      <x:c r="A435" s="42" t="str">
        <x:v>João Gomes</x:v>
      </x:c>
      <x:c r="B435" s="42" t="n">
        <x:v>2029</x:v>
      </x:c>
      <x:c r="C435" s="42" t="str">
        <x:v>T2</x:v>
      </x:c>
      <x:c r="D435" s="44" t="n">
        <x:v>47299</x:v>
      </x:c>
      <x:c r="E435" s="42" t="str">
        <x:v>Volante</x:v>
      </x:c>
      <x:c r="F435" s="42" t="str">
        <x:v>Wolverhampton Wanderers</x:v>
      </x:c>
      <x:c r="G435" s="46"/>
      <x:c r="H435" s="46"/>
      <x:c r="I435" s="46"/>
      <x:c r="J435" s="46"/>
      <x:c r="K435" s="46" t="str">
        <x:f>IF(COUNT(G435,I435)=0,"",AVERAGE(G435,I435))</x:f>
      </x:c>
      <x:c r="L435" s="46" t="str">
        <x:f>IF(COUNT(H435,J435)=0,"",AVERAGE(H435,J435))</x:f>
      </x:c>
      <x:c r="M435" s="46" t="str">
        <x:f>IF(OR(K435="",L435=""),"",L435-K435)</x:f>
      </x:c>
      <x:c r="N435" s="46" t="str">
        <x:f>IF(OR(K435="",A434&lt;&gt;A435,K434=""),"",K435-K434)</x:f>
      </x:c>
      <x:c r="O435" s="42" t="str">
        <x:v>Sem informação</x:v>
      </x:c>
      <x:c r="P435" s="42"/>
      <x:c r="Q435" s="42" t="str"/>
      <x:c r="R435" s="42" t="str"/>
      <x:c r="S435" s="42" t="str"/>
      <x:c r="T435" s="42" t="str"/>
    </x:row>
    <x:row r="436">
      <x:c r="A436" s="42" t="str">
        <x:v>João Gomes</x:v>
      </x:c>
      <x:c r="B436" s="42" t="n">
        <x:v>2029</x:v>
      </x:c>
      <x:c r="C436" s="42" t="str">
        <x:v>T3</x:v>
      </x:c>
      <x:c r="D436" s="44" t="n">
        <x:v>47391</x:v>
      </x:c>
      <x:c r="E436" s="42" t="str">
        <x:v>Volante</x:v>
      </x:c>
      <x:c r="F436" s="42" t="str">
        <x:v>Wolverhampton Wanderers</x:v>
      </x:c>
      <x:c r="G436" s="46"/>
      <x:c r="H436" s="46"/>
      <x:c r="I436" s="46"/>
      <x:c r="J436" s="46"/>
      <x:c r="K436" s="46" t="str">
        <x:f>IF(COUNT(G436,I436)=0,"",AVERAGE(G436,I436))</x:f>
      </x:c>
      <x:c r="L436" s="46" t="str">
        <x:f>IF(COUNT(H436,J436)=0,"",AVERAGE(H436,J436))</x:f>
      </x:c>
      <x:c r="M436" s="46" t="str">
        <x:f>IF(OR(K436="",L436=""),"",L436-K436)</x:f>
      </x:c>
      <x:c r="N436" s="46" t="str">
        <x:f>IF(OR(K436="",A435&lt;&gt;A436,K435=""),"",K436-K435)</x:f>
      </x:c>
      <x:c r="O436" s="42" t="str">
        <x:v>Sem informação</x:v>
      </x:c>
      <x:c r="P436" s="42"/>
      <x:c r="Q436" s="42" t="str"/>
      <x:c r="R436" s="42" t="str"/>
      <x:c r="S436" s="42" t="str"/>
      <x:c r="T436" s="42" t="str"/>
    </x:row>
    <x:row r="437">
      <x:c r="A437" s="42" t="str">
        <x:v>João Gomes</x:v>
      </x:c>
      <x:c r="B437" s="42" t="n">
        <x:v>2029</x:v>
      </x:c>
      <x:c r="C437" s="42" t="str">
        <x:v>T4</x:v>
      </x:c>
      <x:c r="D437" s="44" t="n">
        <x:v>47483</x:v>
      </x:c>
      <x:c r="E437" s="42" t="str">
        <x:v>Volante</x:v>
      </x:c>
      <x:c r="F437" s="42" t="str">
        <x:v>Wolverhampton Wanderers</x:v>
      </x:c>
      <x:c r="G437" s="46"/>
      <x:c r="H437" s="46"/>
      <x:c r="I437" s="46"/>
      <x:c r="J437" s="46"/>
      <x:c r="K437" s="46" t="str">
        <x:f>IF(COUNT(G437,I437)=0,"",AVERAGE(G437,I437))</x:f>
      </x:c>
      <x:c r="L437" s="46" t="str">
        <x:f>IF(COUNT(H437,J437)=0,"",AVERAGE(H437,J437))</x:f>
      </x:c>
      <x:c r="M437" s="46" t="str">
        <x:f>IF(OR(K437="",L437=""),"",L437-K437)</x:f>
      </x:c>
      <x:c r="N437" s="46" t="str">
        <x:f>IF(OR(K437="",A436&lt;&gt;A437,K436=""),"",K437-K436)</x:f>
      </x:c>
      <x:c r="O437" s="42" t="str">
        <x:v>Sem informação</x:v>
      </x:c>
      <x:c r="P437" s="42"/>
      <x:c r="Q437" s="42" t="str"/>
      <x:c r="R437" s="42" t="str"/>
      <x:c r="S437" s="42" t="str"/>
      <x:c r="T437" s="42" t="str"/>
    </x:row>
    <x:row r="438">
      <x:c r="A438" s="42" t="str">
        <x:v>João Gomes</x:v>
      </x:c>
      <x:c r="B438" s="42" t="n">
        <x:v>2030</x:v>
      </x:c>
      <x:c r="C438" s="42" t="str">
        <x:v>T1</x:v>
      </x:c>
      <x:c r="D438" s="44" t="n">
        <x:v>47573</x:v>
      </x:c>
      <x:c r="E438" s="42" t="str">
        <x:v>Volante</x:v>
      </x:c>
      <x:c r="F438" s="42" t="str">
        <x:v>Wolverhampton Wanderers</x:v>
      </x:c>
      <x:c r="G438" s="46"/>
      <x:c r="H438" s="46"/>
      <x:c r="I438" s="46"/>
      <x:c r="J438" s="46"/>
      <x:c r="K438" s="46" t="str">
        <x:f>IF(COUNT(G438,I438)=0,"",AVERAGE(G438,I438))</x:f>
      </x:c>
      <x:c r="L438" s="46" t="str">
        <x:f>IF(COUNT(H438,J438)=0,"",AVERAGE(H438,J438))</x:f>
      </x:c>
      <x:c r="M438" s="46" t="str">
        <x:f>IF(OR(K438="",L438=""),"",L438-K438)</x:f>
      </x:c>
      <x:c r="N438" s="46" t="str">
        <x:f>IF(OR(K438="",A437&lt;&gt;A438,K437=""),"",K438-K437)</x:f>
      </x:c>
      <x:c r="O438" s="42" t="str">
        <x:v>Sem informação</x:v>
      </x:c>
      <x:c r="P438" s="42"/>
      <x:c r="Q438" s="42" t="str"/>
      <x:c r="R438" s="42" t="str"/>
      <x:c r="S438" s="42" t="str"/>
      <x:c r="T438" s="42" t="str"/>
    </x:row>
    <x:row r="439">
      <x:c r="A439" s="42" t="str">
        <x:v>João Gomes</x:v>
      </x:c>
      <x:c r="B439" s="42" t="n">
        <x:v>2030</x:v>
      </x:c>
      <x:c r="C439" s="42" t="str">
        <x:v>T2</x:v>
      </x:c>
      <x:c r="D439" s="44" t="n">
        <x:v>47664</x:v>
      </x:c>
      <x:c r="E439" s="42" t="str">
        <x:v>Volante</x:v>
      </x:c>
      <x:c r="F439" s="42" t="str">
        <x:v>Wolverhampton Wanderers</x:v>
      </x:c>
      <x:c r="G439" s="46"/>
      <x:c r="H439" s="46"/>
      <x:c r="I439" s="46"/>
      <x:c r="J439" s="46"/>
      <x:c r="K439" s="46" t="str">
        <x:f>IF(COUNT(G439,I439)=0,"",AVERAGE(G439,I439))</x:f>
      </x:c>
      <x:c r="L439" s="46" t="str">
        <x:f>IF(COUNT(H439,J439)=0,"",AVERAGE(H439,J439))</x:f>
      </x:c>
      <x:c r="M439" s="46" t="str">
        <x:f>IF(OR(K439="",L439=""),"",L439-K439)</x:f>
      </x:c>
      <x:c r="N439" s="46" t="str">
        <x:f>IF(OR(K439="",A438&lt;&gt;A439,K438=""),"",K439-K438)</x:f>
      </x:c>
      <x:c r="O439" s="42" t="str">
        <x:v>Sem informação</x:v>
      </x:c>
      <x:c r="P439" s="42"/>
      <x:c r="Q439" s="42" t="str"/>
      <x:c r="R439" s="42" t="str"/>
      <x:c r="S439" s="42" t="str"/>
      <x:c r="T439" s="42" t="str"/>
    </x:row>
    <x:row r="440">
      <x:c r="A440" s="42" t="str">
        <x:v>João Gomes</x:v>
      </x:c>
      <x:c r="B440" s="42" t="n">
        <x:v>2030</x:v>
      </x:c>
      <x:c r="C440" s="42" t="str">
        <x:v>T3</x:v>
      </x:c>
      <x:c r="D440" s="44" t="n">
        <x:v>47756</x:v>
      </x:c>
      <x:c r="E440" s="42" t="str">
        <x:v>Volante</x:v>
      </x:c>
      <x:c r="F440" s="42" t="str">
        <x:v>Wolverhampton Wanderers</x:v>
      </x:c>
      <x:c r="G440" s="46"/>
      <x:c r="H440" s="46"/>
      <x:c r="I440" s="46"/>
      <x:c r="J440" s="46"/>
      <x:c r="K440" s="46" t="str">
        <x:f>IF(COUNT(G440,I440)=0,"",AVERAGE(G440,I440))</x:f>
      </x:c>
      <x:c r="L440" s="46" t="str">
        <x:f>IF(COUNT(H440,J440)=0,"",AVERAGE(H440,J440))</x:f>
      </x:c>
      <x:c r="M440" s="46" t="str">
        <x:f>IF(OR(K440="",L440=""),"",L440-K440)</x:f>
      </x:c>
      <x:c r="N440" s="46" t="str">
        <x:f>IF(OR(K440="",A439&lt;&gt;A440,K439=""),"",K440-K439)</x:f>
      </x:c>
      <x:c r="O440" s="42" t="str">
        <x:v>Sem informação</x:v>
      </x:c>
      <x:c r="P440" s="42"/>
      <x:c r="Q440" s="42" t="str"/>
      <x:c r="R440" s="42" t="str"/>
      <x:c r="S440" s="42" t="str"/>
      <x:c r="T440" s="42" t="str"/>
    </x:row>
    <x:row r="441">
      <x:c r="A441" s="42" t="str">
        <x:v>João Gomes</x:v>
      </x:c>
      <x:c r="B441" s="42" t="n">
        <x:v>2030</x:v>
      </x:c>
      <x:c r="C441" s="42" t="str">
        <x:v>T4</x:v>
      </x:c>
      <x:c r="D441" s="44" t="n">
        <x:v>47848</x:v>
      </x:c>
      <x:c r="E441" s="42" t="str">
        <x:v>Volante</x:v>
      </x:c>
      <x:c r="F441" s="42" t="str">
        <x:v>Wolverhampton Wanderers</x:v>
      </x:c>
      <x:c r="G441" s="46"/>
      <x:c r="H441" s="46"/>
      <x:c r="I441" s="46"/>
      <x:c r="J441" s="46"/>
      <x:c r="K441" s="46" t="str">
        <x:f>IF(COUNT(G441,I441)=0,"",AVERAGE(G441,I441))</x:f>
      </x:c>
      <x:c r="L441" s="46" t="str">
        <x:f>IF(COUNT(H441,J441)=0,"",AVERAGE(H441,J441))</x:f>
      </x:c>
      <x:c r="M441" s="46" t="str">
        <x:f>IF(OR(K441="",L441=""),"",L441-K441)</x:f>
      </x:c>
      <x:c r="N441" s="46" t="str">
        <x:f>IF(OR(K441="",A440&lt;&gt;A441,K440=""),"",K441-K440)</x:f>
      </x:c>
      <x:c r="O441" s="42" t="str">
        <x:v>Sem informação</x:v>
      </x:c>
      <x:c r="P441" s="42"/>
      <x:c r="Q441" s="42" t="str"/>
      <x:c r="R441" s="42" t="str"/>
      <x:c r="S441" s="42" t="str"/>
      <x:c r="T441" s="42" t="str"/>
    </x:row>
    <x:row r="442">
      <x:c r="A442" s="42" t="str">
        <x:v>Kaiki Bruno</x:v>
      </x:c>
      <x:c r="B442" s="42" t="n">
        <x:v>2026</x:v>
      </x:c>
      <x:c r="C442" s="42" t="str">
        <x:v>T1</x:v>
      </x:c>
      <x:c r="D442" s="44" t="n">
        <x:v>46112</x:v>
      </x:c>
      <x:c r="E442" s="42" t="str">
        <x:v>Lateral-esquerdo</x:v>
      </x:c>
      <x:c r="F442" s="42" t="str">
        <x:v>Como 1907</x:v>
      </x:c>
      <x:c r="G442" s="46"/>
      <x:c r="H442" s="46"/>
      <x:c r="I442" s="46"/>
      <x:c r="J442" s="46"/>
      <x:c r="K442" s="46" t="str">
        <x:f>IF(COUNT(G442,I442)=0,"",AVERAGE(G442,I442))</x:f>
      </x:c>
      <x:c r="L442" s="46" t="str">
        <x:f>IF(COUNT(H442,J442)=0,"",AVERAGE(H442,J442))</x:f>
      </x:c>
      <x:c r="M442" s="46" t="str">
        <x:f>IF(OR(K442="",L442=""),"",L442-K442)</x:f>
      </x:c>
      <x:c r="N442" s="46" t="str">
        <x:f>IF(OR(K442="",A441&lt;&gt;A442,K441=""),"",K442-K441)</x:f>
      </x:c>
      <x:c r="O442" s="42" t="str">
        <x:v>Sem informação</x:v>
      </x:c>
      <x:c r="P442" s="42"/>
      <x:c r="Q442" s="42" t="str"/>
      <x:c r="R442" s="42" t="str"/>
      <x:c r="S442" s="42" t="str"/>
      <x:c r="T442" s="42" t="str"/>
    </x:row>
    <x:row r="443">
      <x:c r="A443" s="42" t="str">
        <x:v>Kaiki Bruno</x:v>
      </x:c>
      <x:c r="B443" s="42" t="n">
        <x:v>2026</x:v>
      </x:c>
      <x:c r="C443" s="42" t="str">
        <x:v>T2</x:v>
      </x:c>
      <x:c r="D443" s="44" t="n">
        <x:v>46203</x:v>
      </x:c>
      <x:c r="E443" s="42" t="str">
        <x:v>Lateral-esquerdo</x:v>
      </x:c>
      <x:c r="F443" s="42" t="str">
        <x:v>Cruzeiro</x:v>
      </x:c>
      <x:c r="G443" s="46" t="n">
        <x:v>6.5</x:v>
      </x:c>
      <x:c r="H443" s="46" t="n">
        <x:v>8</x:v>
      </x:c>
      <x:c r="I443" s="46" t="n">
        <x:v>7.5</x:v>
      </x:c>
      <x:c r="J443" s="46" t="n">
        <x:v>8</x:v>
      </x:c>
      <x:c r="K443" s="46" t="n">
        <x:f>IF(COUNT(G443,I443)=0,"",AVERAGE(G443,I443))</x:f>
        <x:v>7</x:v>
      </x:c>
      <x:c r="L443" s="46" t="n">
        <x:f>IF(COUNT(H443,J443)=0,"",AVERAGE(H443,J443))</x:f>
        <x:v>8</x:v>
      </x:c>
      <x:c r="M443" s="46" t="n">
        <x:f>IF(OR(K443="",L443=""),"",L443-K443)</x:f>
        <x:v>1</x:v>
      </x:c>
      <x:c r="N443" s="46" t="str">
        <x:f>IF(OR(K443="",A442&lt;&gt;A443,K442=""),"",K443-K442)</x:f>
      </x:c>
      <x:c r="O443" s="42" t="str">
        <x:v>Sem informação</x:v>
      </x:c>
      <x:c r="P443" s="42"/>
      <x:c r="Q443" s="42" t="str"/>
      <x:c r="R443" s="42" t="str"/>
      <x:c r="S443" s="42" t="str"/>
      <x:c r="T443" s="42" t="str"/>
    </x:row>
    <x:row r="444">
      <x:c r="A444" s="42" t="str">
        <x:v>Kaiki Bruno</x:v>
      </x:c>
      <x:c r="B444" s="42" t="n">
        <x:v>2026</x:v>
      </x:c>
      <x:c r="C444" s="42" t="str">
        <x:v>T3</x:v>
      </x:c>
      <x:c r="D444" s="44" t="n">
        <x:v>46295</x:v>
      </x:c>
      <x:c r="E444" s="42" t="str">
        <x:v>Lateral-esquerdo</x:v>
      </x:c>
      <x:c r="F444" s="42" t="str">
        <x:v>Como 1907</x:v>
      </x:c>
      <x:c r="G444" s="46"/>
      <x:c r="H444" s="46"/>
      <x:c r="I444" s="46"/>
      <x:c r="J444" s="46"/>
      <x:c r="K444" s="46" t="str">
        <x:f>IF(COUNT(G444,I444)=0,"",AVERAGE(G444,I444))</x:f>
      </x:c>
      <x:c r="L444" s="46" t="str">
        <x:f>IF(COUNT(H444,J444)=0,"",AVERAGE(H444,J444))</x:f>
      </x:c>
      <x:c r="M444" s="46" t="str">
        <x:f>IF(OR(K444="",L444=""),"",L444-K444)</x:f>
      </x:c>
      <x:c r="N444" s="46" t="str">
        <x:f>IF(OR(K444="",A443&lt;&gt;A444,K443=""),"",K444-K443)</x:f>
      </x:c>
      <x:c r="O444" s="42" t="str">
        <x:v>Sem informação</x:v>
      </x:c>
      <x:c r="P444" s="42"/>
      <x:c r="Q444" s="42" t="str"/>
      <x:c r="R444" s="42" t="str"/>
      <x:c r="S444" s="42" t="str"/>
      <x:c r="T444" s="42" t="str"/>
    </x:row>
    <x:row r="445">
      <x:c r="A445" s="42" t="str">
        <x:v>Kaiki Bruno</x:v>
      </x:c>
      <x:c r="B445" s="42" t="n">
        <x:v>2026</x:v>
      </x:c>
      <x:c r="C445" s="42" t="str">
        <x:v>T4</x:v>
      </x:c>
      <x:c r="D445" s="44" t="n">
        <x:v>46387</x:v>
      </x:c>
      <x:c r="E445" s="42" t="str">
        <x:v>Lateral-esquerdo</x:v>
      </x:c>
      <x:c r="F445" s="42" t="str">
        <x:v>Como 1907</x:v>
      </x:c>
      <x:c r="G445" s="46"/>
      <x:c r="H445" s="46"/>
      <x:c r="I445" s="46"/>
      <x:c r="J445" s="46"/>
      <x:c r="K445" s="46" t="str">
        <x:f>IF(COUNT(G445,I445)=0,"",AVERAGE(G445,I445))</x:f>
      </x:c>
      <x:c r="L445" s="46" t="str">
        <x:f>IF(COUNT(H445,J445)=0,"",AVERAGE(H445,J445))</x:f>
      </x:c>
      <x:c r="M445" s="46" t="str">
        <x:f>IF(OR(K445="",L445=""),"",L445-K445)</x:f>
      </x:c>
      <x:c r="N445" s="46" t="str">
        <x:f>IF(OR(K445="",A444&lt;&gt;A445,K444=""),"",K445-K444)</x:f>
      </x:c>
      <x:c r="O445" s="42" t="str">
        <x:v>Sem informação</x:v>
      </x:c>
      <x:c r="P445" s="42"/>
      <x:c r="Q445" s="42" t="str"/>
      <x:c r="R445" s="42" t="str"/>
      <x:c r="S445" s="42" t="str"/>
      <x:c r="T445" s="42" t="str"/>
    </x:row>
    <x:row r="446">
      <x:c r="A446" s="42" t="str">
        <x:v>Kaiki Bruno</x:v>
      </x:c>
      <x:c r="B446" s="42" t="n">
        <x:v>2027</x:v>
      </x:c>
      <x:c r="C446" s="42" t="str">
        <x:v>T1</x:v>
      </x:c>
      <x:c r="D446" s="44" t="n">
        <x:v>46477</x:v>
      </x:c>
      <x:c r="E446" s="42" t="str">
        <x:v>Lateral-esquerdo</x:v>
      </x:c>
      <x:c r="F446" s="42" t="str">
        <x:v>Como 1907</x:v>
      </x:c>
      <x:c r="G446" s="46"/>
      <x:c r="H446" s="46"/>
      <x:c r="I446" s="46"/>
      <x:c r="J446" s="46"/>
      <x:c r="K446" s="46" t="str">
        <x:f>IF(COUNT(G446,I446)=0,"",AVERAGE(G446,I446))</x:f>
      </x:c>
      <x:c r="L446" s="46" t="str">
        <x:f>IF(COUNT(H446,J446)=0,"",AVERAGE(H446,J446))</x:f>
      </x:c>
      <x:c r="M446" s="46" t="str">
        <x:f>IF(OR(K446="",L446=""),"",L446-K446)</x:f>
      </x:c>
      <x:c r="N446" s="46" t="str">
        <x:f>IF(OR(K446="",A445&lt;&gt;A446,K445=""),"",K446-K445)</x:f>
      </x:c>
      <x:c r="O446" s="42" t="str">
        <x:v>Sem informação</x:v>
      </x:c>
      <x:c r="P446" s="42"/>
      <x:c r="Q446" s="42" t="str"/>
      <x:c r="R446" s="42" t="str"/>
      <x:c r="S446" s="42" t="str"/>
      <x:c r="T446" s="42" t="str"/>
    </x:row>
    <x:row r="447">
      <x:c r="A447" s="42" t="str">
        <x:v>Kaiki Bruno</x:v>
      </x:c>
      <x:c r="B447" s="42" t="n">
        <x:v>2027</x:v>
      </x:c>
      <x:c r="C447" s="42" t="str">
        <x:v>T2</x:v>
      </x:c>
      <x:c r="D447" s="44" t="n">
        <x:v>46568</x:v>
      </x:c>
      <x:c r="E447" s="42" t="str">
        <x:v>Lateral-esquerdo</x:v>
      </x:c>
      <x:c r="F447" s="42" t="str">
        <x:v>Como 1907</x:v>
      </x:c>
      <x:c r="G447" s="46"/>
      <x:c r="H447" s="46"/>
      <x:c r="I447" s="46"/>
      <x:c r="J447" s="46"/>
      <x:c r="K447" s="46" t="str">
        <x:f>IF(COUNT(G447,I447)=0,"",AVERAGE(G447,I447))</x:f>
      </x:c>
      <x:c r="L447" s="46" t="str">
        <x:f>IF(COUNT(H447,J447)=0,"",AVERAGE(H447,J447))</x:f>
      </x:c>
      <x:c r="M447" s="46" t="str">
        <x:f>IF(OR(K447="",L447=""),"",L447-K447)</x:f>
      </x:c>
      <x:c r="N447" s="46" t="str">
        <x:f>IF(OR(K447="",A446&lt;&gt;A447,K446=""),"",K447-K446)</x:f>
      </x:c>
      <x:c r="O447" s="42" t="str">
        <x:v>Sem informação</x:v>
      </x:c>
      <x:c r="P447" s="42"/>
      <x:c r="Q447" s="42" t="str"/>
      <x:c r="R447" s="42" t="str"/>
      <x:c r="S447" s="42" t="str"/>
      <x:c r="T447" s="42" t="str"/>
    </x:row>
    <x:row r="448">
      <x:c r="A448" s="42" t="str">
        <x:v>Kaiki Bruno</x:v>
      </x:c>
      <x:c r="B448" s="42" t="n">
        <x:v>2027</x:v>
      </x:c>
      <x:c r="C448" s="42" t="str">
        <x:v>T3</x:v>
      </x:c>
      <x:c r="D448" s="44" t="n">
        <x:v>46660</x:v>
      </x:c>
      <x:c r="E448" s="42" t="str">
        <x:v>Lateral-esquerdo</x:v>
      </x:c>
      <x:c r="F448" s="42" t="str">
        <x:v>Como 1907</x:v>
      </x:c>
      <x:c r="G448" s="46"/>
      <x:c r="H448" s="46"/>
      <x:c r="I448" s="46"/>
      <x:c r="J448" s="46"/>
      <x:c r="K448" s="46" t="str">
        <x:f>IF(COUNT(G448,I448)=0,"",AVERAGE(G448,I448))</x:f>
      </x:c>
      <x:c r="L448" s="46" t="str">
        <x:f>IF(COUNT(H448,J448)=0,"",AVERAGE(H448,J448))</x:f>
      </x:c>
      <x:c r="M448" s="46" t="str">
        <x:f>IF(OR(K448="",L448=""),"",L448-K448)</x:f>
      </x:c>
      <x:c r="N448" s="46" t="str">
        <x:f>IF(OR(K448="",A447&lt;&gt;A448,K447=""),"",K448-K447)</x:f>
      </x:c>
      <x:c r="O448" s="42" t="str">
        <x:v>Sem informação</x:v>
      </x:c>
      <x:c r="P448" s="42"/>
      <x:c r="Q448" s="42" t="str"/>
      <x:c r="R448" s="42" t="str"/>
      <x:c r="S448" s="42" t="str"/>
      <x:c r="T448" s="42" t="str"/>
    </x:row>
    <x:row r="449">
      <x:c r="A449" s="42" t="str">
        <x:v>Kaiki Bruno</x:v>
      </x:c>
      <x:c r="B449" s="42" t="n">
        <x:v>2027</x:v>
      </x:c>
      <x:c r="C449" s="42" t="str">
        <x:v>T4</x:v>
      </x:c>
      <x:c r="D449" s="44" t="n">
        <x:v>46752</x:v>
      </x:c>
      <x:c r="E449" s="42" t="str">
        <x:v>Lateral-esquerdo</x:v>
      </x:c>
      <x:c r="F449" s="42" t="str">
        <x:v>Como 1907</x:v>
      </x:c>
      <x:c r="G449" s="46"/>
      <x:c r="H449" s="46"/>
      <x:c r="I449" s="46"/>
      <x:c r="J449" s="46"/>
      <x:c r="K449" s="46" t="str">
        <x:f>IF(COUNT(G449,I449)=0,"",AVERAGE(G449,I449))</x:f>
      </x:c>
      <x:c r="L449" s="46" t="str">
        <x:f>IF(COUNT(H449,J449)=0,"",AVERAGE(H449,J449))</x:f>
      </x:c>
      <x:c r="M449" s="46" t="str">
        <x:f>IF(OR(K449="",L449=""),"",L449-K449)</x:f>
      </x:c>
      <x:c r="N449" s="46" t="str">
        <x:f>IF(OR(K449="",A448&lt;&gt;A449,K448=""),"",K449-K448)</x:f>
      </x:c>
      <x:c r="O449" s="42" t="str">
        <x:v>Sem informação</x:v>
      </x:c>
      <x:c r="P449" s="42"/>
      <x:c r="Q449" s="42" t="str"/>
      <x:c r="R449" s="42" t="str"/>
      <x:c r="S449" s="42" t="str"/>
      <x:c r="T449" s="42" t="str"/>
    </x:row>
    <x:row r="450">
      <x:c r="A450" s="42" t="str">
        <x:v>Kaiki Bruno</x:v>
      </x:c>
      <x:c r="B450" s="42" t="n">
        <x:v>2028</x:v>
      </x:c>
      <x:c r="C450" s="42" t="str">
        <x:v>T1</x:v>
      </x:c>
      <x:c r="D450" s="44" t="n">
        <x:v>46843</x:v>
      </x:c>
      <x:c r="E450" s="42" t="str">
        <x:v>Lateral-esquerdo</x:v>
      </x:c>
      <x:c r="F450" s="42" t="str">
        <x:v>Como 1907</x:v>
      </x:c>
      <x:c r="G450" s="46"/>
      <x:c r="H450" s="46"/>
      <x:c r="I450" s="46"/>
      <x:c r="J450" s="46"/>
      <x:c r="K450" s="46" t="str">
        <x:f>IF(COUNT(G450,I450)=0,"",AVERAGE(G450,I450))</x:f>
      </x:c>
      <x:c r="L450" s="46" t="str">
        <x:f>IF(COUNT(H450,J450)=0,"",AVERAGE(H450,J450))</x:f>
      </x:c>
      <x:c r="M450" s="46" t="str">
        <x:f>IF(OR(K450="",L450=""),"",L450-K450)</x:f>
      </x:c>
      <x:c r="N450" s="46" t="str">
        <x:f>IF(OR(K450="",A449&lt;&gt;A450,K449=""),"",K450-K449)</x:f>
      </x:c>
      <x:c r="O450" s="42" t="str">
        <x:v>Sem informação</x:v>
      </x:c>
      <x:c r="P450" s="42"/>
      <x:c r="Q450" s="42" t="str"/>
      <x:c r="R450" s="42" t="str"/>
      <x:c r="S450" s="42" t="str"/>
      <x:c r="T450" s="42" t="str"/>
    </x:row>
    <x:row r="451">
      <x:c r="A451" s="42" t="str">
        <x:v>Kaiki Bruno</x:v>
      </x:c>
      <x:c r="B451" s="42" t="n">
        <x:v>2028</x:v>
      </x:c>
      <x:c r="C451" s="42" t="str">
        <x:v>T2</x:v>
      </x:c>
      <x:c r="D451" s="44" t="n">
        <x:v>46934</x:v>
      </x:c>
      <x:c r="E451" s="42" t="str">
        <x:v>Lateral-esquerdo</x:v>
      </x:c>
      <x:c r="F451" s="42" t="str">
        <x:v>Como 1907</x:v>
      </x:c>
      <x:c r="G451" s="46"/>
      <x:c r="H451" s="46"/>
      <x:c r="I451" s="46"/>
      <x:c r="J451" s="46"/>
      <x:c r="K451" s="46" t="str">
        <x:f>IF(COUNT(G451,I451)=0,"",AVERAGE(G451,I451))</x:f>
      </x:c>
      <x:c r="L451" s="46" t="str">
        <x:f>IF(COUNT(H451,J451)=0,"",AVERAGE(H451,J451))</x:f>
      </x:c>
      <x:c r="M451" s="46" t="str">
        <x:f>IF(OR(K451="",L451=""),"",L451-K451)</x:f>
      </x:c>
      <x:c r="N451" s="46" t="str">
        <x:f>IF(OR(K451="",A450&lt;&gt;A451,K450=""),"",K451-K450)</x:f>
      </x:c>
      <x:c r="O451" s="42" t="str">
        <x:v>Sem informação</x:v>
      </x:c>
      <x:c r="P451" s="42"/>
      <x:c r="Q451" s="42" t="str"/>
      <x:c r="R451" s="42" t="str"/>
      <x:c r="S451" s="42" t="str"/>
      <x:c r="T451" s="42" t="str"/>
    </x:row>
    <x:row r="452">
      <x:c r="A452" s="42" t="str">
        <x:v>Kaiki Bruno</x:v>
      </x:c>
      <x:c r="B452" s="42" t="n">
        <x:v>2028</x:v>
      </x:c>
      <x:c r="C452" s="42" t="str">
        <x:v>T3</x:v>
      </x:c>
      <x:c r="D452" s="44" t="n">
        <x:v>47026</x:v>
      </x:c>
      <x:c r="E452" s="42" t="str">
        <x:v>Lateral-esquerdo</x:v>
      </x:c>
      <x:c r="F452" s="42" t="str">
        <x:v>Como 1907</x:v>
      </x:c>
      <x:c r="G452" s="46"/>
      <x:c r="H452" s="46"/>
      <x:c r="I452" s="46"/>
      <x:c r="J452" s="46"/>
      <x:c r="K452" s="46" t="str">
        <x:f>IF(COUNT(G452,I452)=0,"",AVERAGE(G452,I452))</x:f>
      </x:c>
      <x:c r="L452" s="46" t="str">
        <x:f>IF(COUNT(H452,J452)=0,"",AVERAGE(H452,J452))</x:f>
      </x:c>
      <x:c r="M452" s="46" t="str">
        <x:f>IF(OR(K452="",L452=""),"",L452-K452)</x:f>
      </x:c>
      <x:c r="N452" s="46" t="str">
        <x:f>IF(OR(K452="",A451&lt;&gt;A452,K451=""),"",K452-K451)</x:f>
      </x:c>
      <x:c r="O452" s="42" t="str">
        <x:v>Sem informação</x:v>
      </x:c>
      <x:c r="P452" s="42"/>
      <x:c r="Q452" s="42" t="str"/>
      <x:c r="R452" s="42" t="str"/>
      <x:c r="S452" s="42" t="str"/>
      <x:c r="T452" s="42" t="str"/>
    </x:row>
    <x:row r="453">
      <x:c r="A453" s="42" t="str">
        <x:v>Kaiki Bruno</x:v>
      </x:c>
      <x:c r="B453" s="42" t="n">
        <x:v>2028</x:v>
      </x:c>
      <x:c r="C453" s="42" t="str">
        <x:v>T4</x:v>
      </x:c>
      <x:c r="D453" s="44" t="n">
        <x:v>47118</x:v>
      </x:c>
      <x:c r="E453" s="42" t="str">
        <x:v>Lateral-esquerdo</x:v>
      </x:c>
      <x:c r="F453" s="42" t="str">
        <x:v>Como 1907</x:v>
      </x:c>
      <x:c r="G453" s="46"/>
      <x:c r="H453" s="46"/>
      <x:c r="I453" s="46"/>
      <x:c r="J453" s="46"/>
      <x:c r="K453" s="46" t="str">
        <x:f>IF(COUNT(G453,I453)=0,"",AVERAGE(G453,I453))</x:f>
      </x:c>
      <x:c r="L453" s="46" t="str">
        <x:f>IF(COUNT(H453,J453)=0,"",AVERAGE(H453,J453))</x:f>
      </x:c>
      <x:c r="M453" s="46" t="str">
        <x:f>IF(OR(K453="",L453=""),"",L453-K453)</x:f>
      </x:c>
      <x:c r="N453" s="46" t="str">
        <x:f>IF(OR(K453="",A452&lt;&gt;A453,K452=""),"",K453-K452)</x:f>
      </x:c>
      <x:c r="O453" s="42" t="str">
        <x:v>Sem informação</x:v>
      </x:c>
      <x:c r="P453" s="42"/>
      <x:c r="Q453" s="42" t="str"/>
      <x:c r="R453" s="42" t="str"/>
      <x:c r="S453" s="42" t="str"/>
      <x:c r="T453" s="42" t="str"/>
    </x:row>
    <x:row r="454">
      <x:c r="A454" s="42" t="str">
        <x:v>Kaiki Bruno</x:v>
      </x:c>
      <x:c r="B454" s="42" t="n">
        <x:v>2029</x:v>
      </x:c>
      <x:c r="C454" s="42" t="str">
        <x:v>T1</x:v>
      </x:c>
      <x:c r="D454" s="44" t="n">
        <x:v>47208</x:v>
      </x:c>
      <x:c r="E454" s="42" t="str">
        <x:v>Lateral-esquerdo</x:v>
      </x:c>
      <x:c r="F454" s="42" t="str">
        <x:v>Como 1907</x:v>
      </x:c>
      <x:c r="G454" s="46"/>
      <x:c r="H454" s="46"/>
      <x:c r="I454" s="46"/>
      <x:c r="J454" s="46"/>
      <x:c r="K454" s="46" t="str">
        <x:f>IF(COUNT(G454,I454)=0,"",AVERAGE(G454,I454))</x:f>
      </x:c>
      <x:c r="L454" s="46" t="str">
        <x:f>IF(COUNT(H454,J454)=0,"",AVERAGE(H454,J454))</x:f>
      </x:c>
      <x:c r="M454" s="46" t="str">
        <x:f>IF(OR(K454="",L454=""),"",L454-K454)</x:f>
      </x:c>
      <x:c r="N454" s="46" t="str">
        <x:f>IF(OR(K454="",A453&lt;&gt;A454,K453=""),"",K454-K453)</x:f>
      </x:c>
      <x:c r="O454" s="42" t="str">
        <x:v>Sem informação</x:v>
      </x:c>
      <x:c r="P454" s="42"/>
      <x:c r="Q454" s="42" t="str"/>
      <x:c r="R454" s="42" t="str"/>
      <x:c r="S454" s="42" t="str"/>
      <x:c r="T454" s="42" t="str"/>
    </x:row>
    <x:row r="455">
      <x:c r="A455" s="42" t="str">
        <x:v>Kaiki Bruno</x:v>
      </x:c>
      <x:c r="B455" s="42" t="n">
        <x:v>2029</x:v>
      </x:c>
      <x:c r="C455" s="42" t="str">
        <x:v>T2</x:v>
      </x:c>
      <x:c r="D455" s="44" t="n">
        <x:v>47299</x:v>
      </x:c>
      <x:c r="E455" s="42" t="str">
        <x:v>Lateral-esquerdo</x:v>
      </x:c>
      <x:c r="F455" s="42" t="str">
        <x:v>Como 1907</x:v>
      </x:c>
      <x:c r="G455" s="46"/>
      <x:c r="H455" s="46"/>
      <x:c r="I455" s="46"/>
      <x:c r="J455" s="46"/>
      <x:c r="K455" s="46" t="str">
        <x:f>IF(COUNT(G455,I455)=0,"",AVERAGE(G455,I455))</x:f>
      </x:c>
      <x:c r="L455" s="46" t="str">
        <x:f>IF(COUNT(H455,J455)=0,"",AVERAGE(H455,J455))</x:f>
      </x:c>
      <x:c r="M455" s="46" t="str">
        <x:f>IF(OR(K455="",L455=""),"",L455-K455)</x:f>
      </x:c>
      <x:c r="N455" s="46" t="str">
        <x:f>IF(OR(K455="",A454&lt;&gt;A455,K454=""),"",K455-K454)</x:f>
      </x:c>
      <x:c r="O455" s="42" t="str">
        <x:v>Sem informação</x:v>
      </x:c>
      <x:c r="P455" s="42"/>
      <x:c r="Q455" s="42" t="str"/>
      <x:c r="R455" s="42" t="str"/>
      <x:c r="S455" s="42" t="str"/>
      <x:c r="T455" s="42" t="str"/>
    </x:row>
    <x:row r="456">
      <x:c r="A456" s="42" t="str">
        <x:v>Kaiki Bruno</x:v>
      </x:c>
      <x:c r="B456" s="42" t="n">
        <x:v>2029</x:v>
      </x:c>
      <x:c r="C456" s="42" t="str">
        <x:v>T3</x:v>
      </x:c>
      <x:c r="D456" s="44" t="n">
        <x:v>47391</x:v>
      </x:c>
      <x:c r="E456" s="42" t="str">
        <x:v>Lateral-esquerdo</x:v>
      </x:c>
      <x:c r="F456" s="42" t="str">
        <x:v>Como 1907</x:v>
      </x:c>
      <x:c r="G456" s="46"/>
      <x:c r="H456" s="46"/>
      <x:c r="I456" s="46"/>
      <x:c r="J456" s="46"/>
      <x:c r="K456" s="46" t="str">
        <x:f>IF(COUNT(G456,I456)=0,"",AVERAGE(G456,I456))</x:f>
      </x:c>
      <x:c r="L456" s="46" t="str">
        <x:f>IF(COUNT(H456,J456)=0,"",AVERAGE(H456,J456))</x:f>
      </x:c>
      <x:c r="M456" s="46" t="str">
        <x:f>IF(OR(K456="",L456=""),"",L456-K456)</x:f>
      </x:c>
      <x:c r="N456" s="46" t="str">
        <x:f>IF(OR(K456="",A455&lt;&gt;A456,K455=""),"",K456-K455)</x:f>
      </x:c>
      <x:c r="O456" s="42" t="str">
        <x:v>Sem informação</x:v>
      </x:c>
      <x:c r="P456" s="42"/>
      <x:c r="Q456" s="42" t="str"/>
      <x:c r="R456" s="42" t="str"/>
      <x:c r="S456" s="42" t="str"/>
      <x:c r="T456" s="42" t="str"/>
    </x:row>
    <x:row r="457">
      <x:c r="A457" s="42" t="str">
        <x:v>Kaiki Bruno</x:v>
      </x:c>
      <x:c r="B457" s="42" t="n">
        <x:v>2029</x:v>
      </x:c>
      <x:c r="C457" s="42" t="str">
        <x:v>T4</x:v>
      </x:c>
      <x:c r="D457" s="44" t="n">
        <x:v>47483</x:v>
      </x:c>
      <x:c r="E457" s="42" t="str">
        <x:v>Lateral-esquerdo</x:v>
      </x:c>
      <x:c r="F457" s="42" t="str">
        <x:v>Como 1907</x:v>
      </x:c>
      <x:c r="G457" s="46"/>
      <x:c r="H457" s="46"/>
      <x:c r="I457" s="46"/>
      <x:c r="J457" s="46"/>
      <x:c r="K457" s="46" t="str">
        <x:f>IF(COUNT(G457,I457)=0,"",AVERAGE(G457,I457))</x:f>
      </x:c>
      <x:c r="L457" s="46" t="str">
        <x:f>IF(COUNT(H457,J457)=0,"",AVERAGE(H457,J457))</x:f>
      </x:c>
      <x:c r="M457" s="46" t="str">
        <x:f>IF(OR(K457="",L457=""),"",L457-K457)</x:f>
      </x:c>
      <x:c r="N457" s="46" t="str">
        <x:f>IF(OR(K457="",A456&lt;&gt;A457,K456=""),"",K457-K456)</x:f>
      </x:c>
      <x:c r="O457" s="42" t="str">
        <x:v>Sem informação</x:v>
      </x:c>
      <x:c r="P457" s="42"/>
      <x:c r="Q457" s="42" t="str"/>
      <x:c r="R457" s="42" t="str"/>
      <x:c r="S457" s="42" t="str"/>
      <x:c r="T457" s="42" t="str"/>
    </x:row>
    <x:row r="458">
      <x:c r="A458" s="42" t="str">
        <x:v>Kaiki Bruno</x:v>
      </x:c>
      <x:c r="B458" s="42" t="n">
        <x:v>2030</x:v>
      </x:c>
      <x:c r="C458" s="42" t="str">
        <x:v>T1</x:v>
      </x:c>
      <x:c r="D458" s="44" t="n">
        <x:v>47573</x:v>
      </x:c>
      <x:c r="E458" s="42" t="str">
        <x:v>Lateral-esquerdo</x:v>
      </x:c>
      <x:c r="F458" s="42" t="str">
        <x:v>Como 1907</x:v>
      </x:c>
      <x:c r="G458" s="46"/>
      <x:c r="H458" s="46"/>
      <x:c r="I458" s="46"/>
      <x:c r="J458" s="46"/>
      <x:c r="K458" s="46" t="str">
        <x:f>IF(COUNT(G458,I458)=0,"",AVERAGE(G458,I458))</x:f>
      </x:c>
      <x:c r="L458" s="46" t="str">
        <x:f>IF(COUNT(H458,J458)=0,"",AVERAGE(H458,J458))</x:f>
      </x:c>
      <x:c r="M458" s="46" t="str">
        <x:f>IF(OR(K458="",L458=""),"",L458-K458)</x:f>
      </x:c>
      <x:c r="N458" s="46" t="str">
        <x:f>IF(OR(K458="",A457&lt;&gt;A458,K457=""),"",K458-K457)</x:f>
      </x:c>
      <x:c r="O458" s="42" t="str">
        <x:v>Sem informação</x:v>
      </x:c>
      <x:c r="P458" s="42"/>
      <x:c r="Q458" s="42" t="str"/>
      <x:c r="R458" s="42" t="str"/>
      <x:c r="S458" s="42" t="str"/>
      <x:c r="T458" s="42" t="str"/>
    </x:row>
    <x:row r="459">
      <x:c r="A459" s="42" t="str">
        <x:v>Kaiki Bruno</x:v>
      </x:c>
      <x:c r="B459" s="42" t="n">
        <x:v>2030</x:v>
      </x:c>
      <x:c r="C459" s="42" t="str">
        <x:v>T2</x:v>
      </x:c>
      <x:c r="D459" s="44" t="n">
        <x:v>47664</x:v>
      </x:c>
      <x:c r="E459" s="42" t="str">
        <x:v>Lateral-esquerdo</x:v>
      </x:c>
      <x:c r="F459" s="42" t="str">
        <x:v>Como 1907</x:v>
      </x:c>
      <x:c r="G459" s="46"/>
      <x:c r="H459" s="46"/>
      <x:c r="I459" s="46"/>
      <x:c r="J459" s="46"/>
      <x:c r="K459" s="46" t="str">
        <x:f>IF(COUNT(G459,I459)=0,"",AVERAGE(G459,I459))</x:f>
      </x:c>
      <x:c r="L459" s="46" t="str">
        <x:f>IF(COUNT(H459,J459)=0,"",AVERAGE(H459,J459))</x:f>
      </x:c>
      <x:c r="M459" s="46" t="str">
        <x:f>IF(OR(K459="",L459=""),"",L459-K459)</x:f>
      </x:c>
      <x:c r="N459" s="46" t="str">
        <x:f>IF(OR(K459="",A458&lt;&gt;A459,K458=""),"",K459-K458)</x:f>
      </x:c>
      <x:c r="O459" s="42" t="str">
        <x:v>Sem informação</x:v>
      </x:c>
      <x:c r="P459" s="42"/>
      <x:c r="Q459" s="42" t="str"/>
      <x:c r="R459" s="42" t="str"/>
      <x:c r="S459" s="42" t="str"/>
      <x:c r="T459" s="42" t="str"/>
    </x:row>
    <x:row r="460">
      <x:c r="A460" s="42" t="str">
        <x:v>Kaiki Bruno</x:v>
      </x:c>
      <x:c r="B460" s="42" t="n">
        <x:v>2030</x:v>
      </x:c>
      <x:c r="C460" s="42" t="str">
        <x:v>T3</x:v>
      </x:c>
      <x:c r="D460" s="44" t="n">
        <x:v>47756</x:v>
      </x:c>
      <x:c r="E460" s="42" t="str">
        <x:v>Lateral-esquerdo</x:v>
      </x:c>
      <x:c r="F460" s="42" t="str">
        <x:v>Como 1907</x:v>
      </x:c>
      <x:c r="G460" s="46"/>
      <x:c r="H460" s="46"/>
      <x:c r="I460" s="46"/>
      <x:c r="J460" s="46"/>
      <x:c r="K460" s="46" t="str">
        <x:f>IF(COUNT(G460,I460)=0,"",AVERAGE(G460,I460))</x:f>
      </x:c>
      <x:c r="L460" s="46" t="str">
        <x:f>IF(COUNT(H460,J460)=0,"",AVERAGE(H460,J460))</x:f>
      </x:c>
      <x:c r="M460" s="46" t="str">
        <x:f>IF(OR(K460="",L460=""),"",L460-K460)</x:f>
      </x:c>
      <x:c r="N460" s="46" t="str">
        <x:f>IF(OR(K460="",A459&lt;&gt;A460,K459=""),"",K460-K459)</x:f>
      </x:c>
      <x:c r="O460" s="42" t="str">
        <x:v>Sem informação</x:v>
      </x:c>
      <x:c r="P460" s="42"/>
      <x:c r="Q460" s="42" t="str"/>
      <x:c r="R460" s="42" t="str"/>
      <x:c r="S460" s="42" t="str"/>
      <x:c r="T460" s="42" t="str"/>
    </x:row>
    <x:row r="461">
      <x:c r="A461" s="42" t="str">
        <x:v>Kaiki Bruno</x:v>
      </x:c>
      <x:c r="B461" s="42" t="n">
        <x:v>2030</x:v>
      </x:c>
      <x:c r="C461" s="42" t="str">
        <x:v>T4</x:v>
      </x:c>
      <x:c r="D461" s="44" t="n">
        <x:v>47848</x:v>
      </x:c>
      <x:c r="E461" s="42" t="str">
        <x:v>Lateral-esquerdo</x:v>
      </x:c>
      <x:c r="F461" s="42" t="str">
        <x:v>Como 1907</x:v>
      </x:c>
      <x:c r="G461" s="46"/>
      <x:c r="H461" s="46"/>
      <x:c r="I461" s="46"/>
      <x:c r="J461" s="46"/>
      <x:c r="K461" s="46" t="str">
        <x:f>IF(COUNT(G461,I461)=0,"",AVERAGE(G461,I461))</x:f>
      </x:c>
      <x:c r="L461" s="46" t="str">
        <x:f>IF(COUNT(H461,J461)=0,"",AVERAGE(H461,J461))</x:f>
      </x:c>
      <x:c r="M461" s="46" t="str">
        <x:f>IF(OR(K461="",L461=""),"",L461-K461)</x:f>
      </x:c>
      <x:c r="N461" s="46" t="str">
        <x:f>IF(OR(K461="",A460&lt;&gt;A461,K460=""),"",K461-K460)</x:f>
      </x:c>
      <x:c r="O461" s="42" t="str">
        <x:v>Sem informação</x:v>
      </x:c>
      <x:c r="P461" s="42"/>
      <x:c r="Q461" s="42" t="str"/>
      <x:c r="R461" s="42" t="str"/>
      <x:c r="S461" s="42" t="str"/>
      <x:c r="T461" s="42" t="str"/>
    </x:row>
    <x:row r="462">
      <x:c r="A462" s="42" t="str">
        <x:v>Kauã Elias</x:v>
      </x:c>
      <x:c r="B462" s="42" t="n">
        <x:v>2026</x:v>
      </x:c>
      <x:c r="C462" s="42" t="str">
        <x:v>T1</x:v>
      </x:c>
      <x:c r="D462" s="44" t="n">
        <x:v>46112</x:v>
      </x:c>
      <x:c r="E462" s="42" t="str">
        <x:v>Centroavante</x:v>
      </x:c>
      <x:c r="F462" s="42" t="str">
        <x:v>Shakhtar Donetsk</x:v>
      </x:c>
      <x:c r="G462" s="46"/>
      <x:c r="H462" s="46"/>
      <x:c r="I462" s="46"/>
      <x:c r="J462" s="46"/>
      <x:c r="K462" s="46" t="str">
        <x:f>IF(COUNT(G462,I462)=0,"",AVERAGE(G462,I462))</x:f>
      </x:c>
      <x:c r="L462" s="46" t="str">
        <x:f>IF(COUNT(H462,J462)=0,"",AVERAGE(H462,J462))</x:f>
      </x:c>
      <x:c r="M462" s="46" t="str">
        <x:f>IF(OR(K462="",L462=""),"",L462-K462)</x:f>
      </x:c>
      <x:c r="N462" s="46" t="str">
        <x:f>IF(OR(K462="",A461&lt;&gt;A462,K461=""),"",K462-K461)</x:f>
      </x:c>
      <x:c r="O462" s="42" t="str">
        <x:v>Sem informação</x:v>
      </x:c>
      <x:c r="P462" s="42"/>
      <x:c r="Q462" s="42" t="str"/>
      <x:c r="R462" s="42" t="str"/>
      <x:c r="S462" s="42" t="str"/>
      <x:c r="T462" s="42" t="str"/>
    </x:row>
    <x:row r="463">
      <x:c r="A463" s="42" t="str">
        <x:v>Kauã Elias</x:v>
      </x:c>
      <x:c r="B463" s="42" t="n">
        <x:v>2026</x:v>
      </x:c>
      <x:c r="C463" s="42" t="str">
        <x:v>T2</x:v>
      </x:c>
      <x:c r="D463" s="44" t="n">
        <x:v>46203</x:v>
      </x:c>
      <x:c r="E463" s="42" t="str">
        <x:v>Centroavante</x:v>
      </x:c>
      <x:c r="F463" s="42" t="str">
        <x:v>Shakhtar Donetsk</x:v>
      </x:c>
      <x:c r="G463" s="46"/>
      <x:c r="H463" s="46"/>
      <x:c r="I463" s="46"/>
      <x:c r="J463" s="46"/>
      <x:c r="K463" s="46" t="str">
        <x:f>IF(COUNT(G463,I463)=0,"",AVERAGE(G463,I463))</x:f>
      </x:c>
      <x:c r="L463" s="46" t="str">
        <x:f>IF(COUNT(H463,J463)=0,"",AVERAGE(H463,J463))</x:f>
      </x:c>
      <x:c r="M463" s="46" t="str">
        <x:f>IF(OR(K463="",L463=""),"",L463-K463)</x:f>
      </x:c>
      <x:c r="N463" s="46" t="str">
        <x:f>IF(OR(K463="",A462&lt;&gt;A463,K462=""),"",K463-K462)</x:f>
      </x:c>
      <x:c r="O463" s="42" t="str">
        <x:v>Sem informação</x:v>
      </x:c>
      <x:c r="P463" s="42"/>
      <x:c r="Q463" s="42" t="str"/>
      <x:c r="R463" s="42" t="str"/>
      <x:c r="S463" s="42" t="str"/>
      <x:c r="T463" s="42" t="str"/>
    </x:row>
    <x:row r="464">
      <x:c r="A464" s="42" t="str">
        <x:v>Kauã Elias</x:v>
      </x:c>
      <x:c r="B464" s="42" t="n">
        <x:v>2026</x:v>
      </x:c>
      <x:c r="C464" s="42" t="str">
        <x:v>T3</x:v>
      </x:c>
      <x:c r="D464" s="44" t="n">
        <x:v>46295</x:v>
      </x:c>
      <x:c r="E464" s="42" t="str">
        <x:v>Centroavante</x:v>
      </x:c>
      <x:c r="F464" s="42" t="str">
        <x:v>Shakhtar Donetsk</x:v>
      </x:c>
      <x:c r="G464" s="46"/>
      <x:c r="H464" s="46"/>
      <x:c r="I464" s="46"/>
      <x:c r="J464" s="46"/>
      <x:c r="K464" s="46" t="str">
        <x:f>IF(COUNT(G464,I464)=0,"",AVERAGE(G464,I464))</x:f>
      </x:c>
      <x:c r="L464" s="46" t="str">
        <x:f>IF(COUNT(H464,J464)=0,"",AVERAGE(H464,J464))</x:f>
      </x:c>
      <x:c r="M464" s="46" t="str">
        <x:f>IF(OR(K464="",L464=""),"",L464-K464)</x:f>
      </x:c>
      <x:c r="N464" s="46" t="str">
        <x:f>IF(OR(K464="",A463&lt;&gt;A464,K463=""),"",K464-K463)</x:f>
      </x:c>
      <x:c r="O464" s="42" t="str">
        <x:v>Sem informação</x:v>
      </x:c>
      <x:c r="P464" s="42"/>
      <x:c r="Q464" s="42" t="str"/>
      <x:c r="R464" s="42" t="str"/>
      <x:c r="S464" s="42" t="str"/>
      <x:c r="T464" s="42" t="str"/>
    </x:row>
    <x:row r="465">
      <x:c r="A465" s="42" t="str">
        <x:v>Kauã Elias</x:v>
      </x:c>
      <x:c r="B465" s="42" t="n">
        <x:v>2026</x:v>
      </x:c>
      <x:c r="C465" s="42" t="str">
        <x:v>T4</x:v>
      </x:c>
      <x:c r="D465" s="44" t="n">
        <x:v>46387</x:v>
      </x:c>
      <x:c r="E465" s="42" t="str">
        <x:v>Centroavante</x:v>
      </x:c>
      <x:c r="F465" s="42" t="str">
        <x:v>Shakhtar Donetsk</x:v>
      </x:c>
      <x:c r="G465" s="46"/>
      <x:c r="H465" s="46"/>
      <x:c r="I465" s="46"/>
      <x:c r="J465" s="46"/>
      <x:c r="K465" s="46" t="str">
        <x:f>IF(COUNT(G465,I465)=0,"",AVERAGE(G465,I465))</x:f>
      </x:c>
      <x:c r="L465" s="46" t="str">
        <x:f>IF(COUNT(H465,J465)=0,"",AVERAGE(H465,J465))</x:f>
      </x:c>
      <x:c r="M465" s="46" t="str">
        <x:f>IF(OR(K465="",L465=""),"",L465-K465)</x:f>
      </x:c>
      <x:c r="N465" s="46" t="str">
        <x:f>IF(OR(K465="",A464&lt;&gt;A465,K464=""),"",K465-K464)</x:f>
      </x:c>
      <x:c r="O465" s="42" t="str">
        <x:v>Sem informação</x:v>
      </x:c>
      <x:c r="P465" s="42"/>
      <x:c r="Q465" s="42" t="str"/>
      <x:c r="R465" s="42" t="str"/>
      <x:c r="S465" s="42" t="str"/>
      <x:c r="T465" s="42" t="str"/>
    </x:row>
    <x:row r="466">
      <x:c r="A466" s="42" t="str">
        <x:v>Kauã Elias</x:v>
      </x:c>
      <x:c r="B466" s="42" t="n">
        <x:v>2027</x:v>
      </x:c>
      <x:c r="C466" s="42" t="str">
        <x:v>T1</x:v>
      </x:c>
      <x:c r="D466" s="44" t="n">
        <x:v>46477</x:v>
      </x:c>
      <x:c r="E466" s="42" t="str">
        <x:v>Centroavante</x:v>
      </x:c>
      <x:c r="F466" s="42" t="str">
        <x:v>Shakhtar Donetsk</x:v>
      </x:c>
      <x:c r="G466" s="46"/>
      <x:c r="H466" s="46"/>
      <x:c r="I466" s="46"/>
      <x:c r="J466" s="46"/>
      <x:c r="K466" s="46" t="str">
        <x:f>IF(COUNT(G466,I466)=0,"",AVERAGE(G466,I466))</x:f>
      </x:c>
      <x:c r="L466" s="46" t="str">
        <x:f>IF(COUNT(H466,J466)=0,"",AVERAGE(H466,J466))</x:f>
      </x:c>
      <x:c r="M466" s="46" t="str">
        <x:f>IF(OR(K466="",L466=""),"",L466-K466)</x:f>
      </x:c>
      <x:c r="N466" s="46" t="str">
        <x:f>IF(OR(K466="",A465&lt;&gt;A466,K465=""),"",K466-K465)</x:f>
      </x:c>
      <x:c r="O466" s="42" t="str">
        <x:v>Sem informação</x:v>
      </x:c>
      <x:c r="P466" s="42"/>
      <x:c r="Q466" s="42" t="str"/>
      <x:c r="R466" s="42" t="str"/>
      <x:c r="S466" s="42" t="str"/>
      <x:c r="T466" s="42" t="str"/>
    </x:row>
    <x:row r="467">
      <x:c r="A467" s="42" t="str">
        <x:v>Kauã Elias</x:v>
      </x:c>
      <x:c r="B467" s="42" t="n">
        <x:v>2027</x:v>
      </x:c>
      <x:c r="C467" s="42" t="str">
        <x:v>T2</x:v>
      </x:c>
      <x:c r="D467" s="44" t="n">
        <x:v>46568</x:v>
      </x:c>
      <x:c r="E467" s="42" t="str">
        <x:v>Centroavante</x:v>
      </x:c>
      <x:c r="F467" s="42" t="str">
        <x:v>Shakhtar Donetsk</x:v>
      </x:c>
      <x:c r="G467" s="46"/>
      <x:c r="H467" s="46"/>
      <x:c r="I467" s="46"/>
      <x:c r="J467" s="46"/>
      <x:c r="K467" s="46" t="str">
        <x:f>IF(COUNT(G467,I467)=0,"",AVERAGE(G467,I467))</x:f>
      </x:c>
      <x:c r="L467" s="46" t="str">
        <x:f>IF(COUNT(H467,J467)=0,"",AVERAGE(H467,J467))</x:f>
      </x:c>
      <x:c r="M467" s="46" t="str">
        <x:f>IF(OR(K467="",L467=""),"",L467-K467)</x:f>
      </x:c>
      <x:c r="N467" s="46" t="str">
        <x:f>IF(OR(K467="",A466&lt;&gt;A467,K466=""),"",K467-K466)</x:f>
      </x:c>
      <x:c r="O467" s="42" t="str">
        <x:v>Sem informação</x:v>
      </x:c>
      <x:c r="P467" s="42"/>
      <x:c r="Q467" s="42" t="str"/>
      <x:c r="R467" s="42" t="str"/>
      <x:c r="S467" s="42" t="str"/>
      <x:c r="T467" s="42" t="str"/>
    </x:row>
    <x:row r="468">
      <x:c r="A468" s="42" t="str">
        <x:v>Kauã Elias</x:v>
      </x:c>
      <x:c r="B468" s="42" t="n">
        <x:v>2027</x:v>
      </x:c>
      <x:c r="C468" s="42" t="str">
        <x:v>T3</x:v>
      </x:c>
      <x:c r="D468" s="44" t="n">
        <x:v>46660</x:v>
      </x:c>
      <x:c r="E468" s="42" t="str">
        <x:v>Centroavante</x:v>
      </x:c>
      <x:c r="F468" s="42" t="str">
        <x:v>Shakhtar Donetsk</x:v>
      </x:c>
      <x:c r="G468" s="46"/>
      <x:c r="H468" s="46"/>
      <x:c r="I468" s="46"/>
      <x:c r="J468" s="46"/>
      <x:c r="K468" s="46" t="str">
        <x:f>IF(COUNT(G468,I468)=0,"",AVERAGE(G468,I468))</x:f>
      </x:c>
      <x:c r="L468" s="46" t="str">
        <x:f>IF(COUNT(H468,J468)=0,"",AVERAGE(H468,J468))</x:f>
      </x:c>
      <x:c r="M468" s="46" t="str">
        <x:f>IF(OR(K468="",L468=""),"",L468-K468)</x:f>
      </x:c>
      <x:c r="N468" s="46" t="str">
        <x:f>IF(OR(K468="",A467&lt;&gt;A468,K467=""),"",K468-K467)</x:f>
      </x:c>
      <x:c r="O468" s="42" t="str">
        <x:v>Sem informação</x:v>
      </x:c>
      <x:c r="P468" s="42"/>
      <x:c r="Q468" s="42" t="str"/>
      <x:c r="R468" s="42" t="str"/>
      <x:c r="S468" s="42" t="str"/>
      <x:c r="T468" s="42" t="str"/>
    </x:row>
    <x:row r="469">
      <x:c r="A469" s="42" t="str">
        <x:v>Kauã Elias</x:v>
      </x:c>
      <x:c r="B469" s="42" t="n">
        <x:v>2027</x:v>
      </x:c>
      <x:c r="C469" s="42" t="str">
        <x:v>T4</x:v>
      </x:c>
      <x:c r="D469" s="44" t="n">
        <x:v>46752</x:v>
      </x:c>
      <x:c r="E469" s="42" t="str">
        <x:v>Centroavante</x:v>
      </x:c>
      <x:c r="F469" s="42" t="str">
        <x:v>Shakhtar Donetsk</x:v>
      </x:c>
      <x:c r="G469" s="46"/>
      <x:c r="H469" s="46"/>
      <x:c r="I469" s="46"/>
      <x:c r="J469" s="46"/>
      <x:c r="K469" s="46" t="str">
        <x:f>IF(COUNT(G469,I469)=0,"",AVERAGE(G469,I469))</x:f>
      </x:c>
      <x:c r="L469" s="46" t="str">
        <x:f>IF(COUNT(H469,J469)=0,"",AVERAGE(H469,J469))</x:f>
      </x:c>
      <x:c r="M469" s="46" t="str">
        <x:f>IF(OR(K469="",L469=""),"",L469-K469)</x:f>
      </x:c>
      <x:c r="N469" s="46" t="str">
        <x:f>IF(OR(K469="",A468&lt;&gt;A469,K468=""),"",K469-K468)</x:f>
      </x:c>
      <x:c r="O469" s="42" t="str">
        <x:v>Sem informação</x:v>
      </x:c>
      <x:c r="P469" s="42"/>
      <x:c r="Q469" s="42" t="str"/>
      <x:c r="R469" s="42" t="str"/>
      <x:c r="S469" s="42" t="str"/>
      <x:c r="T469" s="42" t="str"/>
    </x:row>
    <x:row r="470">
      <x:c r="A470" s="42" t="str">
        <x:v>Kauã Elias</x:v>
      </x:c>
      <x:c r="B470" s="42" t="n">
        <x:v>2028</x:v>
      </x:c>
      <x:c r="C470" s="42" t="str">
        <x:v>T1</x:v>
      </x:c>
      <x:c r="D470" s="44" t="n">
        <x:v>46843</x:v>
      </x:c>
      <x:c r="E470" s="42" t="str">
        <x:v>Centroavante</x:v>
      </x:c>
      <x:c r="F470" s="42" t="str">
        <x:v>Shakhtar Donetsk</x:v>
      </x:c>
      <x:c r="G470" s="46"/>
      <x:c r="H470" s="46"/>
      <x:c r="I470" s="46"/>
      <x:c r="J470" s="46"/>
      <x:c r="K470" s="46" t="str">
        <x:f>IF(COUNT(G470,I470)=0,"",AVERAGE(G470,I470))</x:f>
      </x:c>
      <x:c r="L470" s="46" t="str">
        <x:f>IF(COUNT(H470,J470)=0,"",AVERAGE(H470,J470))</x:f>
      </x:c>
      <x:c r="M470" s="46" t="str">
        <x:f>IF(OR(K470="",L470=""),"",L470-K470)</x:f>
      </x:c>
      <x:c r="N470" s="46" t="str">
        <x:f>IF(OR(K470="",A469&lt;&gt;A470,K469=""),"",K470-K469)</x:f>
      </x:c>
      <x:c r="O470" s="42" t="str">
        <x:v>Sem informação</x:v>
      </x:c>
      <x:c r="P470" s="42"/>
      <x:c r="Q470" s="42" t="str"/>
      <x:c r="R470" s="42" t="str"/>
      <x:c r="S470" s="42" t="str"/>
      <x:c r="T470" s="42" t="str"/>
    </x:row>
    <x:row r="471">
      <x:c r="A471" s="42" t="str">
        <x:v>Kauã Elias</x:v>
      </x:c>
      <x:c r="B471" s="42" t="n">
        <x:v>2028</x:v>
      </x:c>
      <x:c r="C471" s="42" t="str">
        <x:v>T2</x:v>
      </x:c>
      <x:c r="D471" s="44" t="n">
        <x:v>46934</x:v>
      </x:c>
      <x:c r="E471" s="42" t="str">
        <x:v>Centroavante</x:v>
      </x:c>
      <x:c r="F471" s="42" t="str">
        <x:v>Shakhtar Donetsk</x:v>
      </x:c>
      <x:c r="G471" s="46"/>
      <x:c r="H471" s="46"/>
      <x:c r="I471" s="46"/>
      <x:c r="J471" s="46"/>
      <x:c r="K471" s="46" t="str">
        <x:f>IF(COUNT(G471,I471)=0,"",AVERAGE(G471,I471))</x:f>
      </x:c>
      <x:c r="L471" s="46" t="str">
        <x:f>IF(COUNT(H471,J471)=0,"",AVERAGE(H471,J471))</x:f>
      </x:c>
      <x:c r="M471" s="46" t="str">
        <x:f>IF(OR(K471="",L471=""),"",L471-K471)</x:f>
      </x:c>
      <x:c r="N471" s="46" t="str">
        <x:f>IF(OR(K471="",A470&lt;&gt;A471,K470=""),"",K471-K470)</x:f>
      </x:c>
      <x:c r="O471" s="42" t="str">
        <x:v>Sem informação</x:v>
      </x:c>
      <x:c r="P471" s="42"/>
      <x:c r="Q471" s="42" t="str"/>
      <x:c r="R471" s="42" t="str"/>
      <x:c r="S471" s="42" t="str"/>
      <x:c r="T471" s="42" t="str"/>
    </x:row>
    <x:row r="472">
      <x:c r="A472" s="42" t="str">
        <x:v>Kauã Elias</x:v>
      </x:c>
      <x:c r="B472" s="42" t="n">
        <x:v>2028</x:v>
      </x:c>
      <x:c r="C472" s="42" t="str">
        <x:v>T3</x:v>
      </x:c>
      <x:c r="D472" s="44" t="n">
        <x:v>47026</x:v>
      </x:c>
      <x:c r="E472" s="42" t="str">
        <x:v>Centroavante</x:v>
      </x:c>
      <x:c r="F472" s="42" t="str">
        <x:v>Shakhtar Donetsk</x:v>
      </x:c>
      <x:c r="G472" s="46"/>
      <x:c r="H472" s="46"/>
      <x:c r="I472" s="46"/>
      <x:c r="J472" s="46"/>
      <x:c r="K472" s="46" t="str">
        <x:f>IF(COUNT(G472,I472)=0,"",AVERAGE(G472,I472))</x:f>
      </x:c>
      <x:c r="L472" s="46" t="str">
        <x:f>IF(COUNT(H472,J472)=0,"",AVERAGE(H472,J472))</x:f>
      </x:c>
      <x:c r="M472" s="46" t="str">
        <x:f>IF(OR(K472="",L472=""),"",L472-K472)</x:f>
      </x:c>
      <x:c r="N472" s="46" t="str">
        <x:f>IF(OR(K472="",A471&lt;&gt;A472,K471=""),"",K472-K471)</x:f>
      </x:c>
      <x:c r="O472" s="42" t="str">
        <x:v>Sem informação</x:v>
      </x:c>
      <x:c r="P472" s="42"/>
      <x:c r="Q472" s="42" t="str"/>
      <x:c r="R472" s="42" t="str"/>
      <x:c r="S472" s="42" t="str"/>
      <x:c r="T472" s="42" t="str"/>
    </x:row>
    <x:row r="473">
      <x:c r="A473" s="42" t="str">
        <x:v>Kauã Elias</x:v>
      </x:c>
      <x:c r="B473" s="42" t="n">
        <x:v>2028</x:v>
      </x:c>
      <x:c r="C473" s="42" t="str">
        <x:v>T4</x:v>
      </x:c>
      <x:c r="D473" s="44" t="n">
        <x:v>47118</x:v>
      </x:c>
      <x:c r="E473" s="42" t="str">
        <x:v>Centroavante</x:v>
      </x:c>
      <x:c r="F473" s="42" t="str">
        <x:v>Shakhtar Donetsk</x:v>
      </x:c>
      <x:c r="G473" s="46"/>
      <x:c r="H473" s="46"/>
      <x:c r="I473" s="46"/>
      <x:c r="J473" s="46"/>
      <x:c r="K473" s="46" t="str">
        <x:f>IF(COUNT(G473,I473)=0,"",AVERAGE(G473,I473))</x:f>
      </x:c>
      <x:c r="L473" s="46" t="str">
        <x:f>IF(COUNT(H473,J473)=0,"",AVERAGE(H473,J473))</x:f>
      </x:c>
      <x:c r="M473" s="46" t="str">
        <x:f>IF(OR(K473="",L473=""),"",L473-K473)</x:f>
      </x:c>
      <x:c r="N473" s="46" t="str">
        <x:f>IF(OR(K473="",A472&lt;&gt;A473,K472=""),"",K473-K472)</x:f>
      </x:c>
      <x:c r="O473" s="42" t="str">
        <x:v>Sem informação</x:v>
      </x:c>
      <x:c r="P473" s="42"/>
      <x:c r="Q473" s="42" t="str"/>
      <x:c r="R473" s="42" t="str"/>
      <x:c r="S473" s="42" t="str"/>
      <x:c r="T473" s="42" t="str"/>
    </x:row>
    <x:row r="474">
      <x:c r="A474" s="42" t="str">
        <x:v>Kauã Elias</x:v>
      </x:c>
      <x:c r="B474" s="42" t="n">
        <x:v>2029</x:v>
      </x:c>
      <x:c r="C474" s="42" t="str">
        <x:v>T1</x:v>
      </x:c>
      <x:c r="D474" s="44" t="n">
        <x:v>47208</x:v>
      </x:c>
      <x:c r="E474" s="42" t="str">
        <x:v>Centroavante</x:v>
      </x:c>
      <x:c r="F474" s="42" t="str">
        <x:v>Shakhtar Donetsk</x:v>
      </x:c>
      <x:c r="G474" s="46"/>
      <x:c r="H474" s="46"/>
      <x:c r="I474" s="46"/>
      <x:c r="J474" s="46"/>
      <x:c r="K474" s="46" t="str">
        <x:f>IF(COUNT(G474,I474)=0,"",AVERAGE(G474,I474))</x:f>
      </x:c>
      <x:c r="L474" s="46" t="str">
        <x:f>IF(COUNT(H474,J474)=0,"",AVERAGE(H474,J474))</x:f>
      </x:c>
      <x:c r="M474" s="46" t="str">
        <x:f>IF(OR(K474="",L474=""),"",L474-K474)</x:f>
      </x:c>
      <x:c r="N474" s="46" t="str">
        <x:f>IF(OR(K474="",A473&lt;&gt;A474,K473=""),"",K474-K473)</x:f>
      </x:c>
      <x:c r="O474" s="42" t="str">
        <x:v>Sem informação</x:v>
      </x:c>
      <x:c r="P474" s="42"/>
      <x:c r="Q474" s="42" t="str"/>
      <x:c r="R474" s="42" t="str"/>
      <x:c r="S474" s="42" t="str"/>
      <x:c r="T474" s="42" t="str"/>
    </x:row>
    <x:row r="475">
      <x:c r="A475" s="42" t="str">
        <x:v>Kauã Elias</x:v>
      </x:c>
      <x:c r="B475" s="42" t="n">
        <x:v>2029</x:v>
      </x:c>
      <x:c r="C475" s="42" t="str">
        <x:v>T2</x:v>
      </x:c>
      <x:c r="D475" s="44" t="n">
        <x:v>47299</x:v>
      </x:c>
      <x:c r="E475" s="42" t="str">
        <x:v>Centroavante</x:v>
      </x:c>
      <x:c r="F475" s="42" t="str">
        <x:v>Shakhtar Donetsk</x:v>
      </x:c>
      <x:c r="G475" s="46"/>
      <x:c r="H475" s="46"/>
      <x:c r="I475" s="46"/>
      <x:c r="J475" s="46"/>
      <x:c r="K475" s="46" t="str">
        <x:f>IF(COUNT(G475,I475)=0,"",AVERAGE(G475,I475))</x:f>
      </x:c>
      <x:c r="L475" s="46" t="str">
        <x:f>IF(COUNT(H475,J475)=0,"",AVERAGE(H475,J475))</x:f>
      </x:c>
      <x:c r="M475" s="46" t="str">
        <x:f>IF(OR(K475="",L475=""),"",L475-K475)</x:f>
      </x:c>
      <x:c r="N475" s="46" t="str">
        <x:f>IF(OR(K475="",A474&lt;&gt;A475,K474=""),"",K475-K474)</x:f>
      </x:c>
      <x:c r="O475" s="42" t="str">
        <x:v>Sem informação</x:v>
      </x:c>
      <x:c r="P475" s="42"/>
      <x:c r="Q475" s="42" t="str"/>
      <x:c r="R475" s="42" t="str"/>
      <x:c r="S475" s="42" t="str"/>
      <x:c r="T475" s="42" t="str"/>
    </x:row>
    <x:row r="476">
      <x:c r="A476" s="42" t="str">
        <x:v>Kauã Elias</x:v>
      </x:c>
      <x:c r="B476" s="42" t="n">
        <x:v>2029</x:v>
      </x:c>
      <x:c r="C476" s="42" t="str">
        <x:v>T3</x:v>
      </x:c>
      <x:c r="D476" s="44" t="n">
        <x:v>47391</x:v>
      </x:c>
      <x:c r="E476" s="42" t="str">
        <x:v>Centroavante</x:v>
      </x:c>
      <x:c r="F476" s="42" t="str">
        <x:v>Shakhtar Donetsk</x:v>
      </x:c>
      <x:c r="G476" s="46"/>
      <x:c r="H476" s="46"/>
      <x:c r="I476" s="46"/>
      <x:c r="J476" s="46"/>
      <x:c r="K476" s="46" t="str">
        <x:f>IF(COUNT(G476,I476)=0,"",AVERAGE(G476,I476))</x:f>
      </x:c>
      <x:c r="L476" s="46" t="str">
        <x:f>IF(COUNT(H476,J476)=0,"",AVERAGE(H476,J476))</x:f>
      </x:c>
      <x:c r="M476" s="46" t="str">
        <x:f>IF(OR(K476="",L476=""),"",L476-K476)</x:f>
      </x:c>
      <x:c r="N476" s="46" t="str">
        <x:f>IF(OR(K476="",A475&lt;&gt;A476,K475=""),"",K476-K475)</x:f>
      </x:c>
      <x:c r="O476" s="42" t="str">
        <x:v>Sem informação</x:v>
      </x:c>
      <x:c r="P476" s="42"/>
      <x:c r="Q476" s="42" t="str"/>
      <x:c r="R476" s="42" t="str"/>
      <x:c r="S476" s="42" t="str"/>
      <x:c r="T476" s="42" t="str"/>
    </x:row>
    <x:row r="477">
      <x:c r="A477" s="42" t="str">
        <x:v>Kauã Elias</x:v>
      </x:c>
      <x:c r="B477" s="42" t="n">
        <x:v>2029</x:v>
      </x:c>
      <x:c r="C477" s="42" t="str">
        <x:v>T4</x:v>
      </x:c>
      <x:c r="D477" s="44" t="n">
        <x:v>47483</x:v>
      </x:c>
      <x:c r="E477" s="42" t="str">
        <x:v>Centroavante</x:v>
      </x:c>
      <x:c r="F477" s="42" t="str">
        <x:v>Shakhtar Donetsk</x:v>
      </x:c>
      <x:c r="G477" s="46"/>
      <x:c r="H477" s="46"/>
      <x:c r="I477" s="46"/>
      <x:c r="J477" s="46"/>
      <x:c r="K477" s="46" t="str">
        <x:f>IF(COUNT(G477,I477)=0,"",AVERAGE(G477,I477))</x:f>
      </x:c>
      <x:c r="L477" s="46" t="str">
        <x:f>IF(COUNT(H477,J477)=0,"",AVERAGE(H477,J477))</x:f>
      </x:c>
      <x:c r="M477" s="46" t="str">
        <x:f>IF(OR(K477="",L477=""),"",L477-K477)</x:f>
      </x:c>
      <x:c r="N477" s="46" t="str">
        <x:f>IF(OR(K477="",A476&lt;&gt;A477,K476=""),"",K477-K476)</x:f>
      </x:c>
      <x:c r="O477" s="42" t="str">
        <x:v>Sem informação</x:v>
      </x:c>
      <x:c r="P477" s="42"/>
      <x:c r="Q477" s="42" t="str"/>
      <x:c r="R477" s="42" t="str"/>
      <x:c r="S477" s="42" t="str"/>
      <x:c r="T477" s="42" t="str"/>
    </x:row>
    <x:row r="478">
      <x:c r="A478" s="42" t="str">
        <x:v>Kauã Elias</x:v>
      </x:c>
      <x:c r="B478" s="42" t="n">
        <x:v>2030</x:v>
      </x:c>
      <x:c r="C478" s="42" t="str">
        <x:v>T1</x:v>
      </x:c>
      <x:c r="D478" s="44" t="n">
        <x:v>47573</x:v>
      </x:c>
      <x:c r="E478" s="42" t="str">
        <x:v>Centroavante</x:v>
      </x:c>
      <x:c r="F478" s="42" t="str">
        <x:v>Shakhtar Donetsk</x:v>
      </x:c>
      <x:c r="G478" s="46"/>
      <x:c r="H478" s="46"/>
      <x:c r="I478" s="46"/>
      <x:c r="J478" s="46"/>
      <x:c r="K478" s="46" t="str">
        <x:f>IF(COUNT(G478,I478)=0,"",AVERAGE(G478,I478))</x:f>
      </x:c>
      <x:c r="L478" s="46" t="str">
        <x:f>IF(COUNT(H478,J478)=0,"",AVERAGE(H478,J478))</x:f>
      </x:c>
      <x:c r="M478" s="46" t="str">
        <x:f>IF(OR(K478="",L478=""),"",L478-K478)</x:f>
      </x:c>
      <x:c r="N478" s="46" t="str">
        <x:f>IF(OR(K478="",A477&lt;&gt;A478,K477=""),"",K478-K477)</x:f>
      </x:c>
      <x:c r="O478" s="42" t="str">
        <x:v>Sem informação</x:v>
      </x:c>
      <x:c r="P478" s="42"/>
      <x:c r="Q478" s="42" t="str"/>
      <x:c r="R478" s="42" t="str"/>
      <x:c r="S478" s="42" t="str"/>
      <x:c r="T478" s="42" t="str"/>
    </x:row>
    <x:row r="479">
      <x:c r="A479" s="42" t="str">
        <x:v>Kauã Elias</x:v>
      </x:c>
      <x:c r="B479" s="42" t="n">
        <x:v>2030</x:v>
      </x:c>
      <x:c r="C479" s="42" t="str">
        <x:v>T2</x:v>
      </x:c>
      <x:c r="D479" s="44" t="n">
        <x:v>47664</x:v>
      </x:c>
      <x:c r="E479" s="42" t="str">
        <x:v>Centroavante</x:v>
      </x:c>
      <x:c r="F479" s="42" t="str">
        <x:v>Shakhtar Donetsk</x:v>
      </x:c>
      <x:c r="G479" s="46"/>
      <x:c r="H479" s="46"/>
      <x:c r="I479" s="46"/>
      <x:c r="J479" s="46"/>
      <x:c r="K479" s="46" t="str">
        <x:f>IF(COUNT(G479,I479)=0,"",AVERAGE(G479,I479))</x:f>
      </x:c>
      <x:c r="L479" s="46" t="str">
        <x:f>IF(COUNT(H479,J479)=0,"",AVERAGE(H479,J479))</x:f>
      </x:c>
      <x:c r="M479" s="46" t="str">
        <x:f>IF(OR(K479="",L479=""),"",L479-K479)</x:f>
      </x:c>
      <x:c r="N479" s="46" t="str">
        <x:f>IF(OR(K479="",A478&lt;&gt;A479,K478=""),"",K479-K478)</x:f>
      </x:c>
      <x:c r="O479" s="42" t="str">
        <x:v>Sem informação</x:v>
      </x:c>
      <x:c r="P479" s="42"/>
      <x:c r="Q479" s="42" t="str"/>
      <x:c r="R479" s="42" t="str"/>
      <x:c r="S479" s="42" t="str"/>
      <x:c r="T479" s="42" t="str"/>
    </x:row>
    <x:row r="480">
      <x:c r="A480" s="42" t="str">
        <x:v>Kauã Elias</x:v>
      </x:c>
      <x:c r="B480" s="42" t="n">
        <x:v>2030</x:v>
      </x:c>
      <x:c r="C480" s="42" t="str">
        <x:v>T3</x:v>
      </x:c>
      <x:c r="D480" s="44" t="n">
        <x:v>47756</x:v>
      </x:c>
      <x:c r="E480" s="42" t="str">
        <x:v>Centroavante</x:v>
      </x:c>
      <x:c r="F480" s="42" t="str">
        <x:v>Shakhtar Donetsk</x:v>
      </x:c>
      <x:c r="G480" s="46"/>
      <x:c r="H480" s="46"/>
      <x:c r="I480" s="46"/>
      <x:c r="J480" s="46"/>
      <x:c r="K480" s="46" t="str">
        <x:f>IF(COUNT(G480,I480)=0,"",AVERAGE(G480,I480))</x:f>
      </x:c>
      <x:c r="L480" s="46" t="str">
        <x:f>IF(COUNT(H480,J480)=0,"",AVERAGE(H480,J480))</x:f>
      </x:c>
      <x:c r="M480" s="46" t="str">
        <x:f>IF(OR(K480="",L480=""),"",L480-K480)</x:f>
      </x:c>
      <x:c r="N480" s="46" t="str">
        <x:f>IF(OR(K480="",A479&lt;&gt;A480,K479=""),"",K480-K479)</x:f>
      </x:c>
      <x:c r="O480" s="42" t="str">
        <x:v>Sem informação</x:v>
      </x:c>
      <x:c r="P480" s="42"/>
      <x:c r="Q480" s="42" t="str"/>
      <x:c r="R480" s="42" t="str"/>
      <x:c r="S480" s="42" t="str"/>
      <x:c r="T480" s="42" t="str"/>
    </x:row>
    <x:row r="481">
      <x:c r="A481" s="42" t="str">
        <x:v>Kauã Elias</x:v>
      </x:c>
      <x:c r="B481" s="42" t="n">
        <x:v>2030</x:v>
      </x:c>
      <x:c r="C481" s="42" t="str">
        <x:v>T4</x:v>
      </x:c>
      <x:c r="D481" s="44" t="n">
        <x:v>47848</x:v>
      </x:c>
      <x:c r="E481" s="42" t="str">
        <x:v>Centroavante</x:v>
      </x:c>
      <x:c r="F481" s="42" t="str">
        <x:v>Shakhtar Donetsk</x:v>
      </x:c>
      <x:c r="G481" s="46"/>
      <x:c r="H481" s="46"/>
      <x:c r="I481" s="46"/>
      <x:c r="J481" s="46"/>
      <x:c r="K481" s="46" t="str">
        <x:f>IF(COUNT(G481,I481)=0,"",AVERAGE(G481,I481))</x:f>
      </x:c>
      <x:c r="L481" s="46" t="str">
        <x:f>IF(COUNT(H481,J481)=0,"",AVERAGE(H481,J481))</x:f>
      </x:c>
      <x:c r="M481" s="46" t="str">
        <x:f>IF(OR(K481="",L481=""),"",L481-K481)</x:f>
      </x:c>
      <x:c r="N481" s="46" t="str">
        <x:f>IF(OR(K481="",A480&lt;&gt;A481,K480=""),"",K481-K480)</x:f>
      </x:c>
      <x:c r="O481" s="42" t="str">
        <x:v>Sem informação</x:v>
      </x:c>
      <x:c r="P481" s="42"/>
      <x:c r="Q481" s="42" t="str"/>
      <x:c r="R481" s="42" t="str"/>
      <x:c r="S481" s="42" t="str"/>
      <x:c r="T481" s="42" t="str"/>
    </x:row>
    <x:row r="482">
      <x:c r="A482" s="42" t="str">
        <x:v>Leonardo Nannetti</x:v>
      </x:c>
      <x:c r="B482" s="42" t="n">
        <x:v>2026</x:v>
      </x:c>
      <x:c r="C482" s="42" t="str">
        <x:v>T1</x:v>
      </x:c>
      <x:c r="D482" s="44" t="n">
        <x:v>46112</x:v>
      </x:c>
      <x:c r="E482" s="42" t="str">
        <x:v>Goleiro</x:v>
      </x:c>
      <x:c r="F482" s="42" t="str">
        <x:v>CR Flamengo Sub-20</x:v>
      </x:c>
      <x:c r="G482" s="46"/>
      <x:c r="H482" s="46"/>
      <x:c r="I482" s="46"/>
      <x:c r="J482" s="46"/>
      <x:c r="K482" s="46" t="str">
        <x:f>IF(COUNT(G482,I482)=0,"",AVERAGE(G482,I482))</x:f>
      </x:c>
      <x:c r="L482" s="46" t="str">
        <x:f>IF(COUNT(H482,J482)=0,"",AVERAGE(H482,J482))</x:f>
      </x:c>
      <x:c r="M482" s="46" t="str">
        <x:f>IF(OR(K482="",L482=""),"",L482-K482)</x:f>
      </x:c>
      <x:c r="N482" s="46" t="str">
        <x:f>IF(OR(K482="",A481&lt;&gt;A482,K481=""),"",K482-K481)</x:f>
      </x:c>
      <x:c r="O482" s="42" t="str">
        <x:v>Sem informação</x:v>
      </x:c>
      <x:c r="P482" s="42"/>
      <x:c r="Q482" s="42" t="str"/>
      <x:c r="R482" s="42" t="str"/>
      <x:c r="S482" s="42" t="str"/>
      <x:c r="T482" s="42" t="str"/>
    </x:row>
    <x:row r="483">
      <x:c r="A483" s="42" t="str">
        <x:v>Leonardo Nannetti</x:v>
      </x:c>
      <x:c r="B483" s="42" t="n">
        <x:v>2026</x:v>
      </x:c>
      <x:c r="C483" s="42" t="str">
        <x:v>T2</x:v>
      </x:c>
      <x:c r="D483" s="44" t="n">
        <x:v>46203</x:v>
      </x:c>
      <x:c r="E483" s="42" t="str">
        <x:v>Goleiro</x:v>
      </x:c>
      <x:c r="F483" s="42" t="str">
        <x:v>CR Flamengo Sub-20</x:v>
      </x:c>
      <x:c r="G483" s="46"/>
      <x:c r="H483" s="46"/>
      <x:c r="I483" s="46"/>
      <x:c r="J483" s="46"/>
      <x:c r="K483" s="46" t="str">
        <x:f>IF(COUNT(G483,I483)=0,"",AVERAGE(G483,I483))</x:f>
      </x:c>
      <x:c r="L483" s="46" t="str">
        <x:f>IF(COUNT(H483,J483)=0,"",AVERAGE(H483,J483))</x:f>
      </x:c>
      <x:c r="M483" s="46" t="str">
        <x:f>IF(OR(K483="",L483=""),"",L483-K483)</x:f>
      </x:c>
      <x:c r="N483" s="46" t="str">
        <x:f>IF(OR(K483="",A482&lt;&gt;A483,K482=""),"",K483-K482)</x:f>
      </x:c>
      <x:c r="O483" s="42" t="str">
        <x:v>Sem informação</x:v>
      </x:c>
      <x:c r="P483" s="42"/>
      <x:c r="Q483" s="42" t="str"/>
      <x:c r="R483" s="42" t="str"/>
      <x:c r="S483" s="42" t="str"/>
      <x:c r="T483" s="42" t="str"/>
    </x:row>
    <x:row r="484">
      <x:c r="A484" s="42" t="str">
        <x:v>Leonardo Nannetti</x:v>
      </x:c>
      <x:c r="B484" s="42" t="n">
        <x:v>2026</x:v>
      </x:c>
      <x:c r="C484" s="42" t="str">
        <x:v>T3</x:v>
      </x:c>
      <x:c r="D484" s="44" t="n">
        <x:v>46295</x:v>
      </x:c>
      <x:c r="E484" s="42" t="str">
        <x:v>Goleiro</x:v>
      </x:c>
      <x:c r="F484" s="42" t="str">
        <x:v>CR Flamengo Sub-20</x:v>
      </x:c>
      <x:c r="G484" s="46"/>
      <x:c r="H484" s="46"/>
      <x:c r="I484" s="46"/>
      <x:c r="J484" s="46"/>
      <x:c r="K484" s="46" t="str">
        <x:f>IF(COUNT(G484,I484)=0,"",AVERAGE(G484,I484))</x:f>
      </x:c>
      <x:c r="L484" s="46" t="str">
        <x:f>IF(COUNT(H484,J484)=0,"",AVERAGE(H484,J484))</x:f>
      </x:c>
      <x:c r="M484" s="46" t="str">
        <x:f>IF(OR(K484="",L484=""),"",L484-K484)</x:f>
      </x:c>
      <x:c r="N484" s="46" t="str">
        <x:f>IF(OR(K484="",A483&lt;&gt;A484,K483=""),"",K484-K483)</x:f>
      </x:c>
      <x:c r="O484" s="42" t="str">
        <x:v>Sem informação</x:v>
      </x:c>
      <x:c r="P484" s="42"/>
      <x:c r="Q484" s="42" t="str"/>
      <x:c r="R484" s="42" t="str"/>
      <x:c r="S484" s="42" t="str"/>
      <x:c r="T484" s="42" t="str"/>
    </x:row>
    <x:row r="485">
      <x:c r="A485" s="42" t="str">
        <x:v>Leonardo Nannetti</x:v>
      </x:c>
      <x:c r="B485" s="42" t="n">
        <x:v>2026</x:v>
      </x:c>
      <x:c r="C485" s="42" t="str">
        <x:v>T4</x:v>
      </x:c>
      <x:c r="D485" s="44" t="n">
        <x:v>46387</x:v>
      </x:c>
      <x:c r="E485" s="42" t="str">
        <x:v>Goleiro</x:v>
      </x:c>
      <x:c r="F485" s="42" t="str">
        <x:v>CR Flamengo Sub-20</x:v>
      </x:c>
      <x:c r="G485" s="46"/>
      <x:c r="H485" s="46"/>
      <x:c r="I485" s="46"/>
      <x:c r="J485" s="46"/>
      <x:c r="K485" s="46" t="str">
        <x:f>IF(COUNT(G485,I485)=0,"",AVERAGE(G485,I485))</x:f>
      </x:c>
      <x:c r="L485" s="46" t="str">
        <x:f>IF(COUNT(H485,J485)=0,"",AVERAGE(H485,J485))</x:f>
      </x:c>
      <x:c r="M485" s="46" t="str">
        <x:f>IF(OR(K485="",L485=""),"",L485-K485)</x:f>
      </x:c>
      <x:c r="N485" s="46" t="str">
        <x:f>IF(OR(K485="",A484&lt;&gt;A485,K484=""),"",K485-K484)</x:f>
      </x:c>
      <x:c r="O485" s="42" t="str">
        <x:v>Sem informação</x:v>
      </x:c>
      <x:c r="P485" s="42"/>
      <x:c r="Q485" s="42" t="str"/>
      <x:c r="R485" s="42" t="str"/>
      <x:c r="S485" s="42" t="str"/>
      <x:c r="T485" s="42" t="str"/>
    </x:row>
    <x:row r="486">
      <x:c r="A486" s="42" t="str">
        <x:v>Leonardo Nannetti</x:v>
      </x:c>
      <x:c r="B486" s="42" t="n">
        <x:v>2027</x:v>
      </x:c>
      <x:c r="C486" s="42" t="str">
        <x:v>T1</x:v>
      </x:c>
      <x:c r="D486" s="44" t="n">
        <x:v>46477</x:v>
      </x:c>
      <x:c r="E486" s="42" t="str">
        <x:v>Goleiro</x:v>
      </x:c>
      <x:c r="F486" s="42" t="str">
        <x:v>CR Flamengo Sub-20</x:v>
      </x:c>
      <x:c r="G486" s="46"/>
      <x:c r="H486" s="46"/>
      <x:c r="I486" s="46"/>
      <x:c r="J486" s="46"/>
      <x:c r="K486" s="46" t="str">
        <x:f>IF(COUNT(G486,I486)=0,"",AVERAGE(G486,I486))</x:f>
      </x:c>
      <x:c r="L486" s="46" t="str">
        <x:f>IF(COUNT(H486,J486)=0,"",AVERAGE(H486,J486))</x:f>
      </x:c>
      <x:c r="M486" s="46" t="str">
        <x:f>IF(OR(K486="",L486=""),"",L486-K486)</x:f>
      </x:c>
      <x:c r="N486" s="46" t="str">
        <x:f>IF(OR(K486="",A485&lt;&gt;A486,K485=""),"",K486-K485)</x:f>
      </x:c>
      <x:c r="O486" s="42" t="str">
        <x:v>Sem informação</x:v>
      </x:c>
      <x:c r="P486" s="42"/>
      <x:c r="Q486" s="42" t="str"/>
      <x:c r="R486" s="42" t="str"/>
      <x:c r="S486" s="42" t="str"/>
      <x:c r="T486" s="42" t="str"/>
    </x:row>
    <x:row r="487">
      <x:c r="A487" s="42" t="str">
        <x:v>Leonardo Nannetti</x:v>
      </x:c>
      <x:c r="B487" s="42" t="n">
        <x:v>2027</x:v>
      </x:c>
      <x:c r="C487" s="42" t="str">
        <x:v>T2</x:v>
      </x:c>
      <x:c r="D487" s="44" t="n">
        <x:v>46568</x:v>
      </x:c>
      <x:c r="E487" s="42" t="str">
        <x:v>Goleiro</x:v>
      </x:c>
      <x:c r="F487" s="42" t="str">
        <x:v>CR Flamengo Sub-20</x:v>
      </x:c>
      <x:c r="G487" s="46"/>
      <x:c r="H487" s="46"/>
      <x:c r="I487" s="46"/>
      <x:c r="J487" s="46"/>
      <x:c r="K487" s="46" t="str">
        <x:f>IF(COUNT(G487,I487)=0,"",AVERAGE(G487,I487))</x:f>
      </x:c>
      <x:c r="L487" s="46" t="str">
        <x:f>IF(COUNT(H487,J487)=0,"",AVERAGE(H487,J487))</x:f>
      </x:c>
      <x:c r="M487" s="46" t="str">
        <x:f>IF(OR(K487="",L487=""),"",L487-K487)</x:f>
      </x:c>
      <x:c r="N487" s="46" t="str">
        <x:f>IF(OR(K487="",A486&lt;&gt;A487,K486=""),"",K487-K486)</x:f>
      </x:c>
      <x:c r="O487" s="42" t="str">
        <x:v>Sem informação</x:v>
      </x:c>
      <x:c r="P487" s="42"/>
      <x:c r="Q487" s="42" t="str"/>
      <x:c r="R487" s="42" t="str"/>
      <x:c r="S487" s="42" t="str"/>
      <x:c r="T487" s="42" t="str"/>
    </x:row>
    <x:row r="488">
      <x:c r="A488" s="42" t="str">
        <x:v>Leonardo Nannetti</x:v>
      </x:c>
      <x:c r="B488" s="42" t="n">
        <x:v>2027</x:v>
      </x:c>
      <x:c r="C488" s="42" t="str">
        <x:v>T3</x:v>
      </x:c>
      <x:c r="D488" s="44" t="n">
        <x:v>46660</x:v>
      </x:c>
      <x:c r="E488" s="42" t="str">
        <x:v>Goleiro</x:v>
      </x:c>
      <x:c r="F488" s="42" t="str">
        <x:v>CR Flamengo Sub-20</x:v>
      </x:c>
      <x:c r="G488" s="46"/>
      <x:c r="H488" s="46"/>
      <x:c r="I488" s="46"/>
      <x:c r="J488" s="46"/>
      <x:c r="K488" s="46" t="str">
        <x:f>IF(COUNT(G488,I488)=0,"",AVERAGE(G488,I488))</x:f>
      </x:c>
      <x:c r="L488" s="46" t="str">
        <x:f>IF(COUNT(H488,J488)=0,"",AVERAGE(H488,J488))</x:f>
      </x:c>
      <x:c r="M488" s="46" t="str">
        <x:f>IF(OR(K488="",L488=""),"",L488-K488)</x:f>
      </x:c>
      <x:c r="N488" s="46" t="str">
        <x:f>IF(OR(K488="",A487&lt;&gt;A488,K487=""),"",K488-K487)</x:f>
      </x:c>
      <x:c r="O488" s="42" t="str">
        <x:v>Sem informação</x:v>
      </x:c>
      <x:c r="P488" s="42"/>
      <x:c r="Q488" s="42" t="str"/>
      <x:c r="R488" s="42" t="str"/>
      <x:c r="S488" s="42" t="str"/>
      <x:c r="T488" s="42" t="str"/>
    </x:row>
    <x:row r="489">
      <x:c r="A489" s="42" t="str">
        <x:v>Leonardo Nannetti</x:v>
      </x:c>
      <x:c r="B489" s="42" t="n">
        <x:v>2027</x:v>
      </x:c>
      <x:c r="C489" s="42" t="str">
        <x:v>T4</x:v>
      </x:c>
      <x:c r="D489" s="44" t="n">
        <x:v>46752</x:v>
      </x:c>
      <x:c r="E489" s="42" t="str">
        <x:v>Goleiro</x:v>
      </x:c>
      <x:c r="F489" s="42" t="str">
        <x:v>CR Flamengo Sub-20</x:v>
      </x:c>
      <x:c r="G489" s="46"/>
      <x:c r="H489" s="46"/>
      <x:c r="I489" s="46"/>
      <x:c r="J489" s="46"/>
      <x:c r="K489" s="46" t="str">
        <x:f>IF(COUNT(G489,I489)=0,"",AVERAGE(G489,I489))</x:f>
      </x:c>
      <x:c r="L489" s="46" t="str">
        <x:f>IF(COUNT(H489,J489)=0,"",AVERAGE(H489,J489))</x:f>
      </x:c>
      <x:c r="M489" s="46" t="str">
        <x:f>IF(OR(K489="",L489=""),"",L489-K489)</x:f>
      </x:c>
      <x:c r="N489" s="46" t="str">
        <x:f>IF(OR(K489="",A488&lt;&gt;A489,K488=""),"",K489-K488)</x:f>
      </x:c>
      <x:c r="O489" s="42" t="str">
        <x:v>Sem informação</x:v>
      </x:c>
      <x:c r="P489" s="42"/>
      <x:c r="Q489" s="42" t="str"/>
      <x:c r="R489" s="42" t="str"/>
      <x:c r="S489" s="42" t="str"/>
      <x:c r="T489" s="42" t="str"/>
    </x:row>
    <x:row r="490">
      <x:c r="A490" s="42" t="str">
        <x:v>Leonardo Nannetti</x:v>
      </x:c>
      <x:c r="B490" s="42" t="n">
        <x:v>2028</x:v>
      </x:c>
      <x:c r="C490" s="42" t="str">
        <x:v>T1</x:v>
      </x:c>
      <x:c r="D490" s="44" t="n">
        <x:v>46843</x:v>
      </x:c>
      <x:c r="E490" s="42" t="str">
        <x:v>Goleiro</x:v>
      </x:c>
      <x:c r="F490" s="42" t="str">
        <x:v>CR Flamengo Sub-20</x:v>
      </x:c>
      <x:c r="G490" s="46"/>
      <x:c r="H490" s="46"/>
      <x:c r="I490" s="46"/>
      <x:c r="J490" s="46"/>
      <x:c r="K490" s="46" t="str">
        <x:f>IF(COUNT(G490,I490)=0,"",AVERAGE(G490,I490))</x:f>
      </x:c>
      <x:c r="L490" s="46" t="str">
        <x:f>IF(COUNT(H490,J490)=0,"",AVERAGE(H490,J490))</x:f>
      </x:c>
      <x:c r="M490" s="46" t="str">
        <x:f>IF(OR(K490="",L490=""),"",L490-K490)</x:f>
      </x:c>
      <x:c r="N490" s="46" t="str">
        <x:f>IF(OR(K490="",A489&lt;&gt;A490,K489=""),"",K490-K489)</x:f>
      </x:c>
      <x:c r="O490" s="42" t="str">
        <x:v>Sem informação</x:v>
      </x:c>
      <x:c r="P490" s="42"/>
      <x:c r="Q490" s="42" t="str"/>
      <x:c r="R490" s="42" t="str"/>
      <x:c r="S490" s="42" t="str"/>
      <x:c r="T490" s="42" t="str"/>
    </x:row>
    <x:row r="491">
      <x:c r="A491" s="42" t="str">
        <x:v>Leonardo Nannetti</x:v>
      </x:c>
      <x:c r="B491" s="42" t="n">
        <x:v>2028</x:v>
      </x:c>
      <x:c r="C491" s="42" t="str">
        <x:v>T2</x:v>
      </x:c>
      <x:c r="D491" s="44" t="n">
        <x:v>46934</x:v>
      </x:c>
      <x:c r="E491" s="42" t="str">
        <x:v>Goleiro</x:v>
      </x:c>
      <x:c r="F491" s="42" t="str">
        <x:v>CR Flamengo Sub-20</x:v>
      </x:c>
      <x:c r="G491" s="46"/>
      <x:c r="H491" s="46"/>
      <x:c r="I491" s="46"/>
      <x:c r="J491" s="46"/>
      <x:c r="K491" s="46" t="str">
        <x:f>IF(COUNT(G491,I491)=0,"",AVERAGE(G491,I491))</x:f>
      </x:c>
      <x:c r="L491" s="46" t="str">
        <x:f>IF(COUNT(H491,J491)=0,"",AVERAGE(H491,J491))</x:f>
      </x:c>
      <x:c r="M491" s="46" t="str">
        <x:f>IF(OR(K491="",L491=""),"",L491-K491)</x:f>
      </x:c>
      <x:c r="N491" s="46" t="str">
        <x:f>IF(OR(K491="",A490&lt;&gt;A491,K490=""),"",K491-K490)</x:f>
      </x:c>
      <x:c r="O491" s="42" t="str">
        <x:v>Sem informação</x:v>
      </x:c>
      <x:c r="P491" s="42"/>
      <x:c r="Q491" s="42" t="str"/>
      <x:c r="R491" s="42" t="str"/>
      <x:c r="S491" s="42" t="str"/>
      <x:c r="T491" s="42" t="str"/>
    </x:row>
    <x:row r="492">
      <x:c r="A492" s="42" t="str">
        <x:v>Leonardo Nannetti</x:v>
      </x:c>
      <x:c r="B492" s="42" t="n">
        <x:v>2028</x:v>
      </x:c>
      <x:c r="C492" s="42" t="str">
        <x:v>T3</x:v>
      </x:c>
      <x:c r="D492" s="44" t="n">
        <x:v>47026</x:v>
      </x:c>
      <x:c r="E492" s="42" t="str">
        <x:v>Goleiro</x:v>
      </x:c>
      <x:c r="F492" s="42" t="str">
        <x:v>CR Flamengo Sub-20</x:v>
      </x:c>
      <x:c r="G492" s="46"/>
      <x:c r="H492" s="46"/>
      <x:c r="I492" s="46"/>
      <x:c r="J492" s="46"/>
      <x:c r="K492" s="46" t="str">
        <x:f>IF(COUNT(G492,I492)=0,"",AVERAGE(G492,I492))</x:f>
      </x:c>
      <x:c r="L492" s="46" t="str">
        <x:f>IF(COUNT(H492,J492)=0,"",AVERAGE(H492,J492))</x:f>
      </x:c>
      <x:c r="M492" s="46" t="str">
        <x:f>IF(OR(K492="",L492=""),"",L492-K492)</x:f>
      </x:c>
      <x:c r="N492" s="46" t="str">
        <x:f>IF(OR(K492="",A491&lt;&gt;A492,K491=""),"",K492-K491)</x:f>
      </x:c>
      <x:c r="O492" s="42" t="str">
        <x:v>Sem informação</x:v>
      </x:c>
      <x:c r="P492" s="42"/>
      <x:c r="Q492" s="42" t="str"/>
      <x:c r="R492" s="42" t="str"/>
      <x:c r="S492" s="42" t="str"/>
      <x:c r="T492" s="42" t="str"/>
    </x:row>
    <x:row r="493">
      <x:c r="A493" s="42" t="str">
        <x:v>Leonardo Nannetti</x:v>
      </x:c>
      <x:c r="B493" s="42" t="n">
        <x:v>2028</x:v>
      </x:c>
      <x:c r="C493" s="42" t="str">
        <x:v>T4</x:v>
      </x:c>
      <x:c r="D493" s="44" t="n">
        <x:v>47118</x:v>
      </x:c>
      <x:c r="E493" s="42" t="str">
        <x:v>Goleiro</x:v>
      </x:c>
      <x:c r="F493" s="42" t="str">
        <x:v>CR Flamengo Sub-20</x:v>
      </x:c>
      <x:c r="G493" s="46"/>
      <x:c r="H493" s="46"/>
      <x:c r="I493" s="46"/>
      <x:c r="J493" s="46"/>
      <x:c r="K493" s="46" t="str">
        <x:f>IF(COUNT(G493,I493)=0,"",AVERAGE(G493,I493))</x:f>
      </x:c>
      <x:c r="L493" s="46" t="str">
        <x:f>IF(COUNT(H493,J493)=0,"",AVERAGE(H493,J493))</x:f>
      </x:c>
      <x:c r="M493" s="46" t="str">
        <x:f>IF(OR(K493="",L493=""),"",L493-K493)</x:f>
      </x:c>
      <x:c r="N493" s="46" t="str">
        <x:f>IF(OR(K493="",A492&lt;&gt;A493,K492=""),"",K493-K492)</x:f>
      </x:c>
      <x:c r="O493" s="42" t="str">
        <x:v>Sem informação</x:v>
      </x:c>
      <x:c r="P493" s="42"/>
      <x:c r="Q493" s="42" t="str"/>
      <x:c r="R493" s="42" t="str"/>
      <x:c r="S493" s="42" t="str"/>
      <x:c r="T493" s="42" t="str"/>
    </x:row>
    <x:row r="494">
      <x:c r="A494" s="42" t="str">
        <x:v>Leonardo Nannetti</x:v>
      </x:c>
      <x:c r="B494" s="42" t="n">
        <x:v>2029</x:v>
      </x:c>
      <x:c r="C494" s="42" t="str">
        <x:v>T1</x:v>
      </x:c>
      <x:c r="D494" s="44" t="n">
        <x:v>47208</x:v>
      </x:c>
      <x:c r="E494" s="42" t="str">
        <x:v>Goleiro</x:v>
      </x:c>
      <x:c r="F494" s="42" t="str">
        <x:v>CR Flamengo Sub-20</x:v>
      </x:c>
      <x:c r="G494" s="46"/>
      <x:c r="H494" s="46"/>
      <x:c r="I494" s="46"/>
      <x:c r="J494" s="46"/>
      <x:c r="K494" s="46" t="str">
        <x:f>IF(COUNT(G494,I494)=0,"",AVERAGE(G494,I494))</x:f>
      </x:c>
      <x:c r="L494" s="46" t="str">
        <x:f>IF(COUNT(H494,J494)=0,"",AVERAGE(H494,J494))</x:f>
      </x:c>
      <x:c r="M494" s="46" t="str">
        <x:f>IF(OR(K494="",L494=""),"",L494-K494)</x:f>
      </x:c>
      <x:c r="N494" s="46" t="str">
        <x:f>IF(OR(K494="",A493&lt;&gt;A494,K493=""),"",K494-K493)</x:f>
      </x:c>
      <x:c r="O494" s="42" t="str">
        <x:v>Sem informação</x:v>
      </x:c>
      <x:c r="P494" s="42"/>
      <x:c r="Q494" s="42" t="str"/>
      <x:c r="R494" s="42" t="str"/>
      <x:c r="S494" s="42" t="str"/>
      <x:c r="T494" s="42" t="str"/>
    </x:row>
    <x:row r="495">
      <x:c r="A495" s="42" t="str">
        <x:v>Leonardo Nannetti</x:v>
      </x:c>
      <x:c r="B495" s="42" t="n">
        <x:v>2029</x:v>
      </x:c>
      <x:c r="C495" s="42" t="str">
        <x:v>T2</x:v>
      </x:c>
      <x:c r="D495" s="44" t="n">
        <x:v>47299</x:v>
      </x:c>
      <x:c r="E495" s="42" t="str">
        <x:v>Goleiro</x:v>
      </x:c>
      <x:c r="F495" s="42" t="str">
        <x:v>CR Flamengo Sub-20</x:v>
      </x:c>
      <x:c r="G495" s="46"/>
      <x:c r="H495" s="46"/>
      <x:c r="I495" s="46"/>
      <x:c r="J495" s="46"/>
      <x:c r="K495" s="46" t="str">
        <x:f>IF(COUNT(G495,I495)=0,"",AVERAGE(G495,I495))</x:f>
      </x:c>
      <x:c r="L495" s="46" t="str">
        <x:f>IF(COUNT(H495,J495)=0,"",AVERAGE(H495,J495))</x:f>
      </x:c>
      <x:c r="M495" s="46" t="str">
        <x:f>IF(OR(K495="",L495=""),"",L495-K495)</x:f>
      </x:c>
      <x:c r="N495" s="46" t="str">
        <x:f>IF(OR(K495="",A494&lt;&gt;A495,K494=""),"",K495-K494)</x:f>
      </x:c>
      <x:c r="O495" s="42" t="str">
        <x:v>Sem informação</x:v>
      </x:c>
      <x:c r="P495" s="42"/>
      <x:c r="Q495" s="42" t="str"/>
      <x:c r="R495" s="42" t="str"/>
      <x:c r="S495" s="42" t="str"/>
      <x:c r="T495" s="42" t="str"/>
    </x:row>
    <x:row r="496">
      <x:c r="A496" s="42" t="str">
        <x:v>Leonardo Nannetti</x:v>
      </x:c>
      <x:c r="B496" s="42" t="n">
        <x:v>2029</x:v>
      </x:c>
      <x:c r="C496" s="42" t="str">
        <x:v>T3</x:v>
      </x:c>
      <x:c r="D496" s="44" t="n">
        <x:v>47391</x:v>
      </x:c>
      <x:c r="E496" s="42" t="str">
        <x:v>Goleiro</x:v>
      </x:c>
      <x:c r="F496" s="42" t="str">
        <x:v>CR Flamengo Sub-20</x:v>
      </x:c>
      <x:c r="G496" s="46"/>
      <x:c r="H496" s="46"/>
      <x:c r="I496" s="46"/>
      <x:c r="J496" s="46"/>
      <x:c r="K496" s="46" t="str">
        <x:f>IF(COUNT(G496,I496)=0,"",AVERAGE(G496,I496))</x:f>
      </x:c>
      <x:c r="L496" s="46" t="str">
        <x:f>IF(COUNT(H496,J496)=0,"",AVERAGE(H496,J496))</x:f>
      </x:c>
      <x:c r="M496" s="46" t="str">
        <x:f>IF(OR(K496="",L496=""),"",L496-K496)</x:f>
      </x:c>
      <x:c r="N496" s="46" t="str">
        <x:f>IF(OR(K496="",A495&lt;&gt;A496,K495=""),"",K496-K495)</x:f>
      </x:c>
      <x:c r="O496" s="42" t="str">
        <x:v>Sem informação</x:v>
      </x:c>
      <x:c r="P496" s="42"/>
      <x:c r="Q496" s="42" t="str"/>
      <x:c r="R496" s="42" t="str"/>
      <x:c r="S496" s="42" t="str"/>
      <x:c r="T496" s="42" t="str"/>
    </x:row>
    <x:row r="497">
      <x:c r="A497" s="42" t="str">
        <x:v>Leonardo Nannetti</x:v>
      </x:c>
      <x:c r="B497" s="42" t="n">
        <x:v>2029</x:v>
      </x:c>
      <x:c r="C497" s="42" t="str">
        <x:v>T4</x:v>
      </x:c>
      <x:c r="D497" s="44" t="n">
        <x:v>47483</x:v>
      </x:c>
      <x:c r="E497" s="42" t="str">
        <x:v>Goleiro</x:v>
      </x:c>
      <x:c r="F497" s="42" t="str">
        <x:v>CR Flamengo Sub-20</x:v>
      </x:c>
      <x:c r="G497" s="46"/>
      <x:c r="H497" s="46"/>
      <x:c r="I497" s="46"/>
      <x:c r="J497" s="46"/>
      <x:c r="K497" s="46" t="str">
        <x:f>IF(COUNT(G497,I497)=0,"",AVERAGE(G497,I497))</x:f>
      </x:c>
      <x:c r="L497" s="46" t="str">
        <x:f>IF(COUNT(H497,J497)=0,"",AVERAGE(H497,J497))</x:f>
      </x:c>
      <x:c r="M497" s="46" t="str">
        <x:f>IF(OR(K497="",L497=""),"",L497-K497)</x:f>
      </x:c>
      <x:c r="N497" s="46" t="str">
        <x:f>IF(OR(K497="",A496&lt;&gt;A497,K496=""),"",K497-K496)</x:f>
      </x:c>
      <x:c r="O497" s="42" t="str">
        <x:v>Sem informação</x:v>
      </x:c>
      <x:c r="P497" s="42"/>
      <x:c r="Q497" s="42" t="str"/>
      <x:c r="R497" s="42" t="str"/>
      <x:c r="S497" s="42" t="str"/>
      <x:c r="T497" s="42" t="str"/>
    </x:row>
    <x:row r="498">
      <x:c r="A498" s="42" t="str">
        <x:v>Leonardo Nannetti</x:v>
      </x:c>
      <x:c r="B498" s="42" t="n">
        <x:v>2030</x:v>
      </x:c>
      <x:c r="C498" s="42" t="str">
        <x:v>T1</x:v>
      </x:c>
      <x:c r="D498" s="44" t="n">
        <x:v>47573</x:v>
      </x:c>
      <x:c r="E498" s="42" t="str">
        <x:v>Goleiro</x:v>
      </x:c>
      <x:c r="F498" s="42" t="str">
        <x:v>CR Flamengo Sub-20</x:v>
      </x:c>
      <x:c r="G498" s="46"/>
      <x:c r="H498" s="46"/>
      <x:c r="I498" s="46"/>
      <x:c r="J498" s="46"/>
      <x:c r="K498" s="46" t="str">
        <x:f>IF(COUNT(G498,I498)=0,"",AVERAGE(G498,I498))</x:f>
      </x:c>
      <x:c r="L498" s="46" t="str">
        <x:f>IF(COUNT(H498,J498)=0,"",AVERAGE(H498,J498))</x:f>
      </x:c>
      <x:c r="M498" s="46" t="str">
        <x:f>IF(OR(K498="",L498=""),"",L498-K498)</x:f>
      </x:c>
      <x:c r="N498" s="46" t="str">
        <x:f>IF(OR(K498="",A497&lt;&gt;A498,K497=""),"",K498-K497)</x:f>
      </x:c>
      <x:c r="O498" s="42" t="str">
        <x:v>Sem informação</x:v>
      </x:c>
      <x:c r="P498" s="42"/>
      <x:c r="Q498" s="42" t="str"/>
      <x:c r="R498" s="42" t="str"/>
      <x:c r="S498" s="42" t="str"/>
      <x:c r="T498" s="42" t="str"/>
    </x:row>
    <x:row r="499">
      <x:c r="A499" s="42" t="str">
        <x:v>Leonardo Nannetti</x:v>
      </x:c>
      <x:c r="B499" s="42" t="n">
        <x:v>2030</x:v>
      </x:c>
      <x:c r="C499" s="42" t="str">
        <x:v>T2</x:v>
      </x:c>
      <x:c r="D499" s="44" t="n">
        <x:v>47664</x:v>
      </x:c>
      <x:c r="E499" s="42" t="str">
        <x:v>Goleiro</x:v>
      </x:c>
      <x:c r="F499" s="42" t="str">
        <x:v>CR Flamengo Sub-20</x:v>
      </x:c>
      <x:c r="G499" s="46"/>
      <x:c r="H499" s="46"/>
      <x:c r="I499" s="46"/>
      <x:c r="J499" s="46"/>
      <x:c r="K499" s="46" t="str">
        <x:f>IF(COUNT(G499,I499)=0,"",AVERAGE(G499,I499))</x:f>
      </x:c>
      <x:c r="L499" s="46" t="str">
        <x:f>IF(COUNT(H499,J499)=0,"",AVERAGE(H499,J499))</x:f>
      </x:c>
      <x:c r="M499" s="46" t="str">
        <x:f>IF(OR(K499="",L499=""),"",L499-K499)</x:f>
      </x:c>
      <x:c r="N499" s="46" t="str">
        <x:f>IF(OR(K499="",A498&lt;&gt;A499,K498=""),"",K499-K498)</x:f>
      </x:c>
      <x:c r="O499" s="42" t="str">
        <x:v>Sem informação</x:v>
      </x:c>
      <x:c r="P499" s="42"/>
      <x:c r="Q499" s="42" t="str"/>
      <x:c r="R499" s="42" t="str"/>
      <x:c r="S499" s="42" t="str"/>
      <x:c r="T499" s="42" t="str"/>
    </x:row>
    <x:row r="500">
      <x:c r="A500" s="42" t="str">
        <x:v>Leonardo Nannetti</x:v>
      </x:c>
      <x:c r="B500" s="42" t="n">
        <x:v>2030</x:v>
      </x:c>
      <x:c r="C500" s="42" t="str">
        <x:v>T3</x:v>
      </x:c>
      <x:c r="D500" s="44" t="n">
        <x:v>47756</x:v>
      </x:c>
      <x:c r="E500" s="42" t="str">
        <x:v>Goleiro</x:v>
      </x:c>
      <x:c r="F500" s="42" t="str">
        <x:v>CR Flamengo Sub-20</x:v>
      </x:c>
      <x:c r="G500" s="46"/>
      <x:c r="H500" s="46"/>
      <x:c r="I500" s="46"/>
      <x:c r="J500" s="46"/>
      <x:c r="K500" s="46" t="str">
        <x:f>IF(COUNT(G500,I500)=0,"",AVERAGE(G500,I500))</x:f>
      </x:c>
      <x:c r="L500" s="46" t="str">
        <x:f>IF(COUNT(H500,J500)=0,"",AVERAGE(H500,J500))</x:f>
      </x:c>
      <x:c r="M500" s="46" t="str">
        <x:f>IF(OR(K500="",L500=""),"",L500-K500)</x:f>
      </x:c>
      <x:c r="N500" s="46" t="str">
        <x:f>IF(OR(K500="",A499&lt;&gt;A500,K499=""),"",K500-K499)</x:f>
      </x:c>
      <x:c r="O500" s="42" t="str">
        <x:v>Sem informação</x:v>
      </x:c>
      <x:c r="P500" s="42"/>
      <x:c r="Q500" s="42" t="str"/>
      <x:c r="R500" s="42" t="str"/>
      <x:c r="S500" s="42" t="str"/>
      <x:c r="T500" s="42" t="str"/>
    </x:row>
    <x:row r="501">
      <x:c r="A501" s="42" t="str">
        <x:v>Leonardo Nannetti</x:v>
      </x:c>
      <x:c r="B501" s="42" t="n">
        <x:v>2030</x:v>
      </x:c>
      <x:c r="C501" s="42" t="str">
        <x:v>T4</x:v>
      </x:c>
      <x:c r="D501" s="44" t="n">
        <x:v>47848</x:v>
      </x:c>
      <x:c r="E501" s="42" t="str">
        <x:v>Goleiro</x:v>
      </x:c>
      <x:c r="F501" s="42" t="str">
        <x:v>CR Flamengo Sub-20</x:v>
      </x:c>
      <x:c r="G501" s="46"/>
      <x:c r="H501" s="46"/>
      <x:c r="I501" s="46"/>
      <x:c r="J501" s="46"/>
      <x:c r="K501" s="46" t="str">
        <x:f>IF(COUNT(G501,I501)=0,"",AVERAGE(G501,I501))</x:f>
      </x:c>
      <x:c r="L501" s="46" t="str">
        <x:f>IF(COUNT(H501,J501)=0,"",AVERAGE(H501,J501))</x:f>
      </x:c>
      <x:c r="M501" s="46" t="str">
        <x:f>IF(OR(K501="",L501=""),"",L501-K501)</x:f>
      </x:c>
      <x:c r="N501" s="46" t="str">
        <x:f>IF(OR(K501="",A500&lt;&gt;A501,K500=""),"",K501-K500)</x:f>
      </x:c>
      <x:c r="O501" s="42" t="str">
        <x:v>Sem informação</x:v>
      </x:c>
      <x:c r="P501" s="42"/>
      <x:c r="Q501" s="42" t="str"/>
      <x:c r="R501" s="42" t="str"/>
      <x:c r="S501" s="42" t="str"/>
      <x:c r="T501" s="42" t="str"/>
    </x:row>
    <x:row r="502">
      <x:c r="A502" s="42" t="str">
        <x:v>Lucas Beraldo</x:v>
      </x:c>
      <x:c r="B502" s="42" t="n">
        <x:v>2026</x:v>
      </x:c>
      <x:c r="C502" s="42" t="str">
        <x:v>T1</x:v>
      </x:c>
      <x:c r="D502" s="44" t="n">
        <x:v>46112</x:v>
      </x:c>
      <x:c r="E502" s="42" t="str">
        <x:v>Zagueiro</x:v>
      </x:c>
      <x:c r="F502" s="42" t="str">
        <x:v>Paris Saint-Germain</x:v>
      </x:c>
      <x:c r="G502" s="46"/>
      <x:c r="H502" s="46"/>
      <x:c r="I502" s="46"/>
      <x:c r="J502" s="46"/>
      <x:c r="K502" s="46" t="str">
        <x:f>IF(COUNT(G502,I502)=0,"",AVERAGE(G502,I502))</x:f>
      </x:c>
      <x:c r="L502" s="46" t="str">
        <x:f>IF(COUNT(H502,J502)=0,"",AVERAGE(H502,J502))</x:f>
      </x:c>
      <x:c r="M502" s="46" t="str">
        <x:f>IF(OR(K502="",L502=""),"",L502-K502)</x:f>
      </x:c>
      <x:c r="N502" s="46" t="str">
        <x:f>IF(OR(K502="",A501&lt;&gt;A502,K501=""),"",K502-K501)</x:f>
      </x:c>
      <x:c r="O502" s="42" t="str">
        <x:v>Sem informação</x:v>
      </x:c>
      <x:c r="P502" s="42"/>
      <x:c r="Q502" s="42" t="str"/>
      <x:c r="R502" s="42" t="str"/>
      <x:c r="S502" s="42" t="str"/>
      <x:c r="T502" s="42" t="str"/>
    </x:row>
    <x:row r="503">
      <x:c r="A503" s="42" t="str">
        <x:v>Lucas Beraldo</x:v>
      </x:c>
      <x:c r="B503" s="42" t="n">
        <x:v>2026</x:v>
      </x:c>
      <x:c r="C503" s="42" t="str">
        <x:v>T2</x:v>
      </x:c>
      <x:c r="D503" s="44" t="n">
        <x:v>46203</x:v>
      </x:c>
      <x:c r="E503" s="42" t="str">
        <x:v>Zagueiro</x:v>
      </x:c>
      <x:c r="F503" s="42" t="str">
        <x:v>Paris Saint-Germain</x:v>
      </x:c>
      <x:c r="G503" s="46" t="n">
        <x:v>7</x:v>
      </x:c>
      <x:c r="H503" s="46" t="n">
        <x:v>8.5</x:v>
      </x:c>
      <x:c r="I503" s="46" t="n">
        <x:v>7.5</x:v>
      </x:c>
      <x:c r="J503" s="46" t="n">
        <x:v>8.5</x:v>
      </x:c>
      <x:c r="K503" s="46" t="n">
        <x:f>IF(COUNT(G503,I503)=0,"",AVERAGE(G503,I503))</x:f>
        <x:v>7.25</x:v>
      </x:c>
      <x:c r="L503" s="46" t="n">
        <x:f>IF(COUNT(H503,J503)=0,"",AVERAGE(H503,J503))</x:f>
        <x:v>8.5</x:v>
      </x:c>
      <x:c r="M503" s="46" t="n">
        <x:f>IF(OR(K503="",L503=""),"",L503-K503)</x:f>
        <x:v>1.25</x:v>
      </x:c>
      <x:c r="N503" s="46" t="str">
        <x:f>IF(OR(K503="",A502&lt;&gt;A503,K502=""),"",K503-K502)</x:f>
      </x:c>
      <x:c r="O503" s="42" t="str">
        <x:v>Sem informação</x:v>
      </x:c>
      <x:c r="P503" s="42"/>
      <x:c r="Q503" s="42" t="str">
        <x:v>O potencial substituto do Marquinhos e ainda polivalente.</x:v>
      </x:c>
      <x:c r="R503" s="42" t="str">
        <x:v>Pode se tornar um dos melhores do mundo. Boa opção para primeiro volante.</x:v>
      </x:c>
      <x:c r="S503" s="42" t="str"/>
      <x:c r="T503" s="42" t="str"/>
    </x:row>
    <x:row r="504">
      <x:c r="A504" s="42" t="str">
        <x:v>Lucas Beraldo</x:v>
      </x:c>
      <x:c r="B504" s="42" t="n">
        <x:v>2026</x:v>
      </x:c>
      <x:c r="C504" s="42" t="str">
        <x:v>T3</x:v>
      </x:c>
      <x:c r="D504" s="44" t="n">
        <x:v>46295</x:v>
      </x:c>
      <x:c r="E504" s="42" t="str">
        <x:v>Zagueiro</x:v>
      </x:c>
      <x:c r="F504" s="42" t="str">
        <x:v>Paris Saint-Germain</x:v>
      </x:c>
      <x:c r="G504" s="46"/>
      <x:c r="H504" s="46"/>
      <x:c r="I504" s="46"/>
      <x:c r="J504" s="46"/>
      <x:c r="K504" s="46" t="str">
        <x:f>IF(COUNT(G504,I504)=0,"",AVERAGE(G504,I504))</x:f>
      </x:c>
      <x:c r="L504" s="46" t="str">
        <x:f>IF(COUNT(H504,J504)=0,"",AVERAGE(H504,J504))</x:f>
      </x:c>
      <x:c r="M504" s="46" t="str">
        <x:f>IF(OR(K504="",L504=""),"",L504-K504)</x:f>
      </x:c>
      <x:c r="N504" s="46" t="str">
        <x:f>IF(OR(K504="",A503&lt;&gt;A504,K503=""),"",K504-K503)</x:f>
      </x:c>
      <x:c r="O504" s="42" t="str">
        <x:v>Sem informação</x:v>
      </x:c>
      <x:c r="P504" s="42"/>
      <x:c r="Q504" s="42" t="str"/>
      <x:c r="R504" s="42" t="str"/>
      <x:c r="S504" s="42" t="str"/>
      <x:c r="T504" s="42" t="str"/>
    </x:row>
    <x:row r="505">
      <x:c r="A505" s="42" t="str">
        <x:v>Lucas Beraldo</x:v>
      </x:c>
      <x:c r="B505" s="42" t="n">
        <x:v>2026</x:v>
      </x:c>
      <x:c r="C505" s="42" t="str">
        <x:v>T4</x:v>
      </x:c>
      <x:c r="D505" s="44" t="n">
        <x:v>46387</x:v>
      </x:c>
      <x:c r="E505" s="42" t="str">
        <x:v>Zagueiro</x:v>
      </x:c>
      <x:c r="F505" s="42" t="str">
        <x:v>Paris Saint-Germain</x:v>
      </x:c>
      <x:c r="G505" s="46"/>
      <x:c r="H505" s="46"/>
      <x:c r="I505" s="46"/>
      <x:c r="J505" s="46"/>
      <x:c r="K505" s="46" t="str">
        <x:f>IF(COUNT(G505,I505)=0,"",AVERAGE(G505,I505))</x:f>
      </x:c>
      <x:c r="L505" s="46" t="str">
        <x:f>IF(COUNT(H505,J505)=0,"",AVERAGE(H505,J505))</x:f>
      </x:c>
      <x:c r="M505" s="46" t="str">
        <x:f>IF(OR(K505="",L505=""),"",L505-K505)</x:f>
      </x:c>
      <x:c r="N505" s="46" t="str">
        <x:f>IF(OR(K505="",A504&lt;&gt;A505,K504=""),"",K505-K504)</x:f>
      </x:c>
      <x:c r="O505" s="42" t="str">
        <x:v>Sem informação</x:v>
      </x:c>
      <x:c r="P505" s="42"/>
      <x:c r="Q505" s="42" t="str"/>
      <x:c r="R505" s="42" t="str"/>
      <x:c r="S505" s="42" t="str"/>
      <x:c r="T505" s="42" t="str"/>
    </x:row>
    <x:row r="506">
      <x:c r="A506" s="42" t="str">
        <x:v>Lucas Beraldo</x:v>
      </x:c>
      <x:c r="B506" s="42" t="n">
        <x:v>2027</x:v>
      </x:c>
      <x:c r="C506" s="42" t="str">
        <x:v>T1</x:v>
      </x:c>
      <x:c r="D506" s="44" t="n">
        <x:v>46477</x:v>
      </x:c>
      <x:c r="E506" s="42" t="str">
        <x:v>Zagueiro</x:v>
      </x:c>
      <x:c r="F506" s="42" t="str">
        <x:v>Paris Saint-Germain</x:v>
      </x:c>
      <x:c r="G506" s="46"/>
      <x:c r="H506" s="46"/>
      <x:c r="I506" s="46"/>
      <x:c r="J506" s="46"/>
      <x:c r="K506" s="46" t="str">
        <x:f>IF(COUNT(G506,I506)=0,"",AVERAGE(G506,I506))</x:f>
      </x:c>
      <x:c r="L506" s="46" t="str">
        <x:f>IF(COUNT(H506,J506)=0,"",AVERAGE(H506,J506))</x:f>
      </x:c>
      <x:c r="M506" s="46" t="str">
        <x:f>IF(OR(K506="",L506=""),"",L506-K506)</x:f>
      </x:c>
      <x:c r="N506" s="46" t="str">
        <x:f>IF(OR(K506="",A505&lt;&gt;A506,K505=""),"",K506-K505)</x:f>
      </x:c>
      <x:c r="O506" s="42" t="str">
        <x:v>Sem informação</x:v>
      </x:c>
      <x:c r="P506" s="42"/>
      <x:c r="Q506" s="42" t="str"/>
      <x:c r="R506" s="42" t="str"/>
      <x:c r="S506" s="42" t="str"/>
      <x:c r="T506" s="42" t="str"/>
    </x:row>
    <x:row r="507">
      <x:c r="A507" s="42" t="str">
        <x:v>Lucas Beraldo</x:v>
      </x:c>
      <x:c r="B507" s="42" t="n">
        <x:v>2027</x:v>
      </x:c>
      <x:c r="C507" s="42" t="str">
        <x:v>T2</x:v>
      </x:c>
      <x:c r="D507" s="44" t="n">
        <x:v>46568</x:v>
      </x:c>
      <x:c r="E507" s="42" t="str">
        <x:v>Zagueiro</x:v>
      </x:c>
      <x:c r="F507" s="42" t="str">
        <x:v>Paris Saint-Germain</x:v>
      </x:c>
      <x:c r="G507" s="46"/>
      <x:c r="H507" s="46"/>
      <x:c r="I507" s="46"/>
      <x:c r="J507" s="46"/>
      <x:c r="K507" s="46" t="str">
        <x:f>IF(COUNT(G507,I507)=0,"",AVERAGE(G507,I507))</x:f>
      </x:c>
      <x:c r="L507" s="46" t="str">
        <x:f>IF(COUNT(H507,J507)=0,"",AVERAGE(H507,J507))</x:f>
      </x:c>
      <x:c r="M507" s="46" t="str">
        <x:f>IF(OR(K507="",L507=""),"",L507-K507)</x:f>
      </x:c>
      <x:c r="N507" s="46" t="str">
        <x:f>IF(OR(K507="",A506&lt;&gt;A507,K506=""),"",K507-K506)</x:f>
      </x:c>
      <x:c r="O507" s="42" t="str">
        <x:v>Sem informação</x:v>
      </x:c>
      <x:c r="P507" s="42"/>
      <x:c r="Q507" s="42" t="str"/>
      <x:c r="R507" s="42" t="str"/>
      <x:c r="S507" s="42" t="str"/>
      <x:c r="T507" s="42" t="str"/>
    </x:row>
    <x:row r="508">
      <x:c r="A508" s="42" t="str">
        <x:v>Lucas Beraldo</x:v>
      </x:c>
      <x:c r="B508" s="42" t="n">
        <x:v>2027</x:v>
      </x:c>
      <x:c r="C508" s="42" t="str">
        <x:v>T3</x:v>
      </x:c>
      <x:c r="D508" s="44" t="n">
        <x:v>46660</x:v>
      </x:c>
      <x:c r="E508" s="42" t="str">
        <x:v>Zagueiro</x:v>
      </x:c>
      <x:c r="F508" s="42" t="str">
        <x:v>Paris Saint-Germain</x:v>
      </x:c>
      <x:c r="G508" s="46"/>
      <x:c r="H508" s="46"/>
      <x:c r="I508" s="46"/>
      <x:c r="J508" s="46"/>
      <x:c r="K508" s="46" t="str">
        <x:f>IF(COUNT(G508,I508)=0,"",AVERAGE(G508,I508))</x:f>
      </x:c>
      <x:c r="L508" s="46" t="str">
        <x:f>IF(COUNT(H508,J508)=0,"",AVERAGE(H508,J508))</x:f>
      </x:c>
      <x:c r="M508" s="46" t="str">
        <x:f>IF(OR(K508="",L508=""),"",L508-K508)</x:f>
      </x:c>
      <x:c r="N508" s="46" t="str">
        <x:f>IF(OR(K508="",A507&lt;&gt;A508,K507=""),"",K508-K507)</x:f>
      </x:c>
      <x:c r="O508" s="42" t="str">
        <x:v>Sem informação</x:v>
      </x:c>
      <x:c r="P508" s="42"/>
      <x:c r="Q508" s="42" t="str"/>
      <x:c r="R508" s="42" t="str"/>
      <x:c r="S508" s="42" t="str"/>
      <x:c r="T508" s="42" t="str"/>
    </x:row>
    <x:row r="509">
      <x:c r="A509" s="42" t="str">
        <x:v>Lucas Beraldo</x:v>
      </x:c>
      <x:c r="B509" s="42" t="n">
        <x:v>2027</x:v>
      </x:c>
      <x:c r="C509" s="42" t="str">
        <x:v>T4</x:v>
      </x:c>
      <x:c r="D509" s="44" t="n">
        <x:v>46752</x:v>
      </x:c>
      <x:c r="E509" s="42" t="str">
        <x:v>Zagueiro</x:v>
      </x:c>
      <x:c r="F509" s="42" t="str">
        <x:v>Paris Saint-Germain</x:v>
      </x:c>
      <x:c r="G509" s="46"/>
      <x:c r="H509" s="46"/>
      <x:c r="I509" s="46"/>
      <x:c r="J509" s="46"/>
      <x:c r="K509" s="46" t="str">
        <x:f>IF(COUNT(G509,I509)=0,"",AVERAGE(G509,I509))</x:f>
      </x:c>
      <x:c r="L509" s="46" t="str">
        <x:f>IF(COUNT(H509,J509)=0,"",AVERAGE(H509,J509))</x:f>
      </x:c>
      <x:c r="M509" s="46" t="str">
        <x:f>IF(OR(K509="",L509=""),"",L509-K509)</x:f>
      </x:c>
      <x:c r="N509" s="46" t="str">
        <x:f>IF(OR(K509="",A508&lt;&gt;A509,K508=""),"",K509-K508)</x:f>
      </x:c>
      <x:c r="O509" s="42" t="str">
        <x:v>Sem informação</x:v>
      </x:c>
      <x:c r="P509" s="42"/>
      <x:c r="Q509" s="42" t="str"/>
      <x:c r="R509" s="42" t="str"/>
      <x:c r="S509" s="42" t="str"/>
      <x:c r="T509" s="42" t="str"/>
    </x:row>
    <x:row r="510">
      <x:c r="A510" s="42" t="str">
        <x:v>Lucas Beraldo</x:v>
      </x:c>
      <x:c r="B510" s="42" t="n">
        <x:v>2028</x:v>
      </x:c>
      <x:c r="C510" s="42" t="str">
        <x:v>T1</x:v>
      </x:c>
      <x:c r="D510" s="44" t="n">
        <x:v>46843</x:v>
      </x:c>
      <x:c r="E510" s="42" t="str">
        <x:v>Zagueiro</x:v>
      </x:c>
      <x:c r="F510" s="42" t="str">
        <x:v>Paris Saint-Germain</x:v>
      </x:c>
      <x:c r="G510" s="46"/>
      <x:c r="H510" s="46"/>
      <x:c r="I510" s="46"/>
      <x:c r="J510" s="46"/>
      <x:c r="K510" s="46" t="str">
        <x:f>IF(COUNT(G510,I510)=0,"",AVERAGE(G510,I510))</x:f>
      </x:c>
      <x:c r="L510" s="46" t="str">
        <x:f>IF(COUNT(H510,J510)=0,"",AVERAGE(H510,J510))</x:f>
      </x:c>
      <x:c r="M510" s="46" t="str">
        <x:f>IF(OR(K510="",L510=""),"",L510-K510)</x:f>
      </x:c>
      <x:c r="N510" s="46" t="str">
        <x:f>IF(OR(K510="",A509&lt;&gt;A510,K509=""),"",K510-K509)</x:f>
      </x:c>
      <x:c r="O510" s="42" t="str">
        <x:v>Sem informação</x:v>
      </x:c>
      <x:c r="P510" s="42"/>
      <x:c r="Q510" s="42" t="str"/>
      <x:c r="R510" s="42" t="str"/>
      <x:c r="S510" s="42" t="str"/>
      <x:c r="T510" s="42" t="str"/>
    </x:row>
    <x:row r="511">
      <x:c r="A511" s="42" t="str">
        <x:v>Lucas Beraldo</x:v>
      </x:c>
      <x:c r="B511" s="42" t="n">
        <x:v>2028</x:v>
      </x:c>
      <x:c r="C511" s="42" t="str">
        <x:v>T2</x:v>
      </x:c>
      <x:c r="D511" s="44" t="n">
        <x:v>46934</x:v>
      </x:c>
      <x:c r="E511" s="42" t="str">
        <x:v>Zagueiro</x:v>
      </x:c>
      <x:c r="F511" s="42" t="str">
        <x:v>Paris Saint-Germain</x:v>
      </x:c>
      <x:c r="G511" s="46"/>
      <x:c r="H511" s="46"/>
      <x:c r="I511" s="46"/>
      <x:c r="J511" s="46"/>
      <x:c r="K511" s="46" t="str">
        <x:f>IF(COUNT(G511,I511)=0,"",AVERAGE(G511,I511))</x:f>
      </x:c>
      <x:c r="L511" s="46" t="str">
        <x:f>IF(COUNT(H511,J511)=0,"",AVERAGE(H511,J511))</x:f>
      </x:c>
      <x:c r="M511" s="46" t="str">
        <x:f>IF(OR(K511="",L511=""),"",L511-K511)</x:f>
      </x:c>
      <x:c r="N511" s="46" t="str">
        <x:f>IF(OR(K511="",A510&lt;&gt;A511,K510=""),"",K511-K510)</x:f>
      </x:c>
      <x:c r="O511" s="42" t="str">
        <x:v>Sem informação</x:v>
      </x:c>
      <x:c r="P511" s="42"/>
      <x:c r="Q511" s="42" t="str"/>
      <x:c r="R511" s="42" t="str"/>
      <x:c r="S511" s="42" t="str"/>
      <x:c r="T511" s="42" t="str"/>
    </x:row>
    <x:row r="512">
      <x:c r="A512" s="42" t="str">
        <x:v>Lucas Beraldo</x:v>
      </x:c>
      <x:c r="B512" s="42" t="n">
        <x:v>2028</x:v>
      </x:c>
      <x:c r="C512" s="42" t="str">
        <x:v>T3</x:v>
      </x:c>
      <x:c r="D512" s="44" t="n">
        <x:v>47026</x:v>
      </x:c>
      <x:c r="E512" s="42" t="str">
        <x:v>Zagueiro</x:v>
      </x:c>
      <x:c r="F512" s="42" t="str">
        <x:v>Paris Saint-Germain</x:v>
      </x:c>
      <x:c r="G512" s="46"/>
      <x:c r="H512" s="46"/>
      <x:c r="I512" s="46"/>
      <x:c r="J512" s="46"/>
      <x:c r="K512" s="46" t="str">
        <x:f>IF(COUNT(G512,I512)=0,"",AVERAGE(G512,I512))</x:f>
      </x:c>
      <x:c r="L512" s="46" t="str">
        <x:f>IF(COUNT(H512,J512)=0,"",AVERAGE(H512,J512))</x:f>
      </x:c>
      <x:c r="M512" s="46" t="str">
        <x:f>IF(OR(K512="",L512=""),"",L512-K512)</x:f>
      </x:c>
      <x:c r="N512" s="46" t="str">
        <x:f>IF(OR(K512="",A511&lt;&gt;A512,K511=""),"",K512-K511)</x:f>
      </x:c>
      <x:c r="O512" s="42" t="str">
        <x:v>Sem informação</x:v>
      </x:c>
      <x:c r="P512" s="42"/>
      <x:c r="Q512" s="42" t="str"/>
      <x:c r="R512" s="42" t="str"/>
      <x:c r="S512" s="42" t="str"/>
      <x:c r="T512" s="42" t="str"/>
    </x:row>
    <x:row r="513">
      <x:c r="A513" s="42" t="str">
        <x:v>Lucas Beraldo</x:v>
      </x:c>
      <x:c r="B513" s="42" t="n">
        <x:v>2028</x:v>
      </x:c>
      <x:c r="C513" s="42" t="str">
        <x:v>T4</x:v>
      </x:c>
      <x:c r="D513" s="44" t="n">
        <x:v>47118</x:v>
      </x:c>
      <x:c r="E513" s="42" t="str">
        <x:v>Zagueiro</x:v>
      </x:c>
      <x:c r="F513" s="42" t="str">
        <x:v>Paris Saint-Germain</x:v>
      </x:c>
      <x:c r="G513" s="46"/>
      <x:c r="H513" s="46"/>
      <x:c r="I513" s="46"/>
      <x:c r="J513" s="46"/>
      <x:c r="K513" s="46" t="str">
        <x:f>IF(COUNT(G513,I513)=0,"",AVERAGE(G513,I513))</x:f>
      </x:c>
      <x:c r="L513" s="46" t="str">
        <x:f>IF(COUNT(H513,J513)=0,"",AVERAGE(H513,J513))</x:f>
      </x:c>
      <x:c r="M513" s="46" t="str">
        <x:f>IF(OR(K513="",L513=""),"",L513-K513)</x:f>
      </x:c>
      <x:c r="N513" s="46" t="str">
        <x:f>IF(OR(K513="",A512&lt;&gt;A513,K512=""),"",K513-K512)</x:f>
      </x:c>
      <x:c r="O513" s="42" t="str">
        <x:v>Sem informação</x:v>
      </x:c>
      <x:c r="P513" s="42"/>
      <x:c r="Q513" s="42" t="str"/>
      <x:c r="R513" s="42" t="str"/>
      <x:c r="S513" s="42" t="str"/>
      <x:c r="T513" s="42" t="str"/>
    </x:row>
    <x:row r="514">
      <x:c r="A514" s="42" t="str">
        <x:v>Lucas Beraldo</x:v>
      </x:c>
      <x:c r="B514" s="42" t="n">
        <x:v>2029</x:v>
      </x:c>
      <x:c r="C514" s="42" t="str">
        <x:v>T1</x:v>
      </x:c>
      <x:c r="D514" s="44" t="n">
        <x:v>47208</x:v>
      </x:c>
      <x:c r="E514" s="42" t="str">
        <x:v>Zagueiro</x:v>
      </x:c>
      <x:c r="F514" s="42" t="str">
        <x:v>Paris Saint-Germain</x:v>
      </x:c>
      <x:c r="G514" s="46"/>
      <x:c r="H514" s="46"/>
      <x:c r="I514" s="46"/>
      <x:c r="J514" s="46"/>
      <x:c r="K514" s="46" t="str">
        <x:f>IF(COUNT(G514,I514)=0,"",AVERAGE(G514,I514))</x:f>
      </x:c>
      <x:c r="L514" s="46" t="str">
        <x:f>IF(COUNT(H514,J514)=0,"",AVERAGE(H514,J514))</x:f>
      </x:c>
      <x:c r="M514" s="46" t="str">
        <x:f>IF(OR(K514="",L514=""),"",L514-K514)</x:f>
      </x:c>
      <x:c r="N514" s="46" t="str">
        <x:f>IF(OR(K514="",A513&lt;&gt;A514,K513=""),"",K514-K513)</x:f>
      </x:c>
      <x:c r="O514" s="42" t="str">
        <x:v>Sem informação</x:v>
      </x:c>
      <x:c r="P514" s="42"/>
      <x:c r="Q514" s="42" t="str"/>
      <x:c r="R514" s="42" t="str"/>
      <x:c r="S514" s="42" t="str"/>
      <x:c r="T514" s="42" t="str"/>
    </x:row>
    <x:row r="515">
      <x:c r="A515" s="42" t="str">
        <x:v>Lucas Beraldo</x:v>
      </x:c>
      <x:c r="B515" s="42" t="n">
        <x:v>2029</x:v>
      </x:c>
      <x:c r="C515" s="42" t="str">
        <x:v>T2</x:v>
      </x:c>
      <x:c r="D515" s="44" t="n">
        <x:v>47299</x:v>
      </x:c>
      <x:c r="E515" s="42" t="str">
        <x:v>Zagueiro</x:v>
      </x:c>
      <x:c r="F515" s="42" t="str">
        <x:v>Paris Saint-Germain</x:v>
      </x:c>
      <x:c r="G515" s="46"/>
      <x:c r="H515" s="46"/>
      <x:c r="I515" s="46"/>
      <x:c r="J515" s="46"/>
      <x:c r="K515" s="46" t="str">
        <x:f>IF(COUNT(G515,I515)=0,"",AVERAGE(G515,I515))</x:f>
      </x:c>
      <x:c r="L515" s="46" t="str">
        <x:f>IF(COUNT(H515,J515)=0,"",AVERAGE(H515,J515))</x:f>
      </x:c>
      <x:c r="M515" s="46" t="str">
        <x:f>IF(OR(K515="",L515=""),"",L515-K515)</x:f>
      </x:c>
      <x:c r="N515" s="46" t="str">
        <x:f>IF(OR(K515="",A514&lt;&gt;A515,K514=""),"",K515-K514)</x:f>
      </x:c>
      <x:c r="O515" s="42" t="str">
        <x:v>Sem informação</x:v>
      </x:c>
      <x:c r="P515" s="42"/>
      <x:c r="Q515" s="42" t="str"/>
      <x:c r="R515" s="42" t="str"/>
      <x:c r="S515" s="42" t="str"/>
      <x:c r="T515" s="42" t="str"/>
    </x:row>
    <x:row r="516">
      <x:c r="A516" s="42" t="str">
        <x:v>Lucas Beraldo</x:v>
      </x:c>
      <x:c r="B516" s="42" t="n">
        <x:v>2029</x:v>
      </x:c>
      <x:c r="C516" s="42" t="str">
        <x:v>T3</x:v>
      </x:c>
      <x:c r="D516" s="44" t="n">
        <x:v>47391</x:v>
      </x:c>
      <x:c r="E516" s="42" t="str">
        <x:v>Zagueiro</x:v>
      </x:c>
      <x:c r="F516" s="42" t="str">
        <x:v>Paris Saint-Germain</x:v>
      </x:c>
      <x:c r="G516" s="46"/>
      <x:c r="H516" s="46"/>
      <x:c r="I516" s="46"/>
      <x:c r="J516" s="46"/>
      <x:c r="K516" s="46" t="str">
        <x:f>IF(COUNT(G516,I516)=0,"",AVERAGE(G516,I516))</x:f>
      </x:c>
      <x:c r="L516" s="46" t="str">
        <x:f>IF(COUNT(H516,J516)=0,"",AVERAGE(H516,J516))</x:f>
      </x:c>
      <x:c r="M516" s="46" t="str">
        <x:f>IF(OR(K516="",L516=""),"",L516-K516)</x:f>
      </x:c>
      <x:c r="N516" s="46" t="str">
        <x:f>IF(OR(K516="",A515&lt;&gt;A516,K515=""),"",K516-K515)</x:f>
      </x:c>
      <x:c r="O516" s="42" t="str">
        <x:v>Sem informação</x:v>
      </x:c>
      <x:c r="P516" s="42"/>
      <x:c r="Q516" s="42" t="str"/>
      <x:c r="R516" s="42" t="str"/>
      <x:c r="S516" s="42" t="str"/>
      <x:c r="T516" s="42" t="str"/>
    </x:row>
    <x:row r="517">
      <x:c r="A517" s="42" t="str">
        <x:v>Lucas Beraldo</x:v>
      </x:c>
      <x:c r="B517" s="42" t="n">
        <x:v>2029</x:v>
      </x:c>
      <x:c r="C517" s="42" t="str">
        <x:v>T4</x:v>
      </x:c>
      <x:c r="D517" s="44" t="n">
        <x:v>47483</x:v>
      </x:c>
      <x:c r="E517" s="42" t="str">
        <x:v>Zagueiro</x:v>
      </x:c>
      <x:c r="F517" s="42" t="str">
        <x:v>Paris Saint-Germain</x:v>
      </x:c>
      <x:c r="G517" s="46"/>
      <x:c r="H517" s="46"/>
      <x:c r="I517" s="46"/>
      <x:c r="J517" s="46"/>
      <x:c r="K517" s="46" t="str">
        <x:f>IF(COUNT(G517,I517)=0,"",AVERAGE(G517,I517))</x:f>
      </x:c>
      <x:c r="L517" s="46" t="str">
        <x:f>IF(COUNT(H517,J517)=0,"",AVERAGE(H517,J517))</x:f>
      </x:c>
      <x:c r="M517" s="46" t="str">
        <x:f>IF(OR(K517="",L517=""),"",L517-K517)</x:f>
      </x:c>
      <x:c r="N517" s="46" t="str">
        <x:f>IF(OR(K517="",A516&lt;&gt;A517,K516=""),"",K517-K516)</x:f>
      </x:c>
      <x:c r="O517" s="42" t="str">
        <x:v>Sem informação</x:v>
      </x:c>
      <x:c r="P517" s="42"/>
      <x:c r="Q517" s="42" t="str"/>
      <x:c r="R517" s="42" t="str"/>
      <x:c r="S517" s="42" t="str"/>
      <x:c r="T517" s="42" t="str"/>
    </x:row>
    <x:row r="518">
      <x:c r="A518" s="42" t="str">
        <x:v>Lucas Beraldo</x:v>
      </x:c>
      <x:c r="B518" s="42" t="n">
        <x:v>2030</x:v>
      </x:c>
      <x:c r="C518" s="42" t="str">
        <x:v>T1</x:v>
      </x:c>
      <x:c r="D518" s="44" t="n">
        <x:v>47573</x:v>
      </x:c>
      <x:c r="E518" s="42" t="str">
        <x:v>Zagueiro</x:v>
      </x:c>
      <x:c r="F518" s="42" t="str">
        <x:v>Paris Saint-Germain</x:v>
      </x:c>
      <x:c r="G518" s="46"/>
      <x:c r="H518" s="46"/>
      <x:c r="I518" s="46"/>
      <x:c r="J518" s="46"/>
      <x:c r="K518" s="46" t="str">
        <x:f>IF(COUNT(G518,I518)=0,"",AVERAGE(G518,I518))</x:f>
      </x:c>
      <x:c r="L518" s="46" t="str">
        <x:f>IF(COUNT(H518,J518)=0,"",AVERAGE(H518,J518))</x:f>
      </x:c>
      <x:c r="M518" s="46" t="str">
        <x:f>IF(OR(K518="",L518=""),"",L518-K518)</x:f>
      </x:c>
      <x:c r="N518" s="46" t="str">
        <x:f>IF(OR(K518="",A517&lt;&gt;A518,K517=""),"",K518-K517)</x:f>
      </x:c>
      <x:c r="O518" s="42" t="str">
        <x:v>Sem informação</x:v>
      </x:c>
      <x:c r="P518" s="42"/>
      <x:c r="Q518" s="42" t="str"/>
      <x:c r="R518" s="42" t="str"/>
      <x:c r="S518" s="42" t="str"/>
      <x:c r="T518" s="42" t="str"/>
    </x:row>
    <x:row r="519">
      <x:c r="A519" s="42" t="str">
        <x:v>Lucas Beraldo</x:v>
      </x:c>
      <x:c r="B519" s="42" t="n">
        <x:v>2030</x:v>
      </x:c>
      <x:c r="C519" s="42" t="str">
        <x:v>T2</x:v>
      </x:c>
      <x:c r="D519" s="44" t="n">
        <x:v>47664</x:v>
      </x:c>
      <x:c r="E519" s="42" t="str">
        <x:v>Zagueiro</x:v>
      </x:c>
      <x:c r="F519" s="42" t="str">
        <x:v>Paris Saint-Germain</x:v>
      </x:c>
      <x:c r="G519" s="46"/>
      <x:c r="H519" s="46"/>
      <x:c r="I519" s="46"/>
      <x:c r="J519" s="46"/>
      <x:c r="K519" s="46" t="str">
        <x:f>IF(COUNT(G519,I519)=0,"",AVERAGE(G519,I519))</x:f>
      </x:c>
      <x:c r="L519" s="46" t="str">
        <x:f>IF(COUNT(H519,J519)=0,"",AVERAGE(H519,J519))</x:f>
      </x:c>
      <x:c r="M519" s="46" t="str">
        <x:f>IF(OR(K519="",L519=""),"",L519-K519)</x:f>
      </x:c>
      <x:c r="N519" s="46" t="str">
        <x:f>IF(OR(K519="",A518&lt;&gt;A519,K518=""),"",K519-K518)</x:f>
      </x:c>
      <x:c r="O519" s="42" t="str">
        <x:v>Sem informação</x:v>
      </x:c>
      <x:c r="P519" s="42"/>
      <x:c r="Q519" s="42" t="str"/>
      <x:c r="R519" s="42" t="str"/>
      <x:c r="S519" s="42" t="str"/>
      <x:c r="T519" s="42" t="str"/>
    </x:row>
    <x:row r="520">
      <x:c r="A520" s="42" t="str">
        <x:v>Lucas Beraldo</x:v>
      </x:c>
      <x:c r="B520" s="42" t="n">
        <x:v>2030</x:v>
      </x:c>
      <x:c r="C520" s="42" t="str">
        <x:v>T3</x:v>
      </x:c>
      <x:c r="D520" s="44" t="n">
        <x:v>47756</x:v>
      </x:c>
      <x:c r="E520" s="42" t="str">
        <x:v>Zagueiro</x:v>
      </x:c>
      <x:c r="F520" s="42" t="str">
        <x:v>Paris Saint-Germain</x:v>
      </x:c>
      <x:c r="G520" s="46"/>
      <x:c r="H520" s="46"/>
      <x:c r="I520" s="46"/>
      <x:c r="J520" s="46"/>
      <x:c r="K520" s="46" t="str">
        <x:f>IF(COUNT(G520,I520)=0,"",AVERAGE(G520,I520))</x:f>
      </x:c>
      <x:c r="L520" s="46" t="str">
        <x:f>IF(COUNT(H520,J520)=0,"",AVERAGE(H520,J520))</x:f>
      </x:c>
      <x:c r="M520" s="46" t="str">
        <x:f>IF(OR(K520="",L520=""),"",L520-K520)</x:f>
      </x:c>
      <x:c r="N520" s="46" t="str">
        <x:f>IF(OR(K520="",A519&lt;&gt;A520,K519=""),"",K520-K519)</x:f>
      </x:c>
      <x:c r="O520" s="42" t="str">
        <x:v>Sem informação</x:v>
      </x:c>
      <x:c r="P520" s="42"/>
      <x:c r="Q520" s="42" t="str"/>
      <x:c r="R520" s="42" t="str"/>
      <x:c r="S520" s="42" t="str"/>
      <x:c r="T520" s="42" t="str"/>
    </x:row>
    <x:row r="521">
      <x:c r="A521" s="42" t="str">
        <x:v>Lucas Beraldo</x:v>
      </x:c>
      <x:c r="B521" s="42" t="n">
        <x:v>2030</x:v>
      </x:c>
      <x:c r="C521" s="42" t="str">
        <x:v>T4</x:v>
      </x:c>
      <x:c r="D521" s="44" t="n">
        <x:v>47848</x:v>
      </x:c>
      <x:c r="E521" s="42" t="str">
        <x:v>Zagueiro</x:v>
      </x:c>
      <x:c r="F521" s="42" t="str">
        <x:v>Paris Saint-Germain</x:v>
      </x:c>
      <x:c r="G521" s="46"/>
      <x:c r="H521" s="46"/>
      <x:c r="I521" s="46"/>
      <x:c r="J521" s="46"/>
      <x:c r="K521" s="46" t="str">
        <x:f>IF(COUNT(G521,I521)=0,"",AVERAGE(G521,I521))</x:f>
      </x:c>
      <x:c r="L521" s="46" t="str">
        <x:f>IF(COUNT(H521,J521)=0,"",AVERAGE(H521,J521))</x:f>
      </x:c>
      <x:c r="M521" s="46" t="str">
        <x:f>IF(OR(K521="",L521=""),"",L521-K521)</x:f>
      </x:c>
      <x:c r="N521" s="46" t="str">
        <x:f>IF(OR(K521="",A520&lt;&gt;A521,K520=""),"",K521-K520)</x:f>
      </x:c>
      <x:c r="O521" s="42" t="str">
        <x:v>Sem informação</x:v>
      </x:c>
      <x:c r="P521" s="42"/>
      <x:c r="Q521" s="42" t="str"/>
      <x:c r="R521" s="42" t="str"/>
      <x:c r="S521" s="42" t="str"/>
      <x:c r="T521" s="42" t="str"/>
    </x:row>
    <x:row r="522">
      <x:c r="A522" s="42" t="str">
        <x:v>Lucas Perri</x:v>
      </x:c>
      <x:c r="B522" s="42" t="n">
        <x:v>2026</x:v>
      </x:c>
      <x:c r="C522" s="42" t="str">
        <x:v>T1</x:v>
      </x:c>
      <x:c r="D522" s="44" t="n">
        <x:v>46112</x:v>
      </x:c>
      <x:c r="E522" s="42" t="str">
        <x:v>Goleiro</x:v>
      </x:c>
      <x:c r="F522" s="42" t="str">
        <x:v>Leeds United FC</x:v>
      </x:c>
      <x:c r="G522" s="46"/>
      <x:c r="H522" s="46"/>
      <x:c r="I522" s="46"/>
      <x:c r="J522" s="46"/>
      <x:c r="K522" s="46" t="str">
        <x:f>IF(COUNT(G522,I522)=0,"",AVERAGE(G522,I522))</x:f>
      </x:c>
      <x:c r="L522" s="46" t="str">
        <x:f>IF(COUNT(H522,J522)=0,"",AVERAGE(H522,J522))</x:f>
      </x:c>
      <x:c r="M522" s="46" t="str">
        <x:f>IF(OR(K522="",L522=""),"",L522-K522)</x:f>
      </x:c>
      <x:c r="N522" s="46" t="str">
        <x:f>IF(OR(K522="",A521&lt;&gt;A522,K521=""),"",K522-K521)</x:f>
      </x:c>
      <x:c r="O522" s="42" t="str">
        <x:v>Sem informação</x:v>
      </x:c>
      <x:c r="P522" s="42"/>
      <x:c r="Q522" s="42" t="str"/>
      <x:c r="R522" s="42" t="str"/>
      <x:c r="S522" s="42" t="str"/>
      <x:c r="T522" s="42" t="str"/>
    </x:row>
    <x:row r="523">
      <x:c r="A523" s="42" t="str">
        <x:v>Lucas Perri</x:v>
      </x:c>
      <x:c r="B523" s="42" t="n">
        <x:v>2026</x:v>
      </x:c>
      <x:c r="C523" s="42" t="str">
        <x:v>T2</x:v>
      </x:c>
      <x:c r="D523" s="44" t="n">
        <x:v>46203</x:v>
      </x:c>
      <x:c r="E523" s="42" t="str">
        <x:v>Goleiro</x:v>
      </x:c>
      <x:c r="F523" s="42" t="str">
        <x:v>Lyon</x:v>
      </x:c>
      <x:c r="G523" s="46" t="n">
        <x:v>6.5</x:v>
      </x:c>
      <x:c r="H523" s="46" t="n">
        <x:v>8</x:v>
      </x:c>
      <x:c r="I523" s="46" t="n">
        <x:v>7</x:v>
      </x:c>
      <x:c r="J523" s="46" t="n">
        <x:v>8.5</x:v>
      </x:c>
      <x:c r="K523" s="46" t="n">
        <x:f>IF(COUNT(G523,I523)=0,"",AVERAGE(G523,I523))</x:f>
        <x:v>6.75</x:v>
      </x:c>
      <x:c r="L523" s="46" t="n">
        <x:f>IF(COUNT(H523,J523)=0,"",AVERAGE(H523,J523))</x:f>
        <x:v>8.25</x:v>
      </x:c>
      <x:c r="M523" s="46" t="n">
        <x:f>IF(OR(K523="",L523=""),"",L523-K523)</x:f>
        <x:v>1.5</x:v>
      </x:c>
      <x:c r="N523" s="46" t="str">
        <x:f>IF(OR(K523="",A522&lt;&gt;A523,K522=""),"",K523-K522)</x:f>
      </x:c>
      <x:c r="O523" s="42" t="str">
        <x:v>Sem informação</x:v>
      </x:c>
      <x:c r="P523" s="42"/>
      <x:c r="Q523" s="42" t="str"/>
      <x:c r="R523" s="42" t="str">
        <x:v>Bom potencial.</x:v>
      </x:c>
      <x:c r="S523" s="42" t="str"/>
      <x:c r="T523" s="42" t="str"/>
    </x:row>
    <x:row r="524">
      <x:c r="A524" s="42" t="str">
        <x:v>Lucas Perri</x:v>
      </x:c>
      <x:c r="B524" s="42" t="n">
        <x:v>2026</x:v>
      </x:c>
      <x:c r="C524" s="42" t="str">
        <x:v>T3</x:v>
      </x:c>
      <x:c r="D524" s="44" t="n">
        <x:v>46295</x:v>
      </x:c>
      <x:c r="E524" s="42" t="str">
        <x:v>Goleiro</x:v>
      </x:c>
      <x:c r="F524" s="42" t="str">
        <x:v>Leeds United FC</x:v>
      </x:c>
      <x:c r="G524" s="46"/>
      <x:c r="H524" s="46"/>
      <x:c r="I524" s="46"/>
      <x:c r="J524" s="46"/>
      <x:c r="K524" s="46" t="str">
        <x:f>IF(COUNT(G524,I524)=0,"",AVERAGE(G524,I524))</x:f>
      </x:c>
      <x:c r="L524" s="46" t="str">
        <x:f>IF(COUNT(H524,J524)=0,"",AVERAGE(H524,J524))</x:f>
      </x:c>
      <x:c r="M524" s="46" t="str">
        <x:f>IF(OR(K524="",L524=""),"",L524-K524)</x:f>
      </x:c>
      <x:c r="N524" s="46" t="str">
        <x:f>IF(OR(K524="",A523&lt;&gt;A524,K523=""),"",K524-K523)</x:f>
      </x:c>
      <x:c r="O524" s="42" t="str">
        <x:v>Sem informação</x:v>
      </x:c>
      <x:c r="P524" s="42"/>
      <x:c r="Q524" s="42" t="str"/>
      <x:c r="R524" s="42" t="str"/>
      <x:c r="S524" s="42" t="str"/>
      <x:c r="T524" s="42" t="str"/>
    </x:row>
    <x:row r="525">
      <x:c r="A525" s="42" t="str">
        <x:v>Lucas Perri</x:v>
      </x:c>
      <x:c r="B525" s="42" t="n">
        <x:v>2026</x:v>
      </x:c>
      <x:c r="C525" s="42" t="str">
        <x:v>T4</x:v>
      </x:c>
      <x:c r="D525" s="44" t="n">
        <x:v>46387</x:v>
      </x:c>
      <x:c r="E525" s="42" t="str">
        <x:v>Goleiro</x:v>
      </x:c>
      <x:c r="F525" s="42" t="str">
        <x:v>Leeds United FC</x:v>
      </x:c>
      <x:c r="G525" s="46"/>
      <x:c r="H525" s="46"/>
      <x:c r="I525" s="46"/>
      <x:c r="J525" s="46"/>
      <x:c r="K525" s="46" t="str">
        <x:f>IF(COUNT(G525,I525)=0,"",AVERAGE(G525,I525))</x:f>
      </x:c>
      <x:c r="L525" s="46" t="str">
        <x:f>IF(COUNT(H525,J525)=0,"",AVERAGE(H525,J525))</x:f>
      </x:c>
      <x:c r="M525" s="46" t="str">
        <x:f>IF(OR(K525="",L525=""),"",L525-K525)</x:f>
      </x:c>
      <x:c r="N525" s="46" t="str">
        <x:f>IF(OR(K525="",A524&lt;&gt;A525,K524=""),"",K525-K524)</x:f>
      </x:c>
      <x:c r="O525" s="42" t="str">
        <x:v>Sem informação</x:v>
      </x:c>
      <x:c r="P525" s="42"/>
      <x:c r="Q525" s="42" t="str"/>
      <x:c r="R525" s="42" t="str"/>
      <x:c r="S525" s="42" t="str"/>
      <x:c r="T525" s="42" t="str"/>
    </x:row>
    <x:row r="526">
      <x:c r="A526" s="42" t="str">
        <x:v>Lucas Perri</x:v>
      </x:c>
      <x:c r="B526" s="42" t="n">
        <x:v>2027</x:v>
      </x:c>
      <x:c r="C526" s="42" t="str">
        <x:v>T1</x:v>
      </x:c>
      <x:c r="D526" s="44" t="n">
        <x:v>46477</x:v>
      </x:c>
      <x:c r="E526" s="42" t="str">
        <x:v>Goleiro</x:v>
      </x:c>
      <x:c r="F526" s="42" t="str">
        <x:v>Leeds United FC</x:v>
      </x:c>
      <x:c r="G526" s="46"/>
      <x:c r="H526" s="46"/>
      <x:c r="I526" s="46"/>
      <x:c r="J526" s="46"/>
      <x:c r="K526" s="46" t="str">
        <x:f>IF(COUNT(G526,I526)=0,"",AVERAGE(G526,I526))</x:f>
      </x:c>
      <x:c r="L526" s="46" t="str">
        <x:f>IF(COUNT(H526,J526)=0,"",AVERAGE(H526,J526))</x:f>
      </x:c>
      <x:c r="M526" s="46" t="str">
        <x:f>IF(OR(K526="",L526=""),"",L526-K526)</x:f>
      </x:c>
      <x:c r="N526" s="46" t="str">
        <x:f>IF(OR(K526="",A525&lt;&gt;A526,K525=""),"",K526-K525)</x:f>
      </x:c>
      <x:c r="O526" s="42" t="str">
        <x:v>Sem informação</x:v>
      </x:c>
      <x:c r="P526" s="42"/>
      <x:c r="Q526" s="42" t="str"/>
      <x:c r="R526" s="42" t="str"/>
      <x:c r="S526" s="42" t="str"/>
      <x:c r="T526" s="42" t="str"/>
    </x:row>
    <x:row r="527">
      <x:c r="A527" s="42" t="str">
        <x:v>Lucas Perri</x:v>
      </x:c>
      <x:c r="B527" s="42" t="n">
        <x:v>2027</x:v>
      </x:c>
      <x:c r="C527" s="42" t="str">
        <x:v>T2</x:v>
      </x:c>
      <x:c r="D527" s="44" t="n">
        <x:v>46568</x:v>
      </x:c>
      <x:c r="E527" s="42" t="str">
        <x:v>Goleiro</x:v>
      </x:c>
      <x:c r="F527" s="42" t="str">
        <x:v>Leeds United FC</x:v>
      </x:c>
      <x:c r="G527" s="46"/>
      <x:c r="H527" s="46"/>
      <x:c r="I527" s="46"/>
      <x:c r="J527" s="46"/>
      <x:c r="K527" s="46" t="str">
        <x:f>IF(COUNT(G527,I527)=0,"",AVERAGE(G527,I527))</x:f>
      </x:c>
      <x:c r="L527" s="46" t="str">
        <x:f>IF(COUNT(H527,J527)=0,"",AVERAGE(H527,J527))</x:f>
      </x:c>
      <x:c r="M527" s="46" t="str">
        <x:f>IF(OR(K527="",L527=""),"",L527-K527)</x:f>
      </x:c>
      <x:c r="N527" s="46" t="str">
        <x:f>IF(OR(K527="",A526&lt;&gt;A527,K526=""),"",K527-K526)</x:f>
      </x:c>
      <x:c r="O527" s="42" t="str">
        <x:v>Sem informação</x:v>
      </x:c>
      <x:c r="P527" s="42"/>
      <x:c r="Q527" s="42" t="str"/>
      <x:c r="R527" s="42" t="str"/>
      <x:c r="S527" s="42" t="str"/>
      <x:c r="T527" s="42" t="str"/>
    </x:row>
    <x:row r="528">
      <x:c r="A528" s="42" t="str">
        <x:v>Lucas Perri</x:v>
      </x:c>
      <x:c r="B528" s="42" t="n">
        <x:v>2027</x:v>
      </x:c>
      <x:c r="C528" s="42" t="str">
        <x:v>T3</x:v>
      </x:c>
      <x:c r="D528" s="44" t="n">
        <x:v>46660</x:v>
      </x:c>
      <x:c r="E528" s="42" t="str">
        <x:v>Goleiro</x:v>
      </x:c>
      <x:c r="F528" s="42" t="str">
        <x:v>Leeds United FC</x:v>
      </x:c>
      <x:c r="G528" s="46"/>
      <x:c r="H528" s="46"/>
      <x:c r="I528" s="46"/>
      <x:c r="J528" s="46"/>
      <x:c r="K528" s="46" t="str">
        <x:f>IF(COUNT(G528,I528)=0,"",AVERAGE(G528,I528))</x:f>
      </x:c>
      <x:c r="L528" s="46" t="str">
        <x:f>IF(COUNT(H528,J528)=0,"",AVERAGE(H528,J528))</x:f>
      </x:c>
      <x:c r="M528" s="46" t="str">
        <x:f>IF(OR(K528="",L528=""),"",L528-K528)</x:f>
      </x:c>
      <x:c r="N528" s="46" t="str">
        <x:f>IF(OR(K528="",A527&lt;&gt;A528,K527=""),"",K528-K527)</x:f>
      </x:c>
      <x:c r="O528" s="42" t="str">
        <x:v>Sem informação</x:v>
      </x:c>
      <x:c r="P528" s="42"/>
      <x:c r="Q528" s="42" t="str"/>
      <x:c r="R528" s="42" t="str"/>
      <x:c r="S528" s="42" t="str"/>
      <x:c r="T528" s="42" t="str"/>
    </x:row>
    <x:row r="529">
      <x:c r="A529" s="42" t="str">
        <x:v>Lucas Perri</x:v>
      </x:c>
      <x:c r="B529" s="42" t="n">
        <x:v>2027</x:v>
      </x:c>
      <x:c r="C529" s="42" t="str">
        <x:v>T4</x:v>
      </x:c>
      <x:c r="D529" s="44" t="n">
        <x:v>46752</x:v>
      </x:c>
      <x:c r="E529" s="42" t="str">
        <x:v>Goleiro</x:v>
      </x:c>
      <x:c r="F529" s="42" t="str">
        <x:v>Leeds United FC</x:v>
      </x:c>
      <x:c r="G529" s="46"/>
      <x:c r="H529" s="46"/>
      <x:c r="I529" s="46"/>
      <x:c r="J529" s="46"/>
      <x:c r="K529" s="46" t="str">
        <x:f>IF(COUNT(G529,I529)=0,"",AVERAGE(G529,I529))</x:f>
      </x:c>
      <x:c r="L529" s="46" t="str">
        <x:f>IF(COUNT(H529,J529)=0,"",AVERAGE(H529,J529))</x:f>
      </x:c>
      <x:c r="M529" s="46" t="str">
        <x:f>IF(OR(K529="",L529=""),"",L529-K529)</x:f>
      </x:c>
      <x:c r="N529" s="46" t="str">
        <x:f>IF(OR(K529="",A528&lt;&gt;A529,K528=""),"",K529-K528)</x:f>
      </x:c>
      <x:c r="O529" s="42" t="str">
        <x:v>Sem informação</x:v>
      </x:c>
      <x:c r="P529" s="42"/>
      <x:c r="Q529" s="42" t="str"/>
      <x:c r="R529" s="42" t="str"/>
      <x:c r="S529" s="42" t="str"/>
      <x:c r="T529" s="42" t="str"/>
    </x:row>
    <x:row r="530">
      <x:c r="A530" s="42" t="str">
        <x:v>Lucas Perri</x:v>
      </x:c>
      <x:c r="B530" s="42" t="n">
        <x:v>2028</x:v>
      </x:c>
      <x:c r="C530" s="42" t="str">
        <x:v>T1</x:v>
      </x:c>
      <x:c r="D530" s="44" t="n">
        <x:v>46843</x:v>
      </x:c>
      <x:c r="E530" s="42" t="str">
        <x:v>Goleiro</x:v>
      </x:c>
      <x:c r="F530" s="42" t="str">
        <x:v>Leeds United FC</x:v>
      </x:c>
      <x:c r="G530" s="46"/>
      <x:c r="H530" s="46"/>
      <x:c r="I530" s="46"/>
      <x:c r="J530" s="46"/>
      <x:c r="K530" s="46" t="str">
        <x:f>IF(COUNT(G530,I530)=0,"",AVERAGE(G530,I530))</x:f>
      </x:c>
      <x:c r="L530" s="46" t="str">
        <x:f>IF(COUNT(H530,J530)=0,"",AVERAGE(H530,J530))</x:f>
      </x:c>
      <x:c r="M530" s="46" t="str">
        <x:f>IF(OR(K530="",L530=""),"",L530-K530)</x:f>
      </x:c>
      <x:c r="N530" s="46" t="str">
        <x:f>IF(OR(K530="",A529&lt;&gt;A530,K529=""),"",K530-K529)</x:f>
      </x:c>
      <x:c r="O530" s="42" t="str">
        <x:v>Sem informação</x:v>
      </x:c>
      <x:c r="P530" s="42"/>
      <x:c r="Q530" s="42" t="str"/>
      <x:c r="R530" s="42" t="str"/>
      <x:c r="S530" s="42" t="str"/>
      <x:c r="T530" s="42" t="str"/>
    </x:row>
    <x:row r="531">
      <x:c r="A531" s="42" t="str">
        <x:v>Lucas Perri</x:v>
      </x:c>
      <x:c r="B531" s="42" t="n">
        <x:v>2028</x:v>
      </x:c>
      <x:c r="C531" s="42" t="str">
        <x:v>T2</x:v>
      </x:c>
      <x:c r="D531" s="44" t="n">
        <x:v>46934</x:v>
      </x:c>
      <x:c r="E531" s="42" t="str">
        <x:v>Goleiro</x:v>
      </x:c>
      <x:c r="F531" s="42" t="str">
        <x:v>Leeds United FC</x:v>
      </x:c>
      <x:c r="G531" s="46"/>
      <x:c r="H531" s="46"/>
      <x:c r="I531" s="46"/>
      <x:c r="J531" s="46"/>
      <x:c r="K531" s="46" t="str">
        <x:f>IF(COUNT(G531,I531)=0,"",AVERAGE(G531,I531))</x:f>
      </x:c>
      <x:c r="L531" s="46" t="str">
        <x:f>IF(COUNT(H531,J531)=0,"",AVERAGE(H531,J531))</x:f>
      </x:c>
      <x:c r="M531" s="46" t="str">
        <x:f>IF(OR(K531="",L531=""),"",L531-K531)</x:f>
      </x:c>
      <x:c r="N531" s="46" t="str">
        <x:f>IF(OR(K531="",A530&lt;&gt;A531,K530=""),"",K531-K530)</x:f>
      </x:c>
      <x:c r="O531" s="42" t="str">
        <x:v>Sem informação</x:v>
      </x:c>
      <x:c r="P531" s="42"/>
      <x:c r="Q531" s="42" t="str"/>
      <x:c r="R531" s="42" t="str"/>
      <x:c r="S531" s="42" t="str"/>
      <x:c r="T531" s="42" t="str"/>
    </x:row>
    <x:row r="532">
      <x:c r="A532" s="42" t="str">
        <x:v>Lucas Perri</x:v>
      </x:c>
      <x:c r="B532" s="42" t="n">
        <x:v>2028</x:v>
      </x:c>
      <x:c r="C532" s="42" t="str">
        <x:v>T3</x:v>
      </x:c>
      <x:c r="D532" s="44" t="n">
        <x:v>47026</x:v>
      </x:c>
      <x:c r="E532" s="42" t="str">
        <x:v>Goleiro</x:v>
      </x:c>
      <x:c r="F532" s="42" t="str">
        <x:v>Leeds United FC</x:v>
      </x:c>
      <x:c r="G532" s="46"/>
      <x:c r="H532" s="46"/>
      <x:c r="I532" s="46"/>
      <x:c r="J532" s="46"/>
      <x:c r="K532" s="46" t="str">
        <x:f>IF(COUNT(G532,I532)=0,"",AVERAGE(G532,I532))</x:f>
      </x:c>
      <x:c r="L532" s="46" t="str">
        <x:f>IF(COUNT(H532,J532)=0,"",AVERAGE(H532,J532))</x:f>
      </x:c>
      <x:c r="M532" s="46" t="str">
        <x:f>IF(OR(K532="",L532=""),"",L532-K532)</x:f>
      </x:c>
      <x:c r="N532" s="46" t="str">
        <x:f>IF(OR(K532="",A531&lt;&gt;A532,K531=""),"",K532-K531)</x:f>
      </x:c>
      <x:c r="O532" s="42" t="str">
        <x:v>Sem informação</x:v>
      </x:c>
      <x:c r="P532" s="42"/>
      <x:c r="Q532" s="42" t="str"/>
      <x:c r="R532" s="42" t="str"/>
      <x:c r="S532" s="42" t="str"/>
      <x:c r="T532" s="42" t="str"/>
    </x:row>
    <x:row r="533">
      <x:c r="A533" s="42" t="str">
        <x:v>Lucas Perri</x:v>
      </x:c>
      <x:c r="B533" s="42" t="n">
        <x:v>2028</x:v>
      </x:c>
      <x:c r="C533" s="42" t="str">
        <x:v>T4</x:v>
      </x:c>
      <x:c r="D533" s="44" t="n">
        <x:v>47118</x:v>
      </x:c>
      <x:c r="E533" s="42" t="str">
        <x:v>Goleiro</x:v>
      </x:c>
      <x:c r="F533" s="42" t="str">
        <x:v>Leeds United FC</x:v>
      </x:c>
      <x:c r="G533" s="46"/>
      <x:c r="H533" s="46"/>
      <x:c r="I533" s="46"/>
      <x:c r="J533" s="46"/>
      <x:c r="K533" s="46" t="str">
        <x:f>IF(COUNT(G533,I533)=0,"",AVERAGE(G533,I533))</x:f>
      </x:c>
      <x:c r="L533" s="46" t="str">
        <x:f>IF(COUNT(H533,J533)=0,"",AVERAGE(H533,J533))</x:f>
      </x:c>
      <x:c r="M533" s="46" t="str">
        <x:f>IF(OR(K533="",L533=""),"",L533-K533)</x:f>
      </x:c>
      <x:c r="N533" s="46" t="str">
        <x:f>IF(OR(K533="",A532&lt;&gt;A533,K532=""),"",K533-K532)</x:f>
      </x:c>
      <x:c r="O533" s="42" t="str">
        <x:v>Sem informação</x:v>
      </x:c>
      <x:c r="P533" s="42"/>
      <x:c r="Q533" s="42" t="str"/>
      <x:c r="R533" s="42" t="str"/>
      <x:c r="S533" s="42" t="str"/>
      <x:c r="T533" s="42" t="str"/>
    </x:row>
    <x:row r="534">
      <x:c r="A534" s="42" t="str">
        <x:v>Lucas Perri</x:v>
      </x:c>
      <x:c r="B534" s="42" t="n">
        <x:v>2029</x:v>
      </x:c>
      <x:c r="C534" s="42" t="str">
        <x:v>T1</x:v>
      </x:c>
      <x:c r="D534" s="44" t="n">
        <x:v>47208</x:v>
      </x:c>
      <x:c r="E534" s="42" t="str">
        <x:v>Goleiro</x:v>
      </x:c>
      <x:c r="F534" s="42" t="str">
        <x:v>Leeds United FC</x:v>
      </x:c>
      <x:c r="G534" s="46"/>
      <x:c r="H534" s="46"/>
      <x:c r="I534" s="46"/>
      <x:c r="J534" s="46"/>
      <x:c r="K534" s="46" t="str">
        <x:f>IF(COUNT(G534,I534)=0,"",AVERAGE(G534,I534))</x:f>
      </x:c>
      <x:c r="L534" s="46" t="str">
        <x:f>IF(COUNT(H534,J534)=0,"",AVERAGE(H534,J534))</x:f>
      </x:c>
      <x:c r="M534" s="46" t="str">
        <x:f>IF(OR(K534="",L534=""),"",L534-K534)</x:f>
      </x:c>
      <x:c r="N534" s="46" t="str">
        <x:f>IF(OR(K534="",A533&lt;&gt;A534,K533=""),"",K534-K533)</x:f>
      </x:c>
      <x:c r="O534" s="42" t="str">
        <x:v>Sem informação</x:v>
      </x:c>
      <x:c r="P534" s="42"/>
      <x:c r="Q534" s="42" t="str"/>
      <x:c r="R534" s="42" t="str"/>
      <x:c r="S534" s="42" t="str"/>
      <x:c r="T534" s="42" t="str"/>
    </x:row>
    <x:row r="535">
      <x:c r="A535" s="42" t="str">
        <x:v>Lucas Perri</x:v>
      </x:c>
      <x:c r="B535" s="42" t="n">
        <x:v>2029</x:v>
      </x:c>
      <x:c r="C535" s="42" t="str">
        <x:v>T2</x:v>
      </x:c>
      <x:c r="D535" s="44" t="n">
        <x:v>47299</x:v>
      </x:c>
      <x:c r="E535" s="42" t="str">
        <x:v>Goleiro</x:v>
      </x:c>
      <x:c r="F535" s="42" t="str">
        <x:v>Leeds United FC</x:v>
      </x:c>
      <x:c r="G535" s="46"/>
      <x:c r="H535" s="46"/>
      <x:c r="I535" s="46"/>
      <x:c r="J535" s="46"/>
      <x:c r="K535" s="46" t="str">
        <x:f>IF(COUNT(G535,I535)=0,"",AVERAGE(G535,I535))</x:f>
      </x:c>
      <x:c r="L535" s="46" t="str">
        <x:f>IF(COUNT(H535,J535)=0,"",AVERAGE(H535,J535))</x:f>
      </x:c>
      <x:c r="M535" s="46" t="str">
        <x:f>IF(OR(K535="",L535=""),"",L535-K535)</x:f>
      </x:c>
      <x:c r="N535" s="46" t="str">
        <x:f>IF(OR(K535="",A534&lt;&gt;A535,K534=""),"",K535-K534)</x:f>
      </x:c>
      <x:c r="O535" s="42" t="str">
        <x:v>Sem informação</x:v>
      </x:c>
      <x:c r="P535" s="42"/>
      <x:c r="Q535" s="42" t="str"/>
      <x:c r="R535" s="42" t="str"/>
      <x:c r="S535" s="42" t="str"/>
      <x:c r="T535" s="42" t="str"/>
    </x:row>
    <x:row r="536">
      <x:c r="A536" s="42" t="str">
        <x:v>Lucas Perri</x:v>
      </x:c>
      <x:c r="B536" s="42" t="n">
        <x:v>2029</x:v>
      </x:c>
      <x:c r="C536" s="42" t="str">
        <x:v>T3</x:v>
      </x:c>
      <x:c r="D536" s="44" t="n">
        <x:v>47391</x:v>
      </x:c>
      <x:c r="E536" s="42" t="str">
        <x:v>Goleiro</x:v>
      </x:c>
      <x:c r="F536" s="42" t="str">
        <x:v>Leeds United FC</x:v>
      </x:c>
      <x:c r="G536" s="46"/>
      <x:c r="H536" s="46"/>
      <x:c r="I536" s="46"/>
      <x:c r="J536" s="46"/>
      <x:c r="K536" s="46" t="str">
        <x:f>IF(COUNT(G536,I536)=0,"",AVERAGE(G536,I536))</x:f>
      </x:c>
      <x:c r="L536" s="46" t="str">
        <x:f>IF(COUNT(H536,J536)=0,"",AVERAGE(H536,J536))</x:f>
      </x:c>
      <x:c r="M536" s="46" t="str">
        <x:f>IF(OR(K536="",L536=""),"",L536-K536)</x:f>
      </x:c>
      <x:c r="N536" s="46" t="str">
        <x:f>IF(OR(K536="",A535&lt;&gt;A536,K535=""),"",K536-K535)</x:f>
      </x:c>
      <x:c r="O536" s="42" t="str">
        <x:v>Sem informação</x:v>
      </x:c>
      <x:c r="P536" s="42"/>
      <x:c r="Q536" s="42" t="str"/>
      <x:c r="R536" s="42" t="str"/>
      <x:c r="S536" s="42" t="str"/>
      <x:c r="T536" s="42" t="str"/>
    </x:row>
    <x:row r="537">
      <x:c r="A537" s="42" t="str">
        <x:v>Lucas Perri</x:v>
      </x:c>
      <x:c r="B537" s="42" t="n">
        <x:v>2029</x:v>
      </x:c>
      <x:c r="C537" s="42" t="str">
        <x:v>T4</x:v>
      </x:c>
      <x:c r="D537" s="44" t="n">
        <x:v>47483</x:v>
      </x:c>
      <x:c r="E537" s="42" t="str">
        <x:v>Goleiro</x:v>
      </x:c>
      <x:c r="F537" s="42" t="str">
        <x:v>Leeds United FC</x:v>
      </x:c>
      <x:c r="G537" s="46"/>
      <x:c r="H537" s="46"/>
      <x:c r="I537" s="46"/>
      <x:c r="J537" s="46"/>
      <x:c r="K537" s="46" t="str">
        <x:f>IF(COUNT(G537,I537)=0,"",AVERAGE(G537,I537))</x:f>
      </x:c>
      <x:c r="L537" s="46" t="str">
        <x:f>IF(COUNT(H537,J537)=0,"",AVERAGE(H537,J537))</x:f>
      </x:c>
      <x:c r="M537" s="46" t="str">
        <x:f>IF(OR(K537="",L537=""),"",L537-K537)</x:f>
      </x:c>
      <x:c r="N537" s="46" t="str">
        <x:f>IF(OR(K537="",A536&lt;&gt;A537,K536=""),"",K537-K536)</x:f>
      </x:c>
      <x:c r="O537" s="42" t="str">
        <x:v>Sem informação</x:v>
      </x:c>
      <x:c r="P537" s="42"/>
      <x:c r="Q537" s="42" t="str"/>
      <x:c r="R537" s="42" t="str"/>
      <x:c r="S537" s="42" t="str"/>
      <x:c r="T537" s="42" t="str"/>
    </x:row>
    <x:row r="538">
      <x:c r="A538" s="42" t="str">
        <x:v>Lucas Perri</x:v>
      </x:c>
      <x:c r="B538" s="42" t="n">
        <x:v>2030</x:v>
      </x:c>
      <x:c r="C538" s="42" t="str">
        <x:v>T1</x:v>
      </x:c>
      <x:c r="D538" s="44" t="n">
        <x:v>47573</x:v>
      </x:c>
      <x:c r="E538" s="42" t="str">
        <x:v>Goleiro</x:v>
      </x:c>
      <x:c r="F538" s="42" t="str">
        <x:v>Leeds United FC</x:v>
      </x:c>
      <x:c r="G538" s="46"/>
      <x:c r="H538" s="46"/>
      <x:c r="I538" s="46"/>
      <x:c r="J538" s="46"/>
      <x:c r="K538" s="46" t="str">
        <x:f>IF(COUNT(G538,I538)=0,"",AVERAGE(G538,I538))</x:f>
      </x:c>
      <x:c r="L538" s="46" t="str">
        <x:f>IF(COUNT(H538,J538)=0,"",AVERAGE(H538,J538))</x:f>
      </x:c>
      <x:c r="M538" s="46" t="str">
        <x:f>IF(OR(K538="",L538=""),"",L538-K538)</x:f>
      </x:c>
      <x:c r="N538" s="46" t="str">
        <x:f>IF(OR(K538="",A537&lt;&gt;A538,K537=""),"",K538-K537)</x:f>
      </x:c>
      <x:c r="O538" s="42" t="str">
        <x:v>Sem informação</x:v>
      </x:c>
      <x:c r="P538" s="42"/>
      <x:c r="Q538" s="42" t="str"/>
      <x:c r="R538" s="42" t="str"/>
      <x:c r="S538" s="42" t="str"/>
      <x:c r="T538" s="42" t="str"/>
    </x:row>
    <x:row r="539">
      <x:c r="A539" s="42" t="str">
        <x:v>Lucas Perri</x:v>
      </x:c>
      <x:c r="B539" s="42" t="n">
        <x:v>2030</x:v>
      </x:c>
      <x:c r="C539" s="42" t="str">
        <x:v>T2</x:v>
      </x:c>
      <x:c r="D539" s="44" t="n">
        <x:v>47664</x:v>
      </x:c>
      <x:c r="E539" s="42" t="str">
        <x:v>Goleiro</x:v>
      </x:c>
      <x:c r="F539" s="42" t="str">
        <x:v>Leeds United FC</x:v>
      </x:c>
      <x:c r="G539" s="46"/>
      <x:c r="H539" s="46"/>
      <x:c r="I539" s="46"/>
      <x:c r="J539" s="46"/>
      <x:c r="K539" s="46" t="str">
        <x:f>IF(COUNT(G539,I539)=0,"",AVERAGE(G539,I539))</x:f>
      </x:c>
      <x:c r="L539" s="46" t="str">
        <x:f>IF(COUNT(H539,J539)=0,"",AVERAGE(H539,J539))</x:f>
      </x:c>
      <x:c r="M539" s="46" t="str">
        <x:f>IF(OR(K539="",L539=""),"",L539-K539)</x:f>
      </x:c>
      <x:c r="N539" s="46" t="str">
        <x:f>IF(OR(K539="",A538&lt;&gt;A539,K538=""),"",K539-K538)</x:f>
      </x:c>
      <x:c r="O539" s="42" t="str">
        <x:v>Sem informação</x:v>
      </x:c>
      <x:c r="P539" s="42"/>
      <x:c r="Q539" s="42" t="str"/>
      <x:c r="R539" s="42" t="str"/>
      <x:c r="S539" s="42" t="str"/>
      <x:c r="T539" s="42" t="str"/>
    </x:row>
    <x:row r="540">
      <x:c r="A540" s="42" t="str">
        <x:v>Lucas Perri</x:v>
      </x:c>
      <x:c r="B540" s="42" t="n">
        <x:v>2030</x:v>
      </x:c>
      <x:c r="C540" s="42" t="str">
        <x:v>T3</x:v>
      </x:c>
      <x:c r="D540" s="44" t="n">
        <x:v>47756</x:v>
      </x:c>
      <x:c r="E540" s="42" t="str">
        <x:v>Goleiro</x:v>
      </x:c>
      <x:c r="F540" s="42" t="str">
        <x:v>Leeds United FC</x:v>
      </x:c>
      <x:c r="G540" s="46"/>
      <x:c r="H540" s="46"/>
      <x:c r="I540" s="46"/>
      <x:c r="J540" s="46"/>
      <x:c r="K540" s="46" t="str">
        <x:f>IF(COUNT(G540,I540)=0,"",AVERAGE(G540,I540))</x:f>
      </x:c>
      <x:c r="L540" s="46" t="str">
        <x:f>IF(COUNT(H540,J540)=0,"",AVERAGE(H540,J540))</x:f>
      </x:c>
      <x:c r="M540" s="46" t="str">
        <x:f>IF(OR(K540="",L540=""),"",L540-K540)</x:f>
      </x:c>
      <x:c r="N540" s="46" t="str">
        <x:f>IF(OR(K540="",A539&lt;&gt;A540,K539=""),"",K540-K539)</x:f>
      </x:c>
      <x:c r="O540" s="42" t="str">
        <x:v>Sem informação</x:v>
      </x:c>
      <x:c r="P540" s="42"/>
      <x:c r="Q540" s="42" t="str"/>
      <x:c r="R540" s="42" t="str"/>
      <x:c r="S540" s="42" t="str"/>
      <x:c r="T540" s="42" t="str"/>
    </x:row>
    <x:row r="541">
      <x:c r="A541" s="42" t="str">
        <x:v>Lucas Perri</x:v>
      </x:c>
      <x:c r="B541" s="42" t="n">
        <x:v>2030</x:v>
      </x:c>
      <x:c r="C541" s="42" t="str">
        <x:v>T4</x:v>
      </x:c>
      <x:c r="D541" s="44" t="n">
        <x:v>47848</x:v>
      </x:c>
      <x:c r="E541" s="42" t="str">
        <x:v>Goleiro</x:v>
      </x:c>
      <x:c r="F541" s="42" t="str">
        <x:v>Leeds United FC</x:v>
      </x:c>
      <x:c r="G541" s="46"/>
      <x:c r="H541" s="46"/>
      <x:c r="I541" s="46"/>
      <x:c r="J541" s="46"/>
      <x:c r="K541" s="46" t="str">
        <x:f>IF(COUNT(G541,I541)=0,"",AVERAGE(G541,I541))</x:f>
      </x:c>
      <x:c r="L541" s="46" t="str">
        <x:f>IF(COUNT(H541,J541)=0,"",AVERAGE(H541,J541))</x:f>
      </x:c>
      <x:c r="M541" s="46" t="str">
        <x:f>IF(OR(K541="",L541=""),"",L541-K541)</x:f>
      </x:c>
      <x:c r="N541" s="46" t="str">
        <x:f>IF(OR(K541="",A540&lt;&gt;A541,K540=""),"",K541-K540)</x:f>
      </x:c>
      <x:c r="O541" s="42" t="str">
        <x:v>Sem informação</x:v>
      </x:c>
      <x:c r="P541" s="42"/>
      <x:c r="Q541" s="42" t="str"/>
      <x:c r="R541" s="42" t="str"/>
      <x:c r="S541" s="42" t="str"/>
      <x:c r="T541" s="42" t="str"/>
    </x:row>
    <x:row r="542">
      <x:c r="A542" s="42" t="str">
        <x:v>Luciano Juba</x:v>
      </x:c>
      <x:c r="B542" s="42" t="n">
        <x:v>2026</x:v>
      </x:c>
      <x:c r="C542" s="42" t="str">
        <x:v>T1</x:v>
      </x:c>
      <x:c r="D542" s="44" t="n">
        <x:v>46112</x:v>
      </x:c>
      <x:c r="E542" s="42" t="str">
        <x:v>Lateral-esquerdo</x:v>
      </x:c>
      <x:c r="F542" s="42" t="str">
        <x:v>EC Bahia</x:v>
      </x:c>
      <x:c r="G542" s="46"/>
      <x:c r="H542" s="46"/>
      <x:c r="I542" s="46"/>
      <x:c r="J542" s="46"/>
      <x:c r="K542" s="46" t="str">
        <x:f>IF(COUNT(G542,I542)=0,"",AVERAGE(G542,I542))</x:f>
      </x:c>
      <x:c r="L542" s="46" t="str">
        <x:f>IF(COUNT(H542,J542)=0,"",AVERAGE(H542,J542))</x:f>
      </x:c>
      <x:c r="M542" s="46" t="str">
        <x:f>IF(OR(K542="",L542=""),"",L542-K542)</x:f>
      </x:c>
      <x:c r="N542" s="46" t="str">
        <x:f>IF(OR(K542="",A541&lt;&gt;A542,K541=""),"",K542-K541)</x:f>
      </x:c>
      <x:c r="O542" s="42" t="str">
        <x:v>Sem informação</x:v>
      </x:c>
      <x:c r="P542" s="42"/>
      <x:c r="Q542" s="42" t="str"/>
      <x:c r="R542" s="42" t="str"/>
      <x:c r="S542" s="42" t="str"/>
      <x:c r="T542" s="42" t="str"/>
    </x:row>
    <x:row r="543">
      <x:c r="A543" s="42" t="str">
        <x:v>Luciano Juba</x:v>
      </x:c>
      <x:c r="B543" s="42" t="n">
        <x:v>2026</x:v>
      </x:c>
      <x:c r="C543" s="42" t="str">
        <x:v>T2</x:v>
      </x:c>
      <x:c r="D543" s="44" t="n">
        <x:v>46203</x:v>
      </x:c>
      <x:c r="E543" s="42" t="str">
        <x:v>Lateral-esquerdo</x:v>
      </x:c>
      <x:c r="F543" s="42" t="str">
        <x:v>Bahia</x:v>
      </x:c>
      <x:c r="G543" s="46" t="n">
        <x:v>6.5</x:v>
      </x:c>
      <x:c r="H543" s="46" t="n">
        <x:v>7.5</x:v>
      </x:c>
      <x:c r="I543" s="46" t="n">
        <x:v>7.5</x:v>
      </x:c>
      <x:c r="J543" s="46" t="n">
        <x:v>8</x:v>
      </x:c>
      <x:c r="K543" s="46" t="n">
        <x:f>IF(COUNT(G543,I543)=0,"",AVERAGE(G543,I543))</x:f>
        <x:v>7</x:v>
      </x:c>
      <x:c r="L543" s="46" t="n">
        <x:f>IF(COUNT(H543,J543)=0,"",AVERAGE(H543,J543))</x:f>
        <x:v>7.75</x:v>
      </x:c>
      <x:c r="M543" s="46" t="n">
        <x:f>IF(OR(K543="",L543=""),"",L543-K543)</x:f>
        <x:v>0.75</x:v>
      </x:c>
      <x:c r="N543" s="46" t="str">
        <x:f>IF(OR(K543="",A542&lt;&gt;A543,K542=""),"",K543-K542)</x:f>
      </x:c>
      <x:c r="O543" s="42" t="str">
        <x:v>Sem informação</x:v>
      </x:c>
      <x:c r="P543" s="42"/>
      <x:c r="Q543" s="42" t="str"/>
      <x:c r="R543" s="42" t="str"/>
      <x:c r="S543" s="42" t="str"/>
      <x:c r="T543" s="42" t="str"/>
    </x:row>
    <x:row r="544">
      <x:c r="A544" s="42" t="str">
        <x:v>Luciano Juba</x:v>
      </x:c>
      <x:c r="B544" s="42" t="n">
        <x:v>2026</x:v>
      </x:c>
      <x:c r="C544" s="42" t="str">
        <x:v>T3</x:v>
      </x:c>
      <x:c r="D544" s="44" t="n">
        <x:v>46295</x:v>
      </x:c>
      <x:c r="E544" s="42" t="str">
        <x:v>Lateral-esquerdo</x:v>
      </x:c>
      <x:c r="F544" s="42" t="str">
        <x:v>EC Bahia</x:v>
      </x:c>
      <x:c r="G544" s="46"/>
      <x:c r="H544" s="46"/>
      <x:c r="I544" s="46"/>
      <x:c r="J544" s="46"/>
      <x:c r="K544" s="46" t="str">
        <x:f>IF(COUNT(G544,I544)=0,"",AVERAGE(G544,I544))</x:f>
      </x:c>
      <x:c r="L544" s="46" t="str">
        <x:f>IF(COUNT(H544,J544)=0,"",AVERAGE(H544,J544))</x:f>
      </x:c>
      <x:c r="M544" s="46" t="str">
        <x:f>IF(OR(K544="",L544=""),"",L544-K544)</x:f>
      </x:c>
      <x:c r="N544" s="46" t="str">
        <x:f>IF(OR(K544="",A543&lt;&gt;A544,K543=""),"",K544-K543)</x:f>
      </x:c>
      <x:c r="O544" s="42" t="str">
        <x:v>Sem informação</x:v>
      </x:c>
      <x:c r="P544" s="42"/>
      <x:c r="Q544" s="42" t="str"/>
      <x:c r="R544" s="42" t="str"/>
      <x:c r="S544" s="42" t="str"/>
      <x:c r="T544" s="42" t="str"/>
    </x:row>
    <x:row r="545">
      <x:c r="A545" s="42" t="str">
        <x:v>Luciano Juba</x:v>
      </x:c>
      <x:c r="B545" s="42" t="n">
        <x:v>2026</x:v>
      </x:c>
      <x:c r="C545" s="42" t="str">
        <x:v>T4</x:v>
      </x:c>
      <x:c r="D545" s="44" t="n">
        <x:v>46387</x:v>
      </x:c>
      <x:c r="E545" s="42" t="str">
        <x:v>Lateral-esquerdo</x:v>
      </x:c>
      <x:c r="F545" s="42" t="str">
        <x:v>EC Bahia</x:v>
      </x:c>
      <x:c r="G545" s="46"/>
      <x:c r="H545" s="46"/>
      <x:c r="I545" s="46"/>
      <x:c r="J545" s="46"/>
      <x:c r="K545" s="46" t="str">
        <x:f>IF(COUNT(G545,I545)=0,"",AVERAGE(G545,I545))</x:f>
      </x:c>
      <x:c r="L545" s="46" t="str">
        <x:f>IF(COUNT(H545,J545)=0,"",AVERAGE(H545,J545))</x:f>
      </x:c>
      <x:c r="M545" s="46" t="str">
        <x:f>IF(OR(K545="",L545=""),"",L545-K545)</x:f>
      </x:c>
      <x:c r="N545" s="46" t="str">
        <x:f>IF(OR(K545="",A544&lt;&gt;A545,K544=""),"",K545-K544)</x:f>
      </x:c>
      <x:c r="O545" s="42" t="str">
        <x:v>Sem informação</x:v>
      </x:c>
      <x:c r="P545" s="42"/>
      <x:c r="Q545" s="42" t="str"/>
      <x:c r="R545" s="42" t="str"/>
      <x:c r="S545" s="42" t="str"/>
      <x:c r="T545" s="42" t="str"/>
    </x:row>
    <x:row r="546">
      <x:c r="A546" s="42" t="str">
        <x:v>Luciano Juba</x:v>
      </x:c>
      <x:c r="B546" s="42" t="n">
        <x:v>2027</x:v>
      </x:c>
      <x:c r="C546" s="42" t="str">
        <x:v>T1</x:v>
      </x:c>
      <x:c r="D546" s="44" t="n">
        <x:v>46477</x:v>
      </x:c>
      <x:c r="E546" s="42" t="str">
        <x:v>Lateral-esquerdo</x:v>
      </x:c>
      <x:c r="F546" s="42" t="str">
        <x:v>EC Bahia</x:v>
      </x:c>
      <x:c r="G546" s="46"/>
      <x:c r="H546" s="46"/>
      <x:c r="I546" s="46"/>
      <x:c r="J546" s="46"/>
      <x:c r="K546" s="46" t="str">
        <x:f>IF(COUNT(G546,I546)=0,"",AVERAGE(G546,I546))</x:f>
      </x:c>
      <x:c r="L546" s="46" t="str">
        <x:f>IF(COUNT(H546,J546)=0,"",AVERAGE(H546,J546))</x:f>
      </x:c>
      <x:c r="M546" s="46" t="str">
        <x:f>IF(OR(K546="",L546=""),"",L546-K546)</x:f>
      </x:c>
      <x:c r="N546" s="46" t="str">
        <x:f>IF(OR(K546="",A545&lt;&gt;A546,K545=""),"",K546-K545)</x:f>
      </x:c>
      <x:c r="O546" s="42" t="str">
        <x:v>Sem informação</x:v>
      </x:c>
      <x:c r="P546" s="42"/>
      <x:c r="Q546" s="42" t="str"/>
      <x:c r="R546" s="42" t="str"/>
      <x:c r="S546" s="42" t="str"/>
      <x:c r="T546" s="42" t="str"/>
    </x:row>
    <x:row r="547">
      <x:c r="A547" s="42" t="str">
        <x:v>Luciano Juba</x:v>
      </x:c>
      <x:c r="B547" s="42" t="n">
        <x:v>2027</x:v>
      </x:c>
      <x:c r="C547" s="42" t="str">
        <x:v>T2</x:v>
      </x:c>
      <x:c r="D547" s="44" t="n">
        <x:v>46568</x:v>
      </x:c>
      <x:c r="E547" s="42" t="str">
        <x:v>Lateral-esquerdo</x:v>
      </x:c>
      <x:c r="F547" s="42" t="str">
        <x:v>EC Bahia</x:v>
      </x:c>
      <x:c r="G547" s="46"/>
      <x:c r="H547" s="46"/>
      <x:c r="I547" s="46"/>
      <x:c r="J547" s="46"/>
      <x:c r="K547" s="46" t="str">
        <x:f>IF(COUNT(G547,I547)=0,"",AVERAGE(G547,I547))</x:f>
      </x:c>
      <x:c r="L547" s="46" t="str">
        <x:f>IF(COUNT(H547,J547)=0,"",AVERAGE(H547,J547))</x:f>
      </x:c>
      <x:c r="M547" s="46" t="str">
        <x:f>IF(OR(K547="",L547=""),"",L547-K547)</x:f>
      </x:c>
      <x:c r="N547" s="46" t="str">
        <x:f>IF(OR(K547="",A546&lt;&gt;A547,K546=""),"",K547-K546)</x:f>
      </x:c>
      <x:c r="O547" s="42" t="str">
        <x:v>Sem informação</x:v>
      </x:c>
      <x:c r="P547" s="42"/>
      <x:c r="Q547" s="42" t="str"/>
      <x:c r="R547" s="42" t="str"/>
      <x:c r="S547" s="42" t="str"/>
      <x:c r="T547" s="42" t="str"/>
    </x:row>
    <x:row r="548">
      <x:c r="A548" s="42" t="str">
        <x:v>Luciano Juba</x:v>
      </x:c>
      <x:c r="B548" s="42" t="n">
        <x:v>2027</x:v>
      </x:c>
      <x:c r="C548" s="42" t="str">
        <x:v>T3</x:v>
      </x:c>
      <x:c r="D548" s="44" t="n">
        <x:v>46660</x:v>
      </x:c>
      <x:c r="E548" s="42" t="str">
        <x:v>Lateral-esquerdo</x:v>
      </x:c>
      <x:c r="F548" s="42" t="str">
        <x:v>EC Bahia</x:v>
      </x:c>
      <x:c r="G548" s="46"/>
      <x:c r="H548" s="46"/>
      <x:c r="I548" s="46"/>
      <x:c r="J548" s="46"/>
      <x:c r="K548" s="46" t="str">
        <x:f>IF(COUNT(G548,I548)=0,"",AVERAGE(G548,I548))</x:f>
      </x:c>
      <x:c r="L548" s="46" t="str">
        <x:f>IF(COUNT(H548,J548)=0,"",AVERAGE(H548,J548))</x:f>
      </x:c>
      <x:c r="M548" s="46" t="str">
        <x:f>IF(OR(K548="",L548=""),"",L548-K548)</x:f>
      </x:c>
      <x:c r="N548" s="46" t="str">
        <x:f>IF(OR(K548="",A547&lt;&gt;A548,K547=""),"",K548-K547)</x:f>
      </x:c>
      <x:c r="O548" s="42" t="str">
        <x:v>Sem informação</x:v>
      </x:c>
      <x:c r="P548" s="42"/>
      <x:c r="Q548" s="42" t="str"/>
      <x:c r="R548" s="42" t="str"/>
      <x:c r="S548" s="42" t="str"/>
      <x:c r="T548" s="42" t="str"/>
    </x:row>
    <x:row r="549">
      <x:c r="A549" s="42" t="str">
        <x:v>Luciano Juba</x:v>
      </x:c>
      <x:c r="B549" s="42" t="n">
        <x:v>2027</x:v>
      </x:c>
      <x:c r="C549" s="42" t="str">
        <x:v>T4</x:v>
      </x:c>
      <x:c r="D549" s="44" t="n">
        <x:v>46752</x:v>
      </x:c>
      <x:c r="E549" s="42" t="str">
        <x:v>Lateral-esquerdo</x:v>
      </x:c>
      <x:c r="F549" s="42" t="str">
        <x:v>EC Bahia</x:v>
      </x:c>
      <x:c r="G549" s="46"/>
      <x:c r="H549" s="46"/>
      <x:c r="I549" s="46"/>
      <x:c r="J549" s="46"/>
      <x:c r="K549" s="46" t="str">
        <x:f>IF(COUNT(G549,I549)=0,"",AVERAGE(G549,I549))</x:f>
      </x:c>
      <x:c r="L549" s="46" t="str">
        <x:f>IF(COUNT(H549,J549)=0,"",AVERAGE(H549,J549))</x:f>
      </x:c>
      <x:c r="M549" s="46" t="str">
        <x:f>IF(OR(K549="",L549=""),"",L549-K549)</x:f>
      </x:c>
      <x:c r="N549" s="46" t="str">
        <x:f>IF(OR(K549="",A548&lt;&gt;A549,K548=""),"",K549-K548)</x:f>
      </x:c>
      <x:c r="O549" s="42" t="str">
        <x:v>Sem informação</x:v>
      </x:c>
      <x:c r="P549" s="42"/>
      <x:c r="Q549" s="42" t="str"/>
      <x:c r="R549" s="42" t="str"/>
      <x:c r="S549" s="42" t="str"/>
      <x:c r="T549" s="42" t="str"/>
    </x:row>
    <x:row r="550">
      <x:c r="A550" s="42" t="str">
        <x:v>Luciano Juba</x:v>
      </x:c>
      <x:c r="B550" s="42" t="n">
        <x:v>2028</x:v>
      </x:c>
      <x:c r="C550" s="42" t="str">
        <x:v>T1</x:v>
      </x:c>
      <x:c r="D550" s="44" t="n">
        <x:v>46843</x:v>
      </x:c>
      <x:c r="E550" s="42" t="str">
        <x:v>Lateral-esquerdo</x:v>
      </x:c>
      <x:c r="F550" s="42" t="str">
        <x:v>EC Bahia</x:v>
      </x:c>
      <x:c r="G550" s="46"/>
      <x:c r="H550" s="46"/>
      <x:c r="I550" s="46"/>
      <x:c r="J550" s="46"/>
      <x:c r="K550" s="46" t="str">
        <x:f>IF(COUNT(G550,I550)=0,"",AVERAGE(G550,I550))</x:f>
      </x:c>
      <x:c r="L550" s="46" t="str">
        <x:f>IF(COUNT(H550,J550)=0,"",AVERAGE(H550,J550))</x:f>
      </x:c>
      <x:c r="M550" s="46" t="str">
        <x:f>IF(OR(K550="",L550=""),"",L550-K550)</x:f>
      </x:c>
      <x:c r="N550" s="46" t="str">
        <x:f>IF(OR(K550="",A549&lt;&gt;A550,K549=""),"",K550-K549)</x:f>
      </x:c>
      <x:c r="O550" s="42" t="str">
        <x:v>Sem informação</x:v>
      </x:c>
      <x:c r="P550" s="42"/>
      <x:c r="Q550" s="42" t="str"/>
      <x:c r="R550" s="42" t="str"/>
      <x:c r="S550" s="42" t="str"/>
      <x:c r="T550" s="42" t="str"/>
    </x:row>
    <x:row r="551">
      <x:c r="A551" s="42" t="str">
        <x:v>Luciano Juba</x:v>
      </x:c>
      <x:c r="B551" s="42" t="n">
        <x:v>2028</x:v>
      </x:c>
      <x:c r="C551" s="42" t="str">
        <x:v>T2</x:v>
      </x:c>
      <x:c r="D551" s="44" t="n">
        <x:v>46934</x:v>
      </x:c>
      <x:c r="E551" s="42" t="str">
        <x:v>Lateral-esquerdo</x:v>
      </x:c>
      <x:c r="F551" s="42" t="str">
        <x:v>EC Bahia</x:v>
      </x:c>
      <x:c r="G551" s="46"/>
      <x:c r="H551" s="46"/>
      <x:c r="I551" s="46"/>
      <x:c r="J551" s="46"/>
      <x:c r="K551" s="46" t="str">
        <x:f>IF(COUNT(G551,I551)=0,"",AVERAGE(G551,I551))</x:f>
      </x:c>
      <x:c r="L551" s="46" t="str">
        <x:f>IF(COUNT(H551,J551)=0,"",AVERAGE(H551,J551))</x:f>
      </x:c>
      <x:c r="M551" s="46" t="str">
        <x:f>IF(OR(K551="",L551=""),"",L551-K551)</x:f>
      </x:c>
      <x:c r="N551" s="46" t="str">
        <x:f>IF(OR(K551="",A550&lt;&gt;A551,K550=""),"",K551-K550)</x:f>
      </x:c>
      <x:c r="O551" s="42" t="str">
        <x:v>Sem informação</x:v>
      </x:c>
      <x:c r="P551" s="42"/>
      <x:c r="Q551" s="42" t="str"/>
      <x:c r="R551" s="42" t="str"/>
      <x:c r="S551" s="42" t="str"/>
      <x:c r="T551" s="42" t="str"/>
    </x:row>
    <x:row r="552">
      <x:c r="A552" s="42" t="str">
        <x:v>Luciano Juba</x:v>
      </x:c>
      <x:c r="B552" s="42" t="n">
        <x:v>2028</x:v>
      </x:c>
      <x:c r="C552" s="42" t="str">
        <x:v>T3</x:v>
      </x:c>
      <x:c r="D552" s="44" t="n">
        <x:v>47026</x:v>
      </x:c>
      <x:c r="E552" s="42" t="str">
        <x:v>Lateral-esquerdo</x:v>
      </x:c>
      <x:c r="F552" s="42" t="str">
        <x:v>EC Bahia</x:v>
      </x:c>
      <x:c r="G552" s="46"/>
      <x:c r="H552" s="46"/>
      <x:c r="I552" s="46"/>
      <x:c r="J552" s="46"/>
      <x:c r="K552" s="46" t="str">
        <x:f>IF(COUNT(G552,I552)=0,"",AVERAGE(G552,I552))</x:f>
      </x:c>
      <x:c r="L552" s="46" t="str">
        <x:f>IF(COUNT(H552,J552)=0,"",AVERAGE(H552,J552))</x:f>
      </x:c>
      <x:c r="M552" s="46" t="str">
        <x:f>IF(OR(K552="",L552=""),"",L552-K552)</x:f>
      </x:c>
      <x:c r="N552" s="46" t="str">
        <x:f>IF(OR(K552="",A551&lt;&gt;A552,K551=""),"",K552-K551)</x:f>
      </x:c>
      <x:c r="O552" s="42" t="str">
        <x:v>Sem informação</x:v>
      </x:c>
      <x:c r="P552" s="42"/>
      <x:c r="Q552" s="42" t="str"/>
      <x:c r="R552" s="42" t="str"/>
      <x:c r="S552" s="42" t="str"/>
      <x:c r="T552" s="42" t="str"/>
    </x:row>
    <x:row r="553">
      <x:c r="A553" s="42" t="str">
        <x:v>Luciano Juba</x:v>
      </x:c>
      <x:c r="B553" s="42" t="n">
        <x:v>2028</x:v>
      </x:c>
      <x:c r="C553" s="42" t="str">
        <x:v>T4</x:v>
      </x:c>
      <x:c r="D553" s="44" t="n">
        <x:v>47118</x:v>
      </x:c>
      <x:c r="E553" s="42" t="str">
        <x:v>Lateral-esquerdo</x:v>
      </x:c>
      <x:c r="F553" s="42" t="str">
        <x:v>EC Bahia</x:v>
      </x:c>
      <x:c r="G553" s="46"/>
      <x:c r="H553" s="46"/>
      <x:c r="I553" s="46"/>
      <x:c r="J553" s="46"/>
      <x:c r="K553" s="46" t="str">
        <x:f>IF(COUNT(G553,I553)=0,"",AVERAGE(G553,I553))</x:f>
      </x:c>
      <x:c r="L553" s="46" t="str">
        <x:f>IF(COUNT(H553,J553)=0,"",AVERAGE(H553,J553))</x:f>
      </x:c>
      <x:c r="M553" s="46" t="str">
        <x:f>IF(OR(K553="",L553=""),"",L553-K553)</x:f>
      </x:c>
      <x:c r="N553" s="46" t="str">
        <x:f>IF(OR(K553="",A552&lt;&gt;A553,K552=""),"",K553-K552)</x:f>
      </x:c>
      <x:c r="O553" s="42" t="str">
        <x:v>Sem informação</x:v>
      </x:c>
      <x:c r="P553" s="42"/>
      <x:c r="Q553" s="42" t="str"/>
      <x:c r="R553" s="42" t="str"/>
      <x:c r="S553" s="42" t="str"/>
      <x:c r="T553" s="42" t="str"/>
    </x:row>
    <x:row r="554">
      <x:c r="A554" s="42" t="str">
        <x:v>Luciano Juba</x:v>
      </x:c>
      <x:c r="B554" s="42" t="n">
        <x:v>2029</x:v>
      </x:c>
      <x:c r="C554" s="42" t="str">
        <x:v>T1</x:v>
      </x:c>
      <x:c r="D554" s="44" t="n">
        <x:v>47208</x:v>
      </x:c>
      <x:c r="E554" s="42" t="str">
        <x:v>Lateral-esquerdo</x:v>
      </x:c>
      <x:c r="F554" s="42" t="str">
        <x:v>EC Bahia</x:v>
      </x:c>
      <x:c r="G554" s="46"/>
      <x:c r="H554" s="46"/>
      <x:c r="I554" s="46"/>
      <x:c r="J554" s="46"/>
      <x:c r="K554" s="46" t="str">
        <x:f>IF(COUNT(G554,I554)=0,"",AVERAGE(G554,I554))</x:f>
      </x:c>
      <x:c r="L554" s="46" t="str">
        <x:f>IF(COUNT(H554,J554)=0,"",AVERAGE(H554,J554))</x:f>
      </x:c>
      <x:c r="M554" s="46" t="str">
        <x:f>IF(OR(K554="",L554=""),"",L554-K554)</x:f>
      </x:c>
      <x:c r="N554" s="46" t="str">
        <x:f>IF(OR(K554="",A553&lt;&gt;A554,K553=""),"",K554-K553)</x:f>
      </x:c>
      <x:c r="O554" s="42" t="str">
        <x:v>Sem informação</x:v>
      </x:c>
      <x:c r="P554" s="42"/>
      <x:c r="Q554" s="42" t="str"/>
      <x:c r="R554" s="42" t="str"/>
      <x:c r="S554" s="42" t="str"/>
      <x:c r="T554" s="42" t="str"/>
    </x:row>
    <x:row r="555">
      <x:c r="A555" s="42" t="str">
        <x:v>Luciano Juba</x:v>
      </x:c>
      <x:c r="B555" s="42" t="n">
        <x:v>2029</x:v>
      </x:c>
      <x:c r="C555" s="42" t="str">
        <x:v>T2</x:v>
      </x:c>
      <x:c r="D555" s="44" t="n">
        <x:v>47299</x:v>
      </x:c>
      <x:c r="E555" s="42" t="str">
        <x:v>Lateral-esquerdo</x:v>
      </x:c>
      <x:c r="F555" s="42" t="str">
        <x:v>EC Bahia</x:v>
      </x:c>
      <x:c r="G555" s="46"/>
      <x:c r="H555" s="46"/>
      <x:c r="I555" s="46"/>
      <x:c r="J555" s="46"/>
      <x:c r="K555" s="46" t="str">
        <x:f>IF(COUNT(G555,I555)=0,"",AVERAGE(G555,I555))</x:f>
      </x:c>
      <x:c r="L555" s="46" t="str">
        <x:f>IF(COUNT(H555,J555)=0,"",AVERAGE(H555,J555))</x:f>
      </x:c>
      <x:c r="M555" s="46" t="str">
        <x:f>IF(OR(K555="",L555=""),"",L555-K555)</x:f>
      </x:c>
      <x:c r="N555" s="46" t="str">
        <x:f>IF(OR(K555="",A554&lt;&gt;A555,K554=""),"",K555-K554)</x:f>
      </x:c>
      <x:c r="O555" s="42" t="str">
        <x:v>Sem informação</x:v>
      </x:c>
      <x:c r="P555" s="42"/>
      <x:c r="Q555" s="42" t="str"/>
      <x:c r="R555" s="42" t="str"/>
      <x:c r="S555" s="42" t="str"/>
      <x:c r="T555" s="42" t="str"/>
    </x:row>
    <x:row r="556">
      <x:c r="A556" s="42" t="str">
        <x:v>Luciano Juba</x:v>
      </x:c>
      <x:c r="B556" s="42" t="n">
        <x:v>2029</x:v>
      </x:c>
      <x:c r="C556" s="42" t="str">
        <x:v>T3</x:v>
      </x:c>
      <x:c r="D556" s="44" t="n">
        <x:v>47391</x:v>
      </x:c>
      <x:c r="E556" s="42" t="str">
        <x:v>Lateral-esquerdo</x:v>
      </x:c>
      <x:c r="F556" s="42" t="str">
        <x:v>EC Bahia</x:v>
      </x:c>
      <x:c r="G556" s="46"/>
      <x:c r="H556" s="46"/>
      <x:c r="I556" s="46"/>
      <x:c r="J556" s="46"/>
      <x:c r="K556" s="46" t="str">
        <x:f>IF(COUNT(G556,I556)=0,"",AVERAGE(G556,I556))</x:f>
      </x:c>
      <x:c r="L556" s="46" t="str">
        <x:f>IF(COUNT(H556,J556)=0,"",AVERAGE(H556,J556))</x:f>
      </x:c>
      <x:c r="M556" s="46" t="str">
        <x:f>IF(OR(K556="",L556=""),"",L556-K556)</x:f>
      </x:c>
      <x:c r="N556" s="46" t="str">
        <x:f>IF(OR(K556="",A555&lt;&gt;A556,K555=""),"",K556-K555)</x:f>
      </x:c>
      <x:c r="O556" s="42" t="str">
        <x:v>Sem informação</x:v>
      </x:c>
      <x:c r="P556" s="42"/>
      <x:c r="Q556" s="42" t="str"/>
      <x:c r="R556" s="42" t="str"/>
      <x:c r="S556" s="42" t="str"/>
      <x:c r="T556" s="42" t="str"/>
    </x:row>
    <x:row r="557">
      <x:c r="A557" s="42" t="str">
        <x:v>Luciano Juba</x:v>
      </x:c>
      <x:c r="B557" s="42" t="n">
        <x:v>2029</x:v>
      </x:c>
      <x:c r="C557" s="42" t="str">
        <x:v>T4</x:v>
      </x:c>
      <x:c r="D557" s="44" t="n">
        <x:v>47483</x:v>
      </x:c>
      <x:c r="E557" s="42" t="str">
        <x:v>Lateral-esquerdo</x:v>
      </x:c>
      <x:c r="F557" s="42" t="str">
        <x:v>EC Bahia</x:v>
      </x:c>
      <x:c r="G557" s="46"/>
      <x:c r="H557" s="46"/>
      <x:c r="I557" s="46"/>
      <x:c r="J557" s="46"/>
      <x:c r="K557" s="46" t="str">
        <x:f>IF(COUNT(G557,I557)=0,"",AVERAGE(G557,I557))</x:f>
      </x:c>
      <x:c r="L557" s="46" t="str">
        <x:f>IF(COUNT(H557,J557)=0,"",AVERAGE(H557,J557))</x:f>
      </x:c>
      <x:c r="M557" s="46" t="str">
        <x:f>IF(OR(K557="",L557=""),"",L557-K557)</x:f>
      </x:c>
      <x:c r="N557" s="46" t="str">
        <x:f>IF(OR(K557="",A556&lt;&gt;A557,K556=""),"",K557-K556)</x:f>
      </x:c>
      <x:c r="O557" s="42" t="str">
        <x:v>Sem informação</x:v>
      </x:c>
      <x:c r="P557" s="42"/>
      <x:c r="Q557" s="42" t="str"/>
      <x:c r="R557" s="42" t="str"/>
      <x:c r="S557" s="42" t="str"/>
      <x:c r="T557" s="42" t="str"/>
    </x:row>
    <x:row r="558">
      <x:c r="A558" s="42" t="str">
        <x:v>Luciano Juba</x:v>
      </x:c>
      <x:c r="B558" s="42" t="n">
        <x:v>2030</x:v>
      </x:c>
      <x:c r="C558" s="42" t="str">
        <x:v>T1</x:v>
      </x:c>
      <x:c r="D558" s="44" t="n">
        <x:v>47573</x:v>
      </x:c>
      <x:c r="E558" s="42" t="str">
        <x:v>Lateral-esquerdo</x:v>
      </x:c>
      <x:c r="F558" s="42" t="str">
        <x:v>EC Bahia</x:v>
      </x:c>
      <x:c r="G558" s="46"/>
      <x:c r="H558" s="46"/>
      <x:c r="I558" s="46"/>
      <x:c r="J558" s="46"/>
      <x:c r="K558" s="46" t="str">
        <x:f>IF(COUNT(G558,I558)=0,"",AVERAGE(G558,I558))</x:f>
      </x:c>
      <x:c r="L558" s="46" t="str">
        <x:f>IF(COUNT(H558,J558)=0,"",AVERAGE(H558,J558))</x:f>
      </x:c>
      <x:c r="M558" s="46" t="str">
        <x:f>IF(OR(K558="",L558=""),"",L558-K558)</x:f>
      </x:c>
      <x:c r="N558" s="46" t="str">
        <x:f>IF(OR(K558="",A557&lt;&gt;A558,K557=""),"",K558-K557)</x:f>
      </x:c>
      <x:c r="O558" s="42" t="str">
        <x:v>Sem informação</x:v>
      </x:c>
      <x:c r="P558" s="42"/>
      <x:c r="Q558" s="42" t="str"/>
      <x:c r="R558" s="42" t="str"/>
      <x:c r="S558" s="42" t="str"/>
      <x:c r="T558" s="42" t="str"/>
    </x:row>
    <x:row r="559">
      <x:c r="A559" s="42" t="str">
        <x:v>Luciano Juba</x:v>
      </x:c>
      <x:c r="B559" s="42" t="n">
        <x:v>2030</x:v>
      </x:c>
      <x:c r="C559" s="42" t="str">
        <x:v>T2</x:v>
      </x:c>
      <x:c r="D559" s="44" t="n">
        <x:v>47664</x:v>
      </x:c>
      <x:c r="E559" s="42" t="str">
        <x:v>Lateral-esquerdo</x:v>
      </x:c>
      <x:c r="F559" s="42" t="str">
        <x:v>EC Bahia</x:v>
      </x:c>
      <x:c r="G559" s="46"/>
      <x:c r="H559" s="46"/>
      <x:c r="I559" s="46"/>
      <x:c r="J559" s="46"/>
      <x:c r="K559" s="46" t="str">
        <x:f>IF(COUNT(G559,I559)=0,"",AVERAGE(G559,I559))</x:f>
      </x:c>
      <x:c r="L559" s="46" t="str">
        <x:f>IF(COUNT(H559,J559)=0,"",AVERAGE(H559,J559))</x:f>
      </x:c>
      <x:c r="M559" s="46" t="str">
        <x:f>IF(OR(K559="",L559=""),"",L559-K559)</x:f>
      </x:c>
      <x:c r="N559" s="46" t="str">
        <x:f>IF(OR(K559="",A558&lt;&gt;A559,K558=""),"",K559-K558)</x:f>
      </x:c>
      <x:c r="O559" s="42" t="str">
        <x:v>Sem informação</x:v>
      </x:c>
      <x:c r="P559" s="42"/>
      <x:c r="Q559" s="42" t="str"/>
      <x:c r="R559" s="42" t="str"/>
      <x:c r="S559" s="42" t="str"/>
      <x:c r="T559" s="42" t="str"/>
    </x:row>
    <x:row r="560">
      <x:c r="A560" s="42" t="str">
        <x:v>Luciano Juba</x:v>
      </x:c>
      <x:c r="B560" s="42" t="n">
        <x:v>2030</x:v>
      </x:c>
      <x:c r="C560" s="42" t="str">
        <x:v>T3</x:v>
      </x:c>
      <x:c r="D560" s="44" t="n">
        <x:v>47756</x:v>
      </x:c>
      <x:c r="E560" s="42" t="str">
        <x:v>Lateral-esquerdo</x:v>
      </x:c>
      <x:c r="F560" s="42" t="str">
        <x:v>EC Bahia</x:v>
      </x:c>
      <x:c r="G560" s="46"/>
      <x:c r="H560" s="46"/>
      <x:c r="I560" s="46"/>
      <x:c r="J560" s="46"/>
      <x:c r="K560" s="46" t="str">
        <x:f>IF(COUNT(G560,I560)=0,"",AVERAGE(G560,I560))</x:f>
      </x:c>
      <x:c r="L560" s="46" t="str">
        <x:f>IF(COUNT(H560,J560)=0,"",AVERAGE(H560,J560))</x:f>
      </x:c>
      <x:c r="M560" s="46" t="str">
        <x:f>IF(OR(K560="",L560=""),"",L560-K560)</x:f>
      </x:c>
      <x:c r="N560" s="46" t="str">
        <x:f>IF(OR(K560="",A559&lt;&gt;A560,K559=""),"",K560-K559)</x:f>
      </x:c>
      <x:c r="O560" s="42" t="str">
        <x:v>Sem informação</x:v>
      </x:c>
      <x:c r="P560" s="42"/>
      <x:c r="Q560" s="42" t="str"/>
      <x:c r="R560" s="42" t="str"/>
      <x:c r="S560" s="42" t="str"/>
      <x:c r="T560" s="42" t="str"/>
    </x:row>
    <x:row r="561">
      <x:c r="A561" s="42" t="str">
        <x:v>Luciano Juba</x:v>
      </x:c>
      <x:c r="B561" s="42" t="n">
        <x:v>2030</x:v>
      </x:c>
      <x:c r="C561" s="42" t="str">
        <x:v>T4</x:v>
      </x:c>
      <x:c r="D561" s="44" t="n">
        <x:v>47848</x:v>
      </x:c>
      <x:c r="E561" s="42" t="str">
        <x:v>Lateral-esquerdo</x:v>
      </x:c>
      <x:c r="F561" s="42" t="str">
        <x:v>EC Bahia</x:v>
      </x:c>
      <x:c r="G561" s="46"/>
      <x:c r="H561" s="46"/>
      <x:c r="I561" s="46"/>
      <x:c r="J561" s="46"/>
      <x:c r="K561" s="46" t="str">
        <x:f>IF(COUNT(G561,I561)=0,"",AVERAGE(G561,I561))</x:f>
      </x:c>
      <x:c r="L561" s="46" t="str">
        <x:f>IF(COUNT(H561,J561)=0,"",AVERAGE(H561,J561))</x:f>
      </x:c>
      <x:c r="M561" s="46" t="str">
        <x:f>IF(OR(K561="",L561=""),"",L561-K561)</x:f>
      </x:c>
      <x:c r="N561" s="46" t="str">
        <x:f>IF(OR(K561="",A560&lt;&gt;A561,K560=""),"",K561-K560)</x:f>
      </x:c>
      <x:c r="O561" s="42" t="str">
        <x:v>Sem informação</x:v>
      </x:c>
      <x:c r="P561" s="42"/>
      <x:c r="Q561" s="42" t="str"/>
      <x:c r="R561" s="42" t="str"/>
      <x:c r="S561" s="42" t="str"/>
      <x:c r="T561" s="42" t="str"/>
    </x:row>
    <x:row r="562">
      <x:c r="A562" s="42" t="str">
        <x:v>Luis Felipe</x:v>
      </x:c>
      <x:c r="B562" s="42" t="n">
        <x:v>2026</x:v>
      </x:c>
      <x:c r="C562" s="42" t="str">
        <x:v>T1</x:v>
      </x:c>
      <x:c r="D562" s="44" t="n">
        <x:v>46112</x:v>
      </x:c>
      <x:c r="E562" s="42" t="str">
        <x:v>Volante</x:v>
      </x:c>
      <x:c r="F562" s="42" t="str">
        <x:v>SE Palmeiras Sub-20</x:v>
      </x:c>
      <x:c r="G562" s="46"/>
      <x:c r="H562" s="46"/>
      <x:c r="I562" s="46"/>
      <x:c r="J562" s="46"/>
      <x:c r="K562" s="46" t="str">
        <x:f>IF(COUNT(G562,I562)=0,"",AVERAGE(G562,I562))</x:f>
      </x:c>
      <x:c r="L562" s="46" t="str">
        <x:f>IF(COUNT(H562,J562)=0,"",AVERAGE(H562,J562))</x:f>
      </x:c>
      <x:c r="M562" s="46" t="str">
        <x:f>IF(OR(K562="",L562=""),"",L562-K562)</x:f>
      </x:c>
      <x:c r="N562" s="46" t="str">
        <x:f>IF(OR(K562="",A561&lt;&gt;A562,K561=""),"",K562-K561)</x:f>
      </x:c>
      <x:c r="O562" s="42" t="str">
        <x:v>Sem informação</x:v>
      </x:c>
      <x:c r="P562" s="42"/>
      <x:c r="Q562" s="42" t="str"/>
      <x:c r="R562" s="42" t="str"/>
      <x:c r="S562" s="42" t="str"/>
      <x:c r="T562" s="42" t="str"/>
    </x:row>
    <x:row r="563">
      <x:c r="A563" s="42" t="str">
        <x:v>Luis Felipe</x:v>
      </x:c>
      <x:c r="B563" s="42" t="n">
        <x:v>2026</x:v>
      </x:c>
      <x:c r="C563" s="42" t="str">
        <x:v>T2</x:v>
      </x:c>
      <x:c r="D563" s="44" t="n">
        <x:v>46203</x:v>
      </x:c>
      <x:c r="E563" s="42" t="str">
        <x:v>Volante</x:v>
      </x:c>
      <x:c r="F563" s="42" t="str">
        <x:v>SE Palmeiras Sub-20</x:v>
      </x:c>
      <x:c r="G563" s="46"/>
      <x:c r="H563" s="46"/>
      <x:c r="I563" s="46"/>
      <x:c r="J563" s="46"/>
      <x:c r="K563" s="46" t="str">
        <x:f>IF(COUNT(G563,I563)=0,"",AVERAGE(G563,I563))</x:f>
      </x:c>
      <x:c r="L563" s="46" t="str">
        <x:f>IF(COUNT(H563,J563)=0,"",AVERAGE(H563,J563))</x:f>
      </x:c>
      <x:c r="M563" s="46" t="str">
        <x:f>IF(OR(K563="",L563=""),"",L563-K563)</x:f>
      </x:c>
      <x:c r="N563" s="46" t="str">
        <x:f>IF(OR(K563="",A562&lt;&gt;A563,K562=""),"",K563-K562)</x:f>
      </x:c>
      <x:c r="O563" s="42" t="str">
        <x:v>Sem informação</x:v>
      </x:c>
      <x:c r="P563" s="42"/>
      <x:c r="Q563" s="42" t="str"/>
      <x:c r="R563" s="42" t="str"/>
      <x:c r="S563" s="42" t="str"/>
      <x:c r="T563" s="42" t="str"/>
    </x:row>
    <x:row r="564">
      <x:c r="A564" s="42" t="str">
        <x:v>Luis Felipe</x:v>
      </x:c>
      <x:c r="B564" s="42" t="n">
        <x:v>2026</x:v>
      </x:c>
      <x:c r="C564" s="42" t="str">
        <x:v>T3</x:v>
      </x:c>
      <x:c r="D564" s="44" t="n">
        <x:v>46295</x:v>
      </x:c>
      <x:c r="E564" s="42" t="str">
        <x:v>Volante</x:v>
      </x:c>
      <x:c r="F564" s="42" t="str">
        <x:v>SE Palmeiras Sub-20</x:v>
      </x:c>
      <x:c r="G564" s="46"/>
      <x:c r="H564" s="46"/>
      <x:c r="I564" s="46"/>
      <x:c r="J564" s="46"/>
      <x:c r="K564" s="46" t="str">
        <x:f>IF(COUNT(G564,I564)=0,"",AVERAGE(G564,I564))</x:f>
      </x:c>
      <x:c r="L564" s="46" t="str">
        <x:f>IF(COUNT(H564,J564)=0,"",AVERAGE(H564,J564))</x:f>
      </x:c>
      <x:c r="M564" s="46" t="str">
        <x:f>IF(OR(K564="",L564=""),"",L564-K564)</x:f>
      </x:c>
      <x:c r="N564" s="46" t="str">
        <x:f>IF(OR(K564="",A563&lt;&gt;A564,K563=""),"",K564-K563)</x:f>
      </x:c>
      <x:c r="O564" s="42" t="str">
        <x:v>Sem informação</x:v>
      </x:c>
      <x:c r="P564" s="42"/>
      <x:c r="Q564" s="42" t="str"/>
      <x:c r="R564" s="42" t="str"/>
      <x:c r="S564" s="42" t="str"/>
      <x:c r="T564" s="42" t="str"/>
    </x:row>
    <x:row r="565">
      <x:c r="A565" s="42" t="str">
        <x:v>Luis Felipe</x:v>
      </x:c>
      <x:c r="B565" s="42" t="n">
        <x:v>2026</x:v>
      </x:c>
      <x:c r="C565" s="42" t="str">
        <x:v>T4</x:v>
      </x:c>
      <x:c r="D565" s="44" t="n">
        <x:v>46387</x:v>
      </x:c>
      <x:c r="E565" s="42" t="str">
        <x:v>Volante</x:v>
      </x:c>
      <x:c r="F565" s="42" t="str">
        <x:v>SE Palmeiras Sub-20</x:v>
      </x:c>
      <x:c r="G565" s="46"/>
      <x:c r="H565" s="46"/>
      <x:c r="I565" s="46"/>
      <x:c r="J565" s="46"/>
      <x:c r="K565" s="46" t="str">
        <x:f>IF(COUNT(G565,I565)=0,"",AVERAGE(G565,I565))</x:f>
      </x:c>
      <x:c r="L565" s="46" t="str">
        <x:f>IF(COUNT(H565,J565)=0,"",AVERAGE(H565,J565))</x:f>
      </x:c>
      <x:c r="M565" s="46" t="str">
        <x:f>IF(OR(K565="",L565=""),"",L565-K565)</x:f>
      </x:c>
      <x:c r="N565" s="46" t="str">
        <x:f>IF(OR(K565="",A564&lt;&gt;A565,K564=""),"",K565-K564)</x:f>
      </x:c>
      <x:c r="O565" s="42" t="str">
        <x:v>Sem informação</x:v>
      </x:c>
      <x:c r="P565" s="42"/>
      <x:c r="Q565" s="42" t="str"/>
      <x:c r="R565" s="42" t="str"/>
      <x:c r="S565" s="42" t="str"/>
      <x:c r="T565" s="42" t="str"/>
    </x:row>
    <x:row r="566">
      <x:c r="A566" s="42" t="str">
        <x:v>Luis Felipe</x:v>
      </x:c>
      <x:c r="B566" s="42" t="n">
        <x:v>2027</x:v>
      </x:c>
      <x:c r="C566" s="42" t="str">
        <x:v>T1</x:v>
      </x:c>
      <x:c r="D566" s="44" t="n">
        <x:v>46477</x:v>
      </x:c>
      <x:c r="E566" s="42" t="str">
        <x:v>Volante</x:v>
      </x:c>
      <x:c r="F566" s="42" t="str">
        <x:v>SE Palmeiras Sub-20</x:v>
      </x:c>
      <x:c r="G566" s="46"/>
      <x:c r="H566" s="46"/>
      <x:c r="I566" s="46"/>
      <x:c r="J566" s="46"/>
      <x:c r="K566" s="46" t="str">
        <x:f>IF(COUNT(G566,I566)=0,"",AVERAGE(G566,I566))</x:f>
      </x:c>
      <x:c r="L566" s="46" t="str">
        <x:f>IF(COUNT(H566,J566)=0,"",AVERAGE(H566,J566))</x:f>
      </x:c>
      <x:c r="M566" s="46" t="str">
        <x:f>IF(OR(K566="",L566=""),"",L566-K566)</x:f>
      </x:c>
      <x:c r="N566" s="46" t="str">
        <x:f>IF(OR(K566="",A565&lt;&gt;A566,K565=""),"",K566-K565)</x:f>
      </x:c>
      <x:c r="O566" s="42" t="str">
        <x:v>Sem informação</x:v>
      </x:c>
      <x:c r="P566" s="42"/>
      <x:c r="Q566" s="42" t="str"/>
      <x:c r="R566" s="42" t="str"/>
      <x:c r="S566" s="42" t="str"/>
      <x:c r="T566" s="42" t="str"/>
    </x:row>
    <x:row r="567">
      <x:c r="A567" s="42" t="str">
        <x:v>Luis Felipe</x:v>
      </x:c>
      <x:c r="B567" s="42" t="n">
        <x:v>2027</x:v>
      </x:c>
      <x:c r="C567" s="42" t="str">
        <x:v>T2</x:v>
      </x:c>
      <x:c r="D567" s="44" t="n">
        <x:v>46568</x:v>
      </x:c>
      <x:c r="E567" s="42" t="str">
        <x:v>Volante</x:v>
      </x:c>
      <x:c r="F567" s="42" t="str">
        <x:v>SE Palmeiras Sub-20</x:v>
      </x:c>
      <x:c r="G567" s="46"/>
      <x:c r="H567" s="46"/>
      <x:c r="I567" s="46"/>
      <x:c r="J567" s="46"/>
      <x:c r="K567" s="46" t="str">
        <x:f>IF(COUNT(G567,I567)=0,"",AVERAGE(G567,I567))</x:f>
      </x:c>
      <x:c r="L567" s="46" t="str">
        <x:f>IF(COUNT(H567,J567)=0,"",AVERAGE(H567,J567))</x:f>
      </x:c>
      <x:c r="M567" s="46" t="str">
        <x:f>IF(OR(K567="",L567=""),"",L567-K567)</x:f>
      </x:c>
      <x:c r="N567" s="46" t="str">
        <x:f>IF(OR(K567="",A566&lt;&gt;A567,K566=""),"",K567-K566)</x:f>
      </x:c>
      <x:c r="O567" s="42" t="str">
        <x:v>Sem informação</x:v>
      </x:c>
      <x:c r="P567" s="42"/>
      <x:c r="Q567" s="42" t="str"/>
      <x:c r="R567" s="42" t="str"/>
      <x:c r="S567" s="42" t="str"/>
      <x:c r="T567" s="42" t="str"/>
    </x:row>
    <x:row r="568">
      <x:c r="A568" s="42" t="str">
        <x:v>Luis Felipe</x:v>
      </x:c>
      <x:c r="B568" s="42" t="n">
        <x:v>2027</x:v>
      </x:c>
      <x:c r="C568" s="42" t="str">
        <x:v>T3</x:v>
      </x:c>
      <x:c r="D568" s="44" t="n">
        <x:v>46660</x:v>
      </x:c>
      <x:c r="E568" s="42" t="str">
        <x:v>Volante</x:v>
      </x:c>
      <x:c r="F568" s="42" t="str">
        <x:v>SE Palmeiras Sub-20</x:v>
      </x:c>
      <x:c r="G568" s="46"/>
      <x:c r="H568" s="46"/>
      <x:c r="I568" s="46"/>
      <x:c r="J568" s="46"/>
      <x:c r="K568" s="46" t="str">
        <x:f>IF(COUNT(G568,I568)=0,"",AVERAGE(G568,I568))</x:f>
      </x:c>
      <x:c r="L568" s="46" t="str">
        <x:f>IF(COUNT(H568,J568)=0,"",AVERAGE(H568,J568))</x:f>
      </x:c>
      <x:c r="M568" s="46" t="str">
        <x:f>IF(OR(K568="",L568=""),"",L568-K568)</x:f>
      </x:c>
      <x:c r="N568" s="46" t="str">
        <x:f>IF(OR(K568="",A567&lt;&gt;A568,K567=""),"",K568-K567)</x:f>
      </x:c>
      <x:c r="O568" s="42" t="str">
        <x:v>Sem informação</x:v>
      </x:c>
      <x:c r="P568" s="42"/>
      <x:c r="Q568" s="42" t="str"/>
      <x:c r="R568" s="42" t="str"/>
      <x:c r="S568" s="42" t="str"/>
      <x:c r="T568" s="42" t="str"/>
    </x:row>
    <x:row r="569">
      <x:c r="A569" s="42" t="str">
        <x:v>Luis Felipe</x:v>
      </x:c>
      <x:c r="B569" s="42" t="n">
        <x:v>2027</x:v>
      </x:c>
      <x:c r="C569" s="42" t="str">
        <x:v>T4</x:v>
      </x:c>
      <x:c r="D569" s="44" t="n">
        <x:v>46752</x:v>
      </x:c>
      <x:c r="E569" s="42" t="str">
        <x:v>Volante</x:v>
      </x:c>
      <x:c r="F569" s="42" t="str">
        <x:v>SE Palmeiras Sub-20</x:v>
      </x:c>
      <x:c r="G569" s="46"/>
      <x:c r="H569" s="46"/>
      <x:c r="I569" s="46"/>
      <x:c r="J569" s="46"/>
      <x:c r="K569" s="46" t="str">
        <x:f>IF(COUNT(G569,I569)=0,"",AVERAGE(G569,I569))</x:f>
      </x:c>
      <x:c r="L569" s="46" t="str">
        <x:f>IF(COUNT(H569,J569)=0,"",AVERAGE(H569,J569))</x:f>
      </x:c>
      <x:c r="M569" s="46" t="str">
        <x:f>IF(OR(K569="",L569=""),"",L569-K569)</x:f>
      </x:c>
      <x:c r="N569" s="46" t="str">
        <x:f>IF(OR(K569="",A568&lt;&gt;A569,K568=""),"",K569-K568)</x:f>
      </x:c>
      <x:c r="O569" s="42" t="str">
        <x:v>Sem informação</x:v>
      </x:c>
      <x:c r="P569" s="42"/>
      <x:c r="Q569" s="42" t="str"/>
      <x:c r="R569" s="42" t="str"/>
      <x:c r="S569" s="42" t="str"/>
      <x:c r="T569" s="42" t="str"/>
    </x:row>
    <x:row r="570">
      <x:c r="A570" s="42" t="str">
        <x:v>Luis Felipe</x:v>
      </x:c>
      <x:c r="B570" s="42" t="n">
        <x:v>2028</x:v>
      </x:c>
      <x:c r="C570" s="42" t="str">
        <x:v>T1</x:v>
      </x:c>
      <x:c r="D570" s="44" t="n">
        <x:v>46843</x:v>
      </x:c>
      <x:c r="E570" s="42" t="str">
        <x:v>Volante</x:v>
      </x:c>
      <x:c r="F570" s="42" t="str">
        <x:v>SE Palmeiras Sub-20</x:v>
      </x:c>
      <x:c r="G570" s="46"/>
      <x:c r="H570" s="46"/>
      <x:c r="I570" s="46"/>
      <x:c r="J570" s="46"/>
      <x:c r="K570" s="46" t="str">
        <x:f>IF(COUNT(G570,I570)=0,"",AVERAGE(G570,I570))</x:f>
      </x:c>
      <x:c r="L570" s="46" t="str">
        <x:f>IF(COUNT(H570,J570)=0,"",AVERAGE(H570,J570))</x:f>
      </x:c>
      <x:c r="M570" s="46" t="str">
        <x:f>IF(OR(K570="",L570=""),"",L570-K570)</x:f>
      </x:c>
      <x:c r="N570" s="46" t="str">
        <x:f>IF(OR(K570="",A569&lt;&gt;A570,K569=""),"",K570-K569)</x:f>
      </x:c>
      <x:c r="O570" s="42" t="str">
        <x:v>Sem informação</x:v>
      </x:c>
      <x:c r="P570" s="42"/>
      <x:c r="Q570" s="42" t="str"/>
      <x:c r="R570" s="42" t="str"/>
      <x:c r="S570" s="42" t="str"/>
      <x:c r="T570" s="42" t="str"/>
    </x:row>
    <x:row r="571">
      <x:c r="A571" s="42" t="str">
        <x:v>Luis Felipe</x:v>
      </x:c>
      <x:c r="B571" s="42" t="n">
        <x:v>2028</x:v>
      </x:c>
      <x:c r="C571" s="42" t="str">
        <x:v>T2</x:v>
      </x:c>
      <x:c r="D571" s="44" t="n">
        <x:v>46934</x:v>
      </x:c>
      <x:c r="E571" s="42" t="str">
        <x:v>Volante</x:v>
      </x:c>
      <x:c r="F571" s="42" t="str">
        <x:v>SE Palmeiras Sub-20</x:v>
      </x:c>
      <x:c r="G571" s="46"/>
      <x:c r="H571" s="46"/>
      <x:c r="I571" s="46"/>
      <x:c r="J571" s="46"/>
      <x:c r="K571" s="46" t="str">
        <x:f>IF(COUNT(G571,I571)=0,"",AVERAGE(G571,I571))</x:f>
      </x:c>
      <x:c r="L571" s="46" t="str">
        <x:f>IF(COUNT(H571,J571)=0,"",AVERAGE(H571,J571))</x:f>
      </x:c>
      <x:c r="M571" s="46" t="str">
        <x:f>IF(OR(K571="",L571=""),"",L571-K571)</x:f>
      </x:c>
      <x:c r="N571" s="46" t="str">
        <x:f>IF(OR(K571="",A570&lt;&gt;A571,K570=""),"",K571-K570)</x:f>
      </x:c>
      <x:c r="O571" s="42" t="str">
        <x:v>Sem informação</x:v>
      </x:c>
      <x:c r="P571" s="42"/>
      <x:c r="Q571" s="42" t="str"/>
      <x:c r="R571" s="42" t="str"/>
      <x:c r="S571" s="42" t="str"/>
      <x:c r="T571" s="42" t="str"/>
    </x:row>
    <x:row r="572">
      <x:c r="A572" s="42" t="str">
        <x:v>Luis Felipe</x:v>
      </x:c>
      <x:c r="B572" s="42" t="n">
        <x:v>2028</x:v>
      </x:c>
      <x:c r="C572" s="42" t="str">
        <x:v>T3</x:v>
      </x:c>
      <x:c r="D572" s="44" t="n">
        <x:v>47026</x:v>
      </x:c>
      <x:c r="E572" s="42" t="str">
        <x:v>Volante</x:v>
      </x:c>
      <x:c r="F572" s="42" t="str">
        <x:v>SE Palmeiras Sub-20</x:v>
      </x:c>
      <x:c r="G572" s="46"/>
      <x:c r="H572" s="46"/>
      <x:c r="I572" s="46"/>
      <x:c r="J572" s="46"/>
      <x:c r="K572" s="46" t="str">
        <x:f>IF(COUNT(G572,I572)=0,"",AVERAGE(G572,I572))</x:f>
      </x:c>
      <x:c r="L572" s="46" t="str">
        <x:f>IF(COUNT(H572,J572)=0,"",AVERAGE(H572,J572))</x:f>
      </x:c>
      <x:c r="M572" s="46" t="str">
        <x:f>IF(OR(K572="",L572=""),"",L572-K572)</x:f>
      </x:c>
      <x:c r="N572" s="46" t="str">
        <x:f>IF(OR(K572="",A571&lt;&gt;A572,K571=""),"",K572-K571)</x:f>
      </x:c>
      <x:c r="O572" s="42" t="str">
        <x:v>Sem informação</x:v>
      </x:c>
      <x:c r="P572" s="42"/>
      <x:c r="Q572" s="42" t="str"/>
      <x:c r="R572" s="42" t="str"/>
      <x:c r="S572" s="42" t="str"/>
      <x:c r="T572" s="42" t="str"/>
    </x:row>
    <x:row r="573">
      <x:c r="A573" s="42" t="str">
        <x:v>Luis Felipe</x:v>
      </x:c>
      <x:c r="B573" s="42" t="n">
        <x:v>2028</x:v>
      </x:c>
      <x:c r="C573" s="42" t="str">
        <x:v>T4</x:v>
      </x:c>
      <x:c r="D573" s="44" t="n">
        <x:v>47118</x:v>
      </x:c>
      <x:c r="E573" s="42" t="str">
        <x:v>Volante</x:v>
      </x:c>
      <x:c r="F573" s="42" t="str">
        <x:v>SE Palmeiras Sub-20</x:v>
      </x:c>
      <x:c r="G573" s="46"/>
      <x:c r="H573" s="46"/>
      <x:c r="I573" s="46"/>
      <x:c r="J573" s="46"/>
      <x:c r="K573" s="46" t="str">
        <x:f>IF(COUNT(G573,I573)=0,"",AVERAGE(G573,I573))</x:f>
      </x:c>
      <x:c r="L573" s="46" t="str">
        <x:f>IF(COUNT(H573,J573)=0,"",AVERAGE(H573,J573))</x:f>
      </x:c>
      <x:c r="M573" s="46" t="str">
        <x:f>IF(OR(K573="",L573=""),"",L573-K573)</x:f>
      </x:c>
      <x:c r="N573" s="46" t="str">
        <x:f>IF(OR(K573="",A572&lt;&gt;A573,K572=""),"",K573-K572)</x:f>
      </x:c>
      <x:c r="O573" s="42" t="str">
        <x:v>Sem informação</x:v>
      </x:c>
      <x:c r="P573" s="42"/>
      <x:c r="Q573" s="42" t="str"/>
      <x:c r="R573" s="42" t="str"/>
      <x:c r="S573" s="42" t="str"/>
      <x:c r="T573" s="42" t="str"/>
    </x:row>
    <x:row r="574">
      <x:c r="A574" s="42" t="str">
        <x:v>Luis Felipe</x:v>
      </x:c>
      <x:c r="B574" s="42" t="n">
        <x:v>2029</x:v>
      </x:c>
      <x:c r="C574" s="42" t="str">
        <x:v>T1</x:v>
      </x:c>
      <x:c r="D574" s="44" t="n">
        <x:v>47208</x:v>
      </x:c>
      <x:c r="E574" s="42" t="str">
        <x:v>Volante</x:v>
      </x:c>
      <x:c r="F574" s="42" t="str">
        <x:v>SE Palmeiras Sub-20</x:v>
      </x:c>
      <x:c r="G574" s="46"/>
      <x:c r="H574" s="46"/>
      <x:c r="I574" s="46"/>
      <x:c r="J574" s="46"/>
      <x:c r="K574" s="46" t="str">
        <x:f>IF(COUNT(G574,I574)=0,"",AVERAGE(G574,I574))</x:f>
      </x:c>
      <x:c r="L574" s="46" t="str">
        <x:f>IF(COUNT(H574,J574)=0,"",AVERAGE(H574,J574))</x:f>
      </x:c>
      <x:c r="M574" s="46" t="str">
        <x:f>IF(OR(K574="",L574=""),"",L574-K574)</x:f>
      </x:c>
      <x:c r="N574" s="46" t="str">
        <x:f>IF(OR(K574="",A573&lt;&gt;A574,K573=""),"",K574-K573)</x:f>
      </x:c>
      <x:c r="O574" s="42" t="str">
        <x:v>Sem informação</x:v>
      </x:c>
      <x:c r="P574" s="42"/>
      <x:c r="Q574" s="42" t="str"/>
      <x:c r="R574" s="42" t="str"/>
      <x:c r="S574" s="42" t="str"/>
      <x:c r="T574" s="42" t="str"/>
    </x:row>
    <x:row r="575">
      <x:c r="A575" s="42" t="str">
        <x:v>Luis Felipe</x:v>
      </x:c>
      <x:c r="B575" s="42" t="n">
        <x:v>2029</x:v>
      </x:c>
      <x:c r="C575" s="42" t="str">
        <x:v>T2</x:v>
      </x:c>
      <x:c r="D575" s="44" t="n">
        <x:v>47299</x:v>
      </x:c>
      <x:c r="E575" s="42" t="str">
        <x:v>Volante</x:v>
      </x:c>
      <x:c r="F575" s="42" t="str">
        <x:v>SE Palmeiras Sub-20</x:v>
      </x:c>
      <x:c r="G575" s="46"/>
      <x:c r="H575" s="46"/>
      <x:c r="I575" s="46"/>
      <x:c r="J575" s="46"/>
      <x:c r="K575" s="46" t="str">
        <x:f>IF(COUNT(G575,I575)=0,"",AVERAGE(G575,I575))</x:f>
      </x:c>
      <x:c r="L575" s="46" t="str">
        <x:f>IF(COUNT(H575,J575)=0,"",AVERAGE(H575,J575))</x:f>
      </x:c>
      <x:c r="M575" s="46" t="str">
        <x:f>IF(OR(K575="",L575=""),"",L575-K575)</x:f>
      </x:c>
      <x:c r="N575" s="46" t="str">
        <x:f>IF(OR(K575="",A574&lt;&gt;A575,K574=""),"",K575-K574)</x:f>
      </x:c>
      <x:c r="O575" s="42" t="str">
        <x:v>Sem informação</x:v>
      </x:c>
      <x:c r="P575" s="42"/>
      <x:c r="Q575" s="42" t="str"/>
      <x:c r="R575" s="42" t="str"/>
      <x:c r="S575" s="42" t="str"/>
      <x:c r="T575" s="42" t="str"/>
    </x:row>
    <x:row r="576">
      <x:c r="A576" s="42" t="str">
        <x:v>Luis Felipe</x:v>
      </x:c>
      <x:c r="B576" s="42" t="n">
        <x:v>2029</x:v>
      </x:c>
      <x:c r="C576" s="42" t="str">
        <x:v>T3</x:v>
      </x:c>
      <x:c r="D576" s="44" t="n">
        <x:v>47391</x:v>
      </x:c>
      <x:c r="E576" s="42" t="str">
        <x:v>Volante</x:v>
      </x:c>
      <x:c r="F576" s="42" t="str">
        <x:v>SE Palmeiras Sub-20</x:v>
      </x:c>
      <x:c r="G576" s="46"/>
      <x:c r="H576" s="46"/>
      <x:c r="I576" s="46"/>
      <x:c r="J576" s="46"/>
      <x:c r="K576" s="46" t="str">
        <x:f>IF(COUNT(G576,I576)=0,"",AVERAGE(G576,I576))</x:f>
      </x:c>
      <x:c r="L576" s="46" t="str">
        <x:f>IF(COUNT(H576,J576)=0,"",AVERAGE(H576,J576))</x:f>
      </x:c>
      <x:c r="M576" s="46" t="str">
        <x:f>IF(OR(K576="",L576=""),"",L576-K576)</x:f>
      </x:c>
      <x:c r="N576" s="46" t="str">
        <x:f>IF(OR(K576="",A575&lt;&gt;A576,K575=""),"",K576-K575)</x:f>
      </x:c>
      <x:c r="O576" s="42" t="str">
        <x:v>Sem informação</x:v>
      </x:c>
      <x:c r="P576" s="42"/>
      <x:c r="Q576" s="42" t="str"/>
      <x:c r="R576" s="42" t="str"/>
      <x:c r="S576" s="42" t="str"/>
      <x:c r="T576" s="42" t="str"/>
    </x:row>
    <x:row r="577">
      <x:c r="A577" s="42" t="str">
        <x:v>Luis Felipe</x:v>
      </x:c>
      <x:c r="B577" s="42" t="n">
        <x:v>2029</x:v>
      </x:c>
      <x:c r="C577" s="42" t="str">
        <x:v>T4</x:v>
      </x:c>
      <x:c r="D577" s="44" t="n">
        <x:v>47483</x:v>
      </x:c>
      <x:c r="E577" s="42" t="str">
        <x:v>Volante</x:v>
      </x:c>
      <x:c r="F577" s="42" t="str">
        <x:v>SE Palmeiras Sub-20</x:v>
      </x:c>
      <x:c r="G577" s="46"/>
      <x:c r="H577" s="46"/>
      <x:c r="I577" s="46"/>
      <x:c r="J577" s="46"/>
      <x:c r="K577" s="46" t="str">
        <x:f>IF(COUNT(G577,I577)=0,"",AVERAGE(G577,I577))</x:f>
      </x:c>
      <x:c r="L577" s="46" t="str">
        <x:f>IF(COUNT(H577,J577)=0,"",AVERAGE(H577,J577))</x:f>
      </x:c>
      <x:c r="M577" s="46" t="str">
        <x:f>IF(OR(K577="",L577=""),"",L577-K577)</x:f>
      </x:c>
      <x:c r="N577" s="46" t="str">
        <x:f>IF(OR(K577="",A576&lt;&gt;A577,K576=""),"",K577-K576)</x:f>
      </x:c>
      <x:c r="O577" s="42" t="str">
        <x:v>Sem informação</x:v>
      </x:c>
      <x:c r="P577" s="42"/>
      <x:c r="Q577" s="42" t="str"/>
      <x:c r="R577" s="42" t="str"/>
      <x:c r="S577" s="42" t="str"/>
      <x:c r="T577" s="42" t="str"/>
    </x:row>
    <x:row r="578">
      <x:c r="A578" s="42" t="str">
        <x:v>Luis Felipe</x:v>
      </x:c>
      <x:c r="B578" s="42" t="n">
        <x:v>2030</x:v>
      </x:c>
      <x:c r="C578" s="42" t="str">
        <x:v>T1</x:v>
      </x:c>
      <x:c r="D578" s="44" t="n">
        <x:v>47573</x:v>
      </x:c>
      <x:c r="E578" s="42" t="str">
        <x:v>Volante</x:v>
      </x:c>
      <x:c r="F578" s="42" t="str">
        <x:v>SE Palmeiras Sub-20</x:v>
      </x:c>
      <x:c r="G578" s="46"/>
      <x:c r="H578" s="46"/>
      <x:c r="I578" s="46"/>
      <x:c r="J578" s="46"/>
      <x:c r="K578" s="46" t="str">
        <x:f>IF(COUNT(G578,I578)=0,"",AVERAGE(G578,I578))</x:f>
      </x:c>
      <x:c r="L578" s="46" t="str">
        <x:f>IF(COUNT(H578,J578)=0,"",AVERAGE(H578,J578))</x:f>
      </x:c>
      <x:c r="M578" s="46" t="str">
        <x:f>IF(OR(K578="",L578=""),"",L578-K578)</x:f>
      </x:c>
      <x:c r="N578" s="46" t="str">
        <x:f>IF(OR(K578="",A577&lt;&gt;A578,K577=""),"",K578-K577)</x:f>
      </x:c>
      <x:c r="O578" s="42" t="str">
        <x:v>Sem informação</x:v>
      </x:c>
      <x:c r="P578" s="42"/>
      <x:c r="Q578" s="42" t="str"/>
      <x:c r="R578" s="42" t="str"/>
      <x:c r="S578" s="42" t="str"/>
      <x:c r="T578" s="42" t="str"/>
    </x:row>
    <x:row r="579">
      <x:c r="A579" s="42" t="str">
        <x:v>Luis Felipe</x:v>
      </x:c>
      <x:c r="B579" s="42" t="n">
        <x:v>2030</x:v>
      </x:c>
      <x:c r="C579" s="42" t="str">
        <x:v>T2</x:v>
      </x:c>
      <x:c r="D579" s="44" t="n">
        <x:v>47664</x:v>
      </x:c>
      <x:c r="E579" s="42" t="str">
        <x:v>Volante</x:v>
      </x:c>
      <x:c r="F579" s="42" t="str">
        <x:v>SE Palmeiras Sub-20</x:v>
      </x:c>
      <x:c r="G579" s="46"/>
      <x:c r="H579" s="46"/>
      <x:c r="I579" s="46"/>
      <x:c r="J579" s="46"/>
      <x:c r="K579" s="46" t="str">
        <x:f>IF(COUNT(G579,I579)=0,"",AVERAGE(G579,I579))</x:f>
      </x:c>
      <x:c r="L579" s="46" t="str">
        <x:f>IF(COUNT(H579,J579)=0,"",AVERAGE(H579,J579))</x:f>
      </x:c>
      <x:c r="M579" s="46" t="str">
        <x:f>IF(OR(K579="",L579=""),"",L579-K579)</x:f>
      </x:c>
      <x:c r="N579" s="46" t="str">
        <x:f>IF(OR(K579="",A578&lt;&gt;A579,K578=""),"",K579-K578)</x:f>
      </x:c>
      <x:c r="O579" s="42" t="str">
        <x:v>Sem informação</x:v>
      </x:c>
      <x:c r="P579" s="42"/>
      <x:c r="Q579" s="42" t="str"/>
      <x:c r="R579" s="42" t="str"/>
      <x:c r="S579" s="42" t="str"/>
      <x:c r="T579" s="42" t="str"/>
    </x:row>
    <x:row r="580">
      <x:c r="A580" s="42" t="str">
        <x:v>Luis Felipe</x:v>
      </x:c>
      <x:c r="B580" s="42" t="n">
        <x:v>2030</x:v>
      </x:c>
      <x:c r="C580" s="42" t="str">
        <x:v>T3</x:v>
      </x:c>
      <x:c r="D580" s="44" t="n">
        <x:v>47756</x:v>
      </x:c>
      <x:c r="E580" s="42" t="str">
        <x:v>Volante</x:v>
      </x:c>
      <x:c r="F580" s="42" t="str">
        <x:v>SE Palmeiras Sub-20</x:v>
      </x:c>
      <x:c r="G580" s="46"/>
      <x:c r="H580" s="46"/>
      <x:c r="I580" s="46"/>
      <x:c r="J580" s="46"/>
      <x:c r="K580" s="46" t="str">
        <x:f>IF(COUNT(G580,I580)=0,"",AVERAGE(G580,I580))</x:f>
      </x:c>
      <x:c r="L580" s="46" t="str">
        <x:f>IF(COUNT(H580,J580)=0,"",AVERAGE(H580,J580))</x:f>
      </x:c>
      <x:c r="M580" s="46" t="str">
        <x:f>IF(OR(K580="",L580=""),"",L580-K580)</x:f>
      </x:c>
      <x:c r="N580" s="46" t="str">
        <x:f>IF(OR(K580="",A579&lt;&gt;A580,K579=""),"",K580-K579)</x:f>
      </x:c>
      <x:c r="O580" s="42" t="str">
        <x:v>Sem informação</x:v>
      </x:c>
      <x:c r="P580" s="42"/>
      <x:c r="Q580" s="42" t="str"/>
      <x:c r="R580" s="42" t="str"/>
      <x:c r="S580" s="42" t="str"/>
      <x:c r="T580" s="42" t="str"/>
    </x:row>
    <x:row r="581">
      <x:c r="A581" s="42" t="str">
        <x:v>Luis Felipe</x:v>
      </x:c>
      <x:c r="B581" s="42" t="n">
        <x:v>2030</x:v>
      </x:c>
      <x:c r="C581" s="42" t="str">
        <x:v>T4</x:v>
      </x:c>
      <x:c r="D581" s="44" t="n">
        <x:v>47848</x:v>
      </x:c>
      <x:c r="E581" s="42" t="str">
        <x:v>Volante</x:v>
      </x:c>
      <x:c r="F581" s="42" t="str">
        <x:v>SE Palmeiras Sub-20</x:v>
      </x:c>
      <x:c r="G581" s="46"/>
      <x:c r="H581" s="46"/>
      <x:c r="I581" s="46"/>
      <x:c r="J581" s="46"/>
      <x:c r="K581" s="46" t="str">
        <x:f>IF(COUNT(G581,I581)=0,"",AVERAGE(G581,I581))</x:f>
      </x:c>
      <x:c r="L581" s="46" t="str">
        <x:f>IF(COUNT(H581,J581)=0,"",AVERAGE(H581,J581))</x:f>
      </x:c>
      <x:c r="M581" s="46" t="str">
        <x:f>IF(OR(K581="",L581=""),"",L581-K581)</x:f>
      </x:c>
      <x:c r="N581" s="46" t="str">
        <x:f>IF(OR(K581="",A580&lt;&gt;A581,K580=""),"",K581-K580)</x:f>
      </x:c>
      <x:c r="O581" s="42" t="str">
        <x:v>Sem informação</x:v>
      </x:c>
      <x:c r="P581" s="42"/>
      <x:c r="Q581" s="42" t="str"/>
      <x:c r="R581" s="42" t="str"/>
      <x:c r="S581" s="42" t="str"/>
      <x:c r="T581" s="42" t="str"/>
    </x:row>
    <x:row r="582">
      <x:c r="A582" s="42" t="str">
        <x:v>Luis Gustavo</x:v>
      </x:c>
      <x:c r="B582" s="42" t="n">
        <x:v>2026</x:v>
      </x:c>
      <x:c r="C582" s="42" t="str">
        <x:v>T1</x:v>
      </x:c>
      <x:c r="D582" s="44" t="n">
        <x:v>46112</x:v>
      </x:c>
      <x:c r="E582" s="42" t="str">
        <x:v>Zagueiro</x:v>
      </x:c>
      <x:c r="F582" s="42" t="str">
        <x:v>SE Palmeiras</x:v>
      </x:c>
      <x:c r="G582" s="46"/>
      <x:c r="H582" s="46"/>
      <x:c r="I582" s="46"/>
      <x:c r="J582" s="46"/>
      <x:c r="K582" s="46" t="str">
        <x:f>IF(COUNT(G582,I582)=0,"",AVERAGE(G582,I582))</x:f>
      </x:c>
      <x:c r="L582" s="46" t="str">
        <x:f>IF(COUNT(H582,J582)=0,"",AVERAGE(H582,J582))</x:f>
      </x:c>
      <x:c r="M582" s="46" t="str">
        <x:f>IF(OR(K582="",L582=""),"",L582-K582)</x:f>
      </x:c>
      <x:c r="N582" s="46" t="str">
        <x:f>IF(OR(K582="",A581&lt;&gt;A582,K581=""),"",K582-K581)</x:f>
      </x:c>
      <x:c r="O582" s="42" t="str">
        <x:v>Sem informação</x:v>
      </x:c>
      <x:c r="P582" s="42"/>
      <x:c r="Q582" s="42" t="str"/>
      <x:c r="R582" s="42" t="str"/>
      <x:c r="S582" s="42" t="str"/>
      <x:c r="T582" s="42" t="str"/>
    </x:row>
    <x:row r="583">
      <x:c r="A583" s="42" t="str">
        <x:v>Luis Gustavo</x:v>
      </x:c>
      <x:c r="B583" s="42" t="n">
        <x:v>2026</x:v>
      </x:c>
      <x:c r="C583" s="42" t="str">
        <x:v>T2</x:v>
      </x:c>
      <x:c r="D583" s="44" t="n">
        <x:v>46203</x:v>
      </x:c>
      <x:c r="E583" s="42" t="str">
        <x:v>Zagueiro</x:v>
      </x:c>
      <x:c r="F583" s="42" t="str">
        <x:v>SE Palmeiras</x:v>
      </x:c>
      <x:c r="G583" s="46"/>
      <x:c r="H583" s="46"/>
      <x:c r="I583" s="46"/>
      <x:c r="J583" s="46"/>
      <x:c r="K583" s="46" t="str">
        <x:f>IF(COUNT(G583,I583)=0,"",AVERAGE(G583,I583))</x:f>
      </x:c>
      <x:c r="L583" s="46" t="str">
        <x:f>IF(COUNT(H583,J583)=0,"",AVERAGE(H583,J583))</x:f>
      </x:c>
      <x:c r="M583" s="46" t="str">
        <x:f>IF(OR(K583="",L583=""),"",L583-K583)</x:f>
      </x:c>
      <x:c r="N583" s="46" t="str">
        <x:f>IF(OR(K583="",A582&lt;&gt;A583,K582=""),"",K583-K582)</x:f>
      </x:c>
      <x:c r="O583" s="42" t="str">
        <x:v>Sem informação</x:v>
      </x:c>
      <x:c r="P583" s="42"/>
      <x:c r="Q583" s="42" t="str"/>
      <x:c r="R583" s="42" t="str"/>
      <x:c r="S583" s="42" t="str"/>
      <x:c r="T583" s="42" t="str"/>
    </x:row>
    <x:row r="584">
      <x:c r="A584" s="42" t="str">
        <x:v>Luis Gustavo</x:v>
      </x:c>
      <x:c r="B584" s="42" t="n">
        <x:v>2026</x:v>
      </x:c>
      <x:c r="C584" s="42" t="str">
        <x:v>T3</x:v>
      </x:c>
      <x:c r="D584" s="44" t="n">
        <x:v>46295</x:v>
      </x:c>
      <x:c r="E584" s="42" t="str">
        <x:v>Zagueiro</x:v>
      </x:c>
      <x:c r="F584" s="42" t="str">
        <x:v>SE Palmeiras</x:v>
      </x:c>
      <x:c r="G584" s="46"/>
      <x:c r="H584" s="46"/>
      <x:c r="I584" s="46"/>
      <x:c r="J584" s="46"/>
      <x:c r="K584" s="46" t="str">
        <x:f>IF(COUNT(G584,I584)=0,"",AVERAGE(G584,I584))</x:f>
      </x:c>
      <x:c r="L584" s="46" t="str">
        <x:f>IF(COUNT(H584,J584)=0,"",AVERAGE(H584,J584))</x:f>
      </x:c>
      <x:c r="M584" s="46" t="str">
        <x:f>IF(OR(K584="",L584=""),"",L584-K584)</x:f>
      </x:c>
      <x:c r="N584" s="46" t="str">
        <x:f>IF(OR(K584="",A583&lt;&gt;A584,K583=""),"",K584-K583)</x:f>
      </x:c>
      <x:c r="O584" s="42" t="str">
        <x:v>Sem informação</x:v>
      </x:c>
      <x:c r="P584" s="42"/>
      <x:c r="Q584" s="42" t="str"/>
      <x:c r="R584" s="42" t="str"/>
      <x:c r="S584" s="42" t="str"/>
      <x:c r="T584" s="42" t="str"/>
    </x:row>
    <x:row r="585">
      <x:c r="A585" s="42" t="str">
        <x:v>Luis Gustavo</x:v>
      </x:c>
      <x:c r="B585" s="42" t="n">
        <x:v>2026</x:v>
      </x:c>
      <x:c r="C585" s="42" t="str">
        <x:v>T4</x:v>
      </x:c>
      <x:c r="D585" s="44" t="n">
        <x:v>46387</x:v>
      </x:c>
      <x:c r="E585" s="42" t="str">
        <x:v>Zagueiro</x:v>
      </x:c>
      <x:c r="F585" s="42" t="str">
        <x:v>SE Palmeiras</x:v>
      </x:c>
      <x:c r="G585" s="46"/>
      <x:c r="H585" s="46"/>
      <x:c r="I585" s="46"/>
      <x:c r="J585" s="46"/>
      <x:c r="K585" s="46" t="str">
        <x:f>IF(COUNT(G585,I585)=0,"",AVERAGE(G585,I585))</x:f>
      </x:c>
      <x:c r="L585" s="46" t="str">
        <x:f>IF(COUNT(H585,J585)=0,"",AVERAGE(H585,J585))</x:f>
      </x:c>
      <x:c r="M585" s="46" t="str">
        <x:f>IF(OR(K585="",L585=""),"",L585-K585)</x:f>
      </x:c>
      <x:c r="N585" s="46" t="str">
        <x:f>IF(OR(K585="",A584&lt;&gt;A585,K584=""),"",K585-K584)</x:f>
      </x:c>
      <x:c r="O585" s="42" t="str">
        <x:v>Sem informação</x:v>
      </x:c>
      <x:c r="P585" s="42"/>
      <x:c r="Q585" s="42" t="str"/>
      <x:c r="R585" s="42" t="str"/>
      <x:c r="S585" s="42" t="str"/>
      <x:c r="T585" s="42" t="str"/>
    </x:row>
    <x:row r="586">
      <x:c r="A586" s="42" t="str">
        <x:v>Luis Gustavo</x:v>
      </x:c>
      <x:c r="B586" s="42" t="n">
        <x:v>2027</x:v>
      </x:c>
      <x:c r="C586" s="42" t="str">
        <x:v>T1</x:v>
      </x:c>
      <x:c r="D586" s="44" t="n">
        <x:v>46477</x:v>
      </x:c>
      <x:c r="E586" s="42" t="str">
        <x:v>Zagueiro</x:v>
      </x:c>
      <x:c r="F586" s="42" t="str">
        <x:v>SE Palmeiras</x:v>
      </x:c>
      <x:c r="G586" s="46"/>
      <x:c r="H586" s="46"/>
      <x:c r="I586" s="46"/>
      <x:c r="J586" s="46"/>
      <x:c r="K586" s="46" t="str">
        <x:f>IF(COUNT(G586,I586)=0,"",AVERAGE(G586,I586))</x:f>
      </x:c>
      <x:c r="L586" s="46" t="str">
        <x:f>IF(COUNT(H586,J586)=0,"",AVERAGE(H586,J586))</x:f>
      </x:c>
      <x:c r="M586" s="46" t="str">
        <x:f>IF(OR(K586="",L586=""),"",L586-K586)</x:f>
      </x:c>
      <x:c r="N586" s="46" t="str">
        <x:f>IF(OR(K586="",A585&lt;&gt;A586,K585=""),"",K586-K585)</x:f>
      </x:c>
      <x:c r="O586" s="42" t="str">
        <x:v>Sem informação</x:v>
      </x:c>
      <x:c r="P586" s="42"/>
      <x:c r="Q586" s="42" t="str"/>
      <x:c r="R586" s="42" t="str"/>
      <x:c r="S586" s="42" t="str"/>
      <x:c r="T586" s="42" t="str"/>
    </x:row>
    <x:row r="587">
      <x:c r="A587" s="42" t="str">
        <x:v>Luis Gustavo</x:v>
      </x:c>
      <x:c r="B587" s="42" t="n">
        <x:v>2027</x:v>
      </x:c>
      <x:c r="C587" s="42" t="str">
        <x:v>T2</x:v>
      </x:c>
      <x:c r="D587" s="44" t="n">
        <x:v>46568</x:v>
      </x:c>
      <x:c r="E587" s="42" t="str">
        <x:v>Zagueiro</x:v>
      </x:c>
      <x:c r="F587" s="42" t="str">
        <x:v>SE Palmeiras</x:v>
      </x:c>
      <x:c r="G587" s="46"/>
      <x:c r="H587" s="46"/>
      <x:c r="I587" s="46"/>
      <x:c r="J587" s="46"/>
      <x:c r="K587" s="46" t="str">
        <x:f>IF(COUNT(G587,I587)=0,"",AVERAGE(G587,I587))</x:f>
      </x:c>
      <x:c r="L587" s="46" t="str">
        <x:f>IF(COUNT(H587,J587)=0,"",AVERAGE(H587,J587))</x:f>
      </x:c>
      <x:c r="M587" s="46" t="str">
        <x:f>IF(OR(K587="",L587=""),"",L587-K587)</x:f>
      </x:c>
      <x:c r="N587" s="46" t="str">
        <x:f>IF(OR(K587="",A586&lt;&gt;A587,K586=""),"",K587-K586)</x:f>
      </x:c>
      <x:c r="O587" s="42" t="str">
        <x:v>Sem informação</x:v>
      </x:c>
      <x:c r="P587" s="42"/>
      <x:c r="Q587" s="42" t="str"/>
      <x:c r="R587" s="42" t="str"/>
      <x:c r="S587" s="42" t="str"/>
      <x:c r="T587" s="42" t="str"/>
    </x:row>
    <x:row r="588">
      <x:c r="A588" s="42" t="str">
        <x:v>Luis Gustavo</x:v>
      </x:c>
      <x:c r="B588" s="42" t="n">
        <x:v>2027</x:v>
      </x:c>
      <x:c r="C588" s="42" t="str">
        <x:v>T3</x:v>
      </x:c>
      <x:c r="D588" s="44" t="n">
        <x:v>46660</x:v>
      </x:c>
      <x:c r="E588" s="42" t="str">
        <x:v>Zagueiro</x:v>
      </x:c>
      <x:c r="F588" s="42" t="str">
        <x:v>SE Palmeiras</x:v>
      </x:c>
      <x:c r="G588" s="46"/>
      <x:c r="H588" s="46"/>
      <x:c r="I588" s="46"/>
      <x:c r="J588" s="46"/>
      <x:c r="K588" s="46" t="str">
        <x:f>IF(COUNT(G588,I588)=0,"",AVERAGE(G588,I588))</x:f>
      </x:c>
      <x:c r="L588" s="46" t="str">
        <x:f>IF(COUNT(H588,J588)=0,"",AVERAGE(H588,J588))</x:f>
      </x:c>
      <x:c r="M588" s="46" t="str">
        <x:f>IF(OR(K588="",L588=""),"",L588-K588)</x:f>
      </x:c>
      <x:c r="N588" s="46" t="str">
        <x:f>IF(OR(K588="",A587&lt;&gt;A588,K587=""),"",K588-K587)</x:f>
      </x:c>
      <x:c r="O588" s="42" t="str">
        <x:v>Sem informação</x:v>
      </x:c>
      <x:c r="P588" s="42"/>
      <x:c r="Q588" s="42" t="str"/>
      <x:c r="R588" s="42" t="str"/>
      <x:c r="S588" s="42" t="str"/>
      <x:c r="T588" s="42" t="str"/>
    </x:row>
    <x:row r="589">
      <x:c r="A589" s="42" t="str">
        <x:v>Luis Gustavo</x:v>
      </x:c>
      <x:c r="B589" s="42" t="n">
        <x:v>2027</x:v>
      </x:c>
      <x:c r="C589" s="42" t="str">
        <x:v>T4</x:v>
      </x:c>
      <x:c r="D589" s="44" t="n">
        <x:v>46752</x:v>
      </x:c>
      <x:c r="E589" s="42" t="str">
        <x:v>Zagueiro</x:v>
      </x:c>
      <x:c r="F589" s="42" t="str">
        <x:v>SE Palmeiras</x:v>
      </x:c>
      <x:c r="G589" s="46"/>
      <x:c r="H589" s="46"/>
      <x:c r="I589" s="46"/>
      <x:c r="J589" s="46"/>
      <x:c r="K589" s="46" t="str">
        <x:f>IF(COUNT(G589,I589)=0,"",AVERAGE(G589,I589))</x:f>
      </x:c>
      <x:c r="L589" s="46" t="str">
        <x:f>IF(COUNT(H589,J589)=0,"",AVERAGE(H589,J589))</x:f>
      </x:c>
      <x:c r="M589" s="46" t="str">
        <x:f>IF(OR(K589="",L589=""),"",L589-K589)</x:f>
      </x:c>
      <x:c r="N589" s="46" t="str">
        <x:f>IF(OR(K589="",A588&lt;&gt;A589,K588=""),"",K589-K588)</x:f>
      </x:c>
      <x:c r="O589" s="42" t="str">
        <x:v>Sem informação</x:v>
      </x:c>
      <x:c r="P589" s="42"/>
      <x:c r="Q589" s="42" t="str"/>
      <x:c r="R589" s="42" t="str"/>
      <x:c r="S589" s="42" t="str"/>
      <x:c r="T589" s="42" t="str"/>
    </x:row>
    <x:row r="590">
      <x:c r="A590" s="42" t="str">
        <x:v>Luis Gustavo</x:v>
      </x:c>
      <x:c r="B590" s="42" t="n">
        <x:v>2028</x:v>
      </x:c>
      <x:c r="C590" s="42" t="str">
        <x:v>T1</x:v>
      </x:c>
      <x:c r="D590" s="44" t="n">
        <x:v>46843</x:v>
      </x:c>
      <x:c r="E590" s="42" t="str">
        <x:v>Zagueiro</x:v>
      </x:c>
      <x:c r="F590" s="42" t="str">
        <x:v>SE Palmeiras</x:v>
      </x:c>
      <x:c r="G590" s="46"/>
      <x:c r="H590" s="46"/>
      <x:c r="I590" s="46"/>
      <x:c r="J590" s="46"/>
      <x:c r="K590" s="46" t="str">
        <x:f>IF(COUNT(G590,I590)=0,"",AVERAGE(G590,I590))</x:f>
      </x:c>
      <x:c r="L590" s="46" t="str">
        <x:f>IF(COUNT(H590,J590)=0,"",AVERAGE(H590,J590))</x:f>
      </x:c>
      <x:c r="M590" s="46" t="str">
        <x:f>IF(OR(K590="",L590=""),"",L590-K590)</x:f>
      </x:c>
      <x:c r="N590" s="46" t="str">
        <x:f>IF(OR(K590="",A589&lt;&gt;A590,K589=""),"",K590-K589)</x:f>
      </x:c>
      <x:c r="O590" s="42" t="str">
        <x:v>Sem informação</x:v>
      </x:c>
      <x:c r="P590" s="42"/>
      <x:c r="Q590" s="42" t="str"/>
      <x:c r="R590" s="42" t="str"/>
      <x:c r="S590" s="42" t="str"/>
      <x:c r="T590" s="42" t="str"/>
    </x:row>
    <x:row r="591">
      <x:c r="A591" s="42" t="str">
        <x:v>Luis Gustavo</x:v>
      </x:c>
      <x:c r="B591" s="42" t="n">
        <x:v>2028</x:v>
      </x:c>
      <x:c r="C591" s="42" t="str">
        <x:v>T2</x:v>
      </x:c>
      <x:c r="D591" s="44" t="n">
        <x:v>46934</x:v>
      </x:c>
      <x:c r="E591" s="42" t="str">
        <x:v>Zagueiro</x:v>
      </x:c>
      <x:c r="F591" s="42" t="str">
        <x:v>SE Palmeiras</x:v>
      </x:c>
      <x:c r="G591" s="46"/>
      <x:c r="H591" s="46"/>
      <x:c r="I591" s="46"/>
      <x:c r="J591" s="46"/>
      <x:c r="K591" s="46" t="str">
        <x:f>IF(COUNT(G591,I591)=0,"",AVERAGE(G591,I591))</x:f>
      </x:c>
      <x:c r="L591" s="46" t="str">
        <x:f>IF(COUNT(H591,J591)=0,"",AVERAGE(H591,J591))</x:f>
      </x:c>
      <x:c r="M591" s="46" t="str">
        <x:f>IF(OR(K591="",L591=""),"",L591-K591)</x:f>
      </x:c>
      <x:c r="N591" s="46" t="str">
        <x:f>IF(OR(K591="",A590&lt;&gt;A591,K590=""),"",K591-K590)</x:f>
      </x:c>
      <x:c r="O591" s="42" t="str">
        <x:v>Sem informação</x:v>
      </x:c>
      <x:c r="P591" s="42"/>
      <x:c r="Q591" s="42" t="str"/>
      <x:c r="R591" s="42" t="str"/>
      <x:c r="S591" s="42" t="str"/>
      <x:c r="T591" s="42" t="str"/>
    </x:row>
    <x:row r="592">
      <x:c r="A592" s="42" t="str">
        <x:v>Luis Gustavo</x:v>
      </x:c>
      <x:c r="B592" s="42" t="n">
        <x:v>2028</x:v>
      </x:c>
      <x:c r="C592" s="42" t="str">
        <x:v>T3</x:v>
      </x:c>
      <x:c r="D592" s="44" t="n">
        <x:v>47026</x:v>
      </x:c>
      <x:c r="E592" s="42" t="str">
        <x:v>Zagueiro</x:v>
      </x:c>
      <x:c r="F592" s="42" t="str">
        <x:v>SE Palmeiras</x:v>
      </x:c>
      <x:c r="G592" s="46"/>
      <x:c r="H592" s="46"/>
      <x:c r="I592" s="46"/>
      <x:c r="J592" s="46"/>
      <x:c r="K592" s="46" t="str">
        <x:f>IF(COUNT(G592,I592)=0,"",AVERAGE(G592,I592))</x:f>
      </x:c>
      <x:c r="L592" s="46" t="str">
        <x:f>IF(COUNT(H592,J592)=0,"",AVERAGE(H592,J592))</x:f>
      </x:c>
      <x:c r="M592" s="46" t="str">
        <x:f>IF(OR(K592="",L592=""),"",L592-K592)</x:f>
      </x:c>
      <x:c r="N592" s="46" t="str">
        <x:f>IF(OR(K592="",A591&lt;&gt;A592,K591=""),"",K592-K591)</x:f>
      </x:c>
      <x:c r="O592" s="42" t="str">
        <x:v>Sem informação</x:v>
      </x:c>
      <x:c r="P592" s="42"/>
      <x:c r="Q592" s="42" t="str"/>
      <x:c r="R592" s="42" t="str"/>
      <x:c r="S592" s="42" t="str"/>
      <x:c r="T592" s="42" t="str"/>
    </x:row>
    <x:row r="593">
      <x:c r="A593" s="42" t="str">
        <x:v>Luis Gustavo</x:v>
      </x:c>
      <x:c r="B593" s="42" t="n">
        <x:v>2028</x:v>
      </x:c>
      <x:c r="C593" s="42" t="str">
        <x:v>T4</x:v>
      </x:c>
      <x:c r="D593" s="44" t="n">
        <x:v>47118</x:v>
      </x:c>
      <x:c r="E593" s="42" t="str">
        <x:v>Zagueiro</x:v>
      </x:c>
      <x:c r="F593" s="42" t="str">
        <x:v>SE Palmeiras</x:v>
      </x:c>
      <x:c r="G593" s="46"/>
      <x:c r="H593" s="46"/>
      <x:c r="I593" s="46"/>
      <x:c r="J593" s="46"/>
      <x:c r="K593" s="46" t="str">
        <x:f>IF(COUNT(G593,I593)=0,"",AVERAGE(G593,I593))</x:f>
      </x:c>
      <x:c r="L593" s="46" t="str">
        <x:f>IF(COUNT(H593,J593)=0,"",AVERAGE(H593,J593))</x:f>
      </x:c>
      <x:c r="M593" s="46" t="str">
        <x:f>IF(OR(K593="",L593=""),"",L593-K593)</x:f>
      </x:c>
      <x:c r="N593" s="46" t="str">
        <x:f>IF(OR(K593="",A592&lt;&gt;A593,K592=""),"",K593-K592)</x:f>
      </x:c>
      <x:c r="O593" s="42" t="str">
        <x:v>Sem informação</x:v>
      </x:c>
      <x:c r="P593" s="42"/>
      <x:c r="Q593" s="42" t="str"/>
      <x:c r="R593" s="42" t="str"/>
      <x:c r="S593" s="42" t="str"/>
      <x:c r="T593" s="42" t="str"/>
    </x:row>
    <x:row r="594">
      <x:c r="A594" s="42" t="str">
        <x:v>Luis Gustavo</x:v>
      </x:c>
      <x:c r="B594" s="42" t="n">
        <x:v>2029</x:v>
      </x:c>
      <x:c r="C594" s="42" t="str">
        <x:v>T1</x:v>
      </x:c>
      <x:c r="D594" s="44" t="n">
        <x:v>47208</x:v>
      </x:c>
      <x:c r="E594" s="42" t="str">
        <x:v>Zagueiro</x:v>
      </x:c>
      <x:c r="F594" s="42" t="str">
        <x:v>SE Palmeiras</x:v>
      </x:c>
      <x:c r="G594" s="46"/>
      <x:c r="H594" s="46"/>
      <x:c r="I594" s="46"/>
      <x:c r="J594" s="46"/>
      <x:c r="K594" s="46" t="str">
        <x:f>IF(COUNT(G594,I594)=0,"",AVERAGE(G594,I594))</x:f>
      </x:c>
      <x:c r="L594" s="46" t="str">
        <x:f>IF(COUNT(H594,J594)=0,"",AVERAGE(H594,J594))</x:f>
      </x:c>
      <x:c r="M594" s="46" t="str">
        <x:f>IF(OR(K594="",L594=""),"",L594-K594)</x:f>
      </x:c>
      <x:c r="N594" s="46" t="str">
        <x:f>IF(OR(K594="",A593&lt;&gt;A594,K593=""),"",K594-K593)</x:f>
      </x:c>
      <x:c r="O594" s="42" t="str">
        <x:v>Sem informação</x:v>
      </x:c>
      <x:c r="P594" s="42"/>
      <x:c r="Q594" s="42" t="str"/>
      <x:c r="R594" s="42" t="str"/>
      <x:c r="S594" s="42" t="str"/>
      <x:c r="T594" s="42" t="str"/>
    </x:row>
    <x:row r="595">
      <x:c r="A595" s="42" t="str">
        <x:v>Luis Gustavo</x:v>
      </x:c>
      <x:c r="B595" s="42" t="n">
        <x:v>2029</x:v>
      </x:c>
      <x:c r="C595" s="42" t="str">
        <x:v>T2</x:v>
      </x:c>
      <x:c r="D595" s="44" t="n">
        <x:v>47299</x:v>
      </x:c>
      <x:c r="E595" s="42" t="str">
        <x:v>Zagueiro</x:v>
      </x:c>
      <x:c r="F595" s="42" t="str">
        <x:v>SE Palmeiras</x:v>
      </x:c>
      <x:c r="G595" s="46"/>
      <x:c r="H595" s="46"/>
      <x:c r="I595" s="46"/>
      <x:c r="J595" s="46"/>
      <x:c r="K595" s="46" t="str">
        <x:f>IF(COUNT(G595,I595)=0,"",AVERAGE(G595,I595))</x:f>
      </x:c>
      <x:c r="L595" s="46" t="str">
        <x:f>IF(COUNT(H595,J595)=0,"",AVERAGE(H595,J595))</x:f>
      </x:c>
      <x:c r="M595" s="46" t="str">
        <x:f>IF(OR(K595="",L595=""),"",L595-K595)</x:f>
      </x:c>
      <x:c r="N595" s="46" t="str">
        <x:f>IF(OR(K595="",A594&lt;&gt;A595,K594=""),"",K595-K594)</x:f>
      </x:c>
      <x:c r="O595" s="42" t="str">
        <x:v>Sem informação</x:v>
      </x:c>
      <x:c r="P595" s="42"/>
      <x:c r="Q595" s="42" t="str"/>
      <x:c r="R595" s="42" t="str"/>
      <x:c r="S595" s="42" t="str"/>
      <x:c r="T595" s="42" t="str"/>
    </x:row>
    <x:row r="596">
      <x:c r="A596" s="42" t="str">
        <x:v>Luis Gustavo</x:v>
      </x:c>
      <x:c r="B596" s="42" t="n">
        <x:v>2029</x:v>
      </x:c>
      <x:c r="C596" s="42" t="str">
        <x:v>T3</x:v>
      </x:c>
      <x:c r="D596" s="44" t="n">
        <x:v>47391</x:v>
      </x:c>
      <x:c r="E596" s="42" t="str">
        <x:v>Zagueiro</x:v>
      </x:c>
      <x:c r="F596" s="42" t="str">
        <x:v>SE Palmeiras</x:v>
      </x:c>
      <x:c r="G596" s="46"/>
      <x:c r="H596" s="46"/>
      <x:c r="I596" s="46"/>
      <x:c r="J596" s="46"/>
      <x:c r="K596" s="46" t="str">
        <x:f>IF(COUNT(G596,I596)=0,"",AVERAGE(G596,I596))</x:f>
      </x:c>
      <x:c r="L596" s="46" t="str">
        <x:f>IF(COUNT(H596,J596)=0,"",AVERAGE(H596,J596))</x:f>
      </x:c>
      <x:c r="M596" s="46" t="str">
        <x:f>IF(OR(K596="",L596=""),"",L596-K596)</x:f>
      </x:c>
      <x:c r="N596" s="46" t="str">
        <x:f>IF(OR(K596="",A595&lt;&gt;A596,K595=""),"",K596-K595)</x:f>
      </x:c>
      <x:c r="O596" s="42" t="str">
        <x:v>Sem informação</x:v>
      </x:c>
      <x:c r="P596" s="42"/>
      <x:c r="Q596" s="42" t="str"/>
      <x:c r="R596" s="42" t="str"/>
      <x:c r="S596" s="42" t="str"/>
      <x:c r="T596" s="42" t="str"/>
    </x:row>
    <x:row r="597">
      <x:c r="A597" s="42" t="str">
        <x:v>Luis Gustavo</x:v>
      </x:c>
      <x:c r="B597" s="42" t="n">
        <x:v>2029</x:v>
      </x:c>
      <x:c r="C597" s="42" t="str">
        <x:v>T4</x:v>
      </x:c>
      <x:c r="D597" s="44" t="n">
        <x:v>47483</x:v>
      </x:c>
      <x:c r="E597" s="42" t="str">
        <x:v>Zagueiro</x:v>
      </x:c>
      <x:c r="F597" s="42" t="str">
        <x:v>SE Palmeiras</x:v>
      </x:c>
      <x:c r="G597" s="46"/>
      <x:c r="H597" s="46"/>
      <x:c r="I597" s="46"/>
      <x:c r="J597" s="46"/>
      <x:c r="K597" s="46" t="str">
        <x:f>IF(COUNT(G597,I597)=0,"",AVERAGE(G597,I597))</x:f>
      </x:c>
      <x:c r="L597" s="46" t="str">
        <x:f>IF(COUNT(H597,J597)=0,"",AVERAGE(H597,J597))</x:f>
      </x:c>
      <x:c r="M597" s="46" t="str">
        <x:f>IF(OR(K597="",L597=""),"",L597-K597)</x:f>
      </x:c>
      <x:c r="N597" s="46" t="str">
        <x:f>IF(OR(K597="",A596&lt;&gt;A597,K596=""),"",K597-K596)</x:f>
      </x:c>
      <x:c r="O597" s="42" t="str">
        <x:v>Sem informação</x:v>
      </x:c>
      <x:c r="P597" s="42"/>
      <x:c r="Q597" s="42" t="str"/>
      <x:c r="R597" s="42" t="str"/>
      <x:c r="S597" s="42" t="str"/>
      <x:c r="T597" s="42" t="str"/>
    </x:row>
    <x:row r="598">
      <x:c r="A598" s="42" t="str">
        <x:v>Luis Gustavo</x:v>
      </x:c>
      <x:c r="B598" s="42" t="n">
        <x:v>2030</x:v>
      </x:c>
      <x:c r="C598" s="42" t="str">
        <x:v>T1</x:v>
      </x:c>
      <x:c r="D598" s="44" t="n">
        <x:v>47573</x:v>
      </x:c>
      <x:c r="E598" s="42" t="str">
        <x:v>Zagueiro</x:v>
      </x:c>
      <x:c r="F598" s="42" t="str">
        <x:v>SE Palmeiras</x:v>
      </x:c>
      <x:c r="G598" s="46"/>
      <x:c r="H598" s="46"/>
      <x:c r="I598" s="46"/>
      <x:c r="J598" s="46"/>
      <x:c r="K598" s="46" t="str">
        <x:f>IF(COUNT(G598,I598)=0,"",AVERAGE(G598,I598))</x:f>
      </x:c>
      <x:c r="L598" s="46" t="str">
        <x:f>IF(COUNT(H598,J598)=0,"",AVERAGE(H598,J598))</x:f>
      </x:c>
      <x:c r="M598" s="46" t="str">
        <x:f>IF(OR(K598="",L598=""),"",L598-K598)</x:f>
      </x:c>
      <x:c r="N598" s="46" t="str">
        <x:f>IF(OR(K598="",A597&lt;&gt;A598,K597=""),"",K598-K597)</x:f>
      </x:c>
      <x:c r="O598" s="42" t="str">
        <x:v>Sem informação</x:v>
      </x:c>
      <x:c r="P598" s="42"/>
      <x:c r="Q598" s="42" t="str"/>
      <x:c r="R598" s="42" t="str"/>
      <x:c r="S598" s="42" t="str"/>
      <x:c r="T598" s="42" t="str"/>
    </x:row>
    <x:row r="599">
      <x:c r="A599" s="42" t="str">
        <x:v>Luis Gustavo</x:v>
      </x:c>
      <x:c r="B599" s="42" t="n">
        <x:v>2030</x:v>
      </x:c>
      <x:c r="C599" s="42" t="str">
        <x:v>T2</x:v>
      </x:c>
      <x:c r="D599" s="44" t="n">
        <x:v>47664</x:v>
      </x:c>
      <x:c r="E599" s="42" t="str">
        <x:v>Zagueiro</x:v>
      </x:c>
      <x:c r="F599" s="42" t="str">
        <x:v>SE Palmeiras</x:v>
      </x:c>
      <x:c r="G599" s="46"/>
      <x:c r="H599" s="46"/>
      <x:c r="I599" s="46"/>
      <x:c r="J599" s="46"/>
      <x:c r="K599" s="46" t="str">
        <x:f>IF(COUNT(G599,I599)=0,"",AVERAGE(G599,I599))</x:f>
      </x:c>
      <x:c r="L599" s="46" t="str">
        <x:f>IF(COUNT(H599,J599)=0,"",AVERAGE(H599,J599))</x:f>
      </x:c>
      <x:c r="M599" s="46" t="str">
        <x:f>IF(OR(K599="",L599=""),"",L599-K599)</x:f>
      </x:c>
      <x:c r="N599" s="46" t="str">
        <x:f>IF(OR(K599="",A598&lt;&gt;A599,K598=""),"",K599-K598)</x:f>
      </x:c>
      <x:c r="O599" s="42" t="str">
        <x:v>Sem informação</x:v>
      </x:c>
      <x:c r="P599" s="42"/>
      <x:c r="Q599" s="42" t="str"/>
      <x:c r="R599" s="42" t="str"/>
      <x:c r="S599" s="42" t="str"/>
      <x:c r="T599" s="42" t="str"/>
    </x:row>
    <x:row r="600">
      <x:c r="A600" s="42" t="str">
        <x:v>Luis Gustavo</x:v>
      </x:c>
      <x:c r="B600" s="42" t="n">
        <x:v>2030</x:v>
      </x:c>
      <x:c r="C600" s="42" t="str">
        <x:v>T3</x:v>
      </x:c>
      <x:c r="D600" s="44" t="n">
        <x:v>47756</x:v>
      </x:c>
      <x:c r="E600" s="42" t="str">
        <x:v>Zagueiro</x:v>
      </x:c>
      <x:c r="F600" s="42" t="str">
        <x:v>SE Palmeiras</x:v>
      </x:c>
      <x:c r="G600" s="46"/>
      <x:c r="H600" s="46"/>
      <x:c r="I600" s="46"/>
      <x:c r="J600" s="46"/>
      <x:c r="K600" s="46" t="str">
        <x:f>IF(COUNT(G600,I600)=0,"",AVERAGE(G600,I600))</x:f>
      </x:c>
      <x:c r="L600" s="46" t="str">
        <x:f>IF(COUNT(H600,J600)=0,"",AVERAGE(H600,J600))</x:f>
      </x:c>
      <x:c r="M600" s="46" t="str">
        <x:f>IF(OR(K600="",L600=""),"",L600-K600)</x:f>
      </x:c>
      <x:c r="N600" s="46" t="str">
        <x:f>IF(OR(K600="",A599&lt;&gt;A600,K599=""),"",K600-K599)</x:f>
      </x:c>
      <x:c r="O600" s="42" t="str">
        <x:v>Sem informação</x:v>
      </x:c>
      <x:c r="P600" s="42"/>
      <x:c r="Q600" s="42" t="str"/>
      <x:c r="R600" s="42" t="str"/>
      <x:c r="S600" s="42" t="str"/>
      <x:c r="T600" s="42" t="str"/>
    </x:row>
    <x:row r="601">
      <x:c r="A601" s="42" t="str">
        <x:v>Luis Gustavo</x:v>
      </x:c>
      <x:c r="B601" s="42" t="n">
        <x:v>2030</x:v>
      </x:c>
      <x:c r="C601" s="42" t="str">
        <x:v>T4</x:v>
      </x:c>
      <x:c r="D601" s="44" t="n">
        <x:v>47848</x:v>
      </x:c>
      <x:c r="E601" s="42" t="str">
        <x:v>Zagueiro</x:v>
      </x:c>
      <x:c r="F601" s="42" t="str">
        <x:v>SE Palmeiras</x:v>
      </x:c>
      <x:c r="G601" s="46"/>
      <x:c r="H601" s="46"/>
      <x:c r="I601" s="46"/>
      <x:c r="J601" s="46"/>
      <x:c r="K601" s="46" t="str">
        <x:f>IF(COUNT(G601,I601)=0,"",AVERAGE(G601,I601))</x:f>
      </x:c>
      <x:c r="L601" s="46" t="str">
        <x:f>IF(COUNT(H601,J601)=0,"",AVERAGE(H601,J601))</x:f>
      </x:c>
      <x:c r="M601" s="46" t="str">
        <x:f>IF(OR(K601="",L601=""),"",L601-K601)</x:f>
      </x:c>
      <x:c r="N601" s="46" t="str">
        <x:f>IF(OR(K601="",A600&lt;&gt;A601,K600=""),"",K601-K600)</x:f>
      </x:c>
      <x:c r="O601" s="42" t="str">
        <x:v>Sem informação</x:v>
      </x:c>
      <x:c r="P601" s="42"/>
      <x:c r="Q601" s="42" t="str"/>
      <x:c r="R601" s="42" t="str"/>
      <x:c r="S601" s="42" t="str"/>
      <x:c r="T601" s="42" t="str"/>
    </x:row>
    <x:row r="602">
      <x:c r="A602" s="42" t="str">
        <x:v>Matheus Cunha</x:v>
      </x:c>
      <x:c r="B602" s="42" t="n">
        <x:v>2026</x:v>
      </x:c>
      <x:c r="C602" s="42" t="str">
        <x:v>T1</x:v>
      </x:c>
      <x:c r="D602" s="44" t="n">
        <x:v>46112</x:v>
      </x:c>
      <x:c r="E602" s="42" t="str">
        <x:v>Centroavante</x:v>
      </x:c>
      <x:c r="F602" s="42" t="str">
        <x:v>Manchester United FC</x:v>
      </x:c>
      <x:c r="G602" s="46"/>
      <x:c r="H602" s="46"/>
      <x:c r="I602" s="46"/>
      <x:c r="J602" s="46"/>
      <x:c r="K602" s="46" t="str">
        <x:f>IF(COUNT(G602,I602)=0,"",AVERAGE(G602,I602))</x:f>
      </x:c>
      <x:c r="L602" s="46" t="str">
        <x:f>IF(COUNT(H602,J602)=0,"",AVERAGE(H602,J602))</x:f>
      </x:c>
      <x:c r="M602" s="46" t="str">
        <x:f>IF(OR(K602="",L602=""),"",L602-K602)</x:f>
      </x:c>
      <x:c r="N602" s="46" t="str">
        <x:f>IF(OR(K602="",A601&lt;&gt;A602,K601=""),"",K602-K601)</x:f>
      </x:c>
      <x:c r="O602" s="42" t="str">
        <x:v>Sem informação</x:v>
      </x:c>
      <x:c r="P602" s="42"/>
      <x:c r="Q602" s="42" t="str"/>
      <x:c r="R602" s="42" t="str"/>
      <x:c r="S602" s="42" t="str"/>
      <x:c r="T602" s="42" t="str"/>
    </x:row>
    <x:row r="603">
      <x:c r="A603" s="42" t="str">
        <x:v>Matheus Cunha</x:v>
      </x:c>
      <x:c r="B603" s="42" t="n">
        <x:v>2026</x:v>
      </x:c>
      <x:c r="C603" s="42" t="str">
        <x:v>T2</x:v>
      </x:c>
      <x:c r="D603" s="44" t="n">
        <x:v>46203</x:v>
      </x:c>
      <x:c r="E603" s="42" t="str">
        <x:v>Centroavante</x:v>
      </x:c>
      <x:c r="F603" s="42" t="str">
        <x:v>Wolverhampton Wanderers</x:v>
      </x:c>
      <x:c r="G603" s="46" t="n">
        <x:v>7.5</x:v>
      </x:c>
      <x:c r="H603" s="46" t="n">
        <x:v>7.5</x:v>
      </x:c>
      <x:c r="I603" s="46" t="n">
        <x:v>8</x:v>
      </x:c>
      <x:c r="J603" s="46" t="n">
        <x:v>7.5</x:v>
      </x:c>
      <x:c r="K603" s="46" t="n">
        <x:f>IF(COUNT(G603,I603)=0,"",AVERAGE(G603,I603))</x:f>
        <x:v>7.75</x:v>
      </x:c>
      <x:c r="L603" s="46" t="n">
        <x:f>IF(COUNT(H603,J603)=0,"",AVERAGE(H603,J603))</x:f>
        <x:v>7.5</x:v>
      </x:c>
      <x:c r="M603" s="46" t="n">
        <x:f>IF(OR(K603="",L603=""),"",L603-K603)</x:f>
        <x:v>-0.25</x:v>
      </x:c>
      <x:c r="N603" s="46" t="str">
        <x:f>IF(OR(K603="",A602&lt;&gt;A603,K602=""),"",K603-K602)</x:f>
      </x:c>
      <x:c r="O603" s="42" t="str">
        <x:v>Sem informação</x:v>
      </x:c>
      <x:c r="P603" s="42"/>
      <x:c r="Q603" s="42" t="str">
        <x:v>Um coringa importante.</x:v>
      </x:c>
      <x:c r="R603" s="42" t="str"/>
      <x:c r="S603" s="42" t="str"/>
      <x:c r="T603" s="42" t="str"/>
    </x:row>
    <x:row r="604">
      <x:c r="A604" s="42" t="str">
        <x:v>Matheus Cunha</x:v>
      </x:c>
      <x:c r="B604" s="42" t="n">
        <x:v>2026</x:v>
      </x:c>
      <x:c r="C604" s="42" t="str">
        <x:v>T3</x:v>
      </x:c>
      <x:c r="D604" s="44" t="n">
        <x:v>46295</x:v>
      </x:c>
      <x:c r="E604" s="42" t="str">
        <x:v>Centroavante</x:v>
      </x:c>
      <x:c r="F604" s="42" t="str">
        <x:v>Manchester United FC</x:v>
      </x:c>
      <x:c r="G604" s="46"/>
      <x:c r="H604" s="46"/>
      <x:c r="I604" s="46"/>
      <x:c r="J604" s="46"/>
      <x:c r="K604" s="46" t="str">
        <x:f>IF(COUNT(G604,I604)=0,"",AVERAGE(G604,I604))</x:f>
      </x:c>
      <x:c r="L604" s="46" t="str">
        <x:f>IF(COUNT(H604,J604)=0,"",AVERAGE(H604,J604))</x:f>
      </x:c>
      <x:c r="M604" s="46" t="str">
        <x:f>IF(OR(K604="",L604=""),"",L604-K604)</x:f>
      </x:c>
      <x:c r="N604" s="46" t="str">
        <x:f>IF(OR(K604="",A603&lt;&gt;A604,K603=""),"",K604-K603)</x:f>
      </x:c>
      <x:c r="O604" s="42" t="str">
        <x:v>Sem informação</x:v>
      </x:c>
      <x:c r="P604" s="42"/>
      <x:c r="Q604" s="42" t="str"/>
      <x:c r="R604" s="42" t="str"/>
      <x:c r="S604" s="42" t="str"/>
      <x:c r="T604" s="42" t="str"/>
    </x:row>
    <x:row r="605">
      <x:c r="A605" s="42" t="str">
        <x:v>Matheus Cunha</x:v>
      </x:c>
      <x:c r="B605" s="42" t="n">
        <x:v>2026</x:v>
      </x:c>
      <x:c r="C605" s="42" t="str">
        <x:v>T4</x:v>
      </x:c>
      <x:c r="D605" s="44" t="n">
        <x:v>46387</x:v>
      </x:c>
      <x:c r="E605" s="42" t="str">
        <x:v>Centroavante</x:v>
      </x:c>
      <x:c r="F605" s="42" t="str">
        <x:v>Manchester United FC</x:v>
      </x:c>
      <x:c r="G605" s="46"/>
      <x:c r="H605" s="46"/>
      <x:c r="I605" s="46"/>
      <x:c r="J605" s="46"/>
      <x:c r="K605" s="46" t="str">
        <x:f>IF(COUNT(G605,I605)=0,"",AVERAGE(G605,I605))</x:f>
      </x:c>
      <x:c r="L605" s="46" t="str">
        <x:f>IF(COUNT(H605,J605)=0,"",AVERAGE(H605,J605))</x:f>
      </x:c>
      <x:c r="M605" s="46" t="str">
        <x:f>IF(OR(K605="",L605=""),"",L605-K605)</x:f>
      </x:c>
      <x:c r="N605" s="46" t="str">
        <x:f>IF(OR(K605="",A604&lt;&gt;A605,K604=""),"",K605-K604)</x:f>
      </x:c>
      <x:c r="O605" s="42" t="str">
        <x:v>Sem informação</x:v>
      </x:c>
      <x:c r="P605" s="42"/>
      <x:c r="Q605" s="42" t="str"/>
      <x:c r="R605" s="42" t="str"/>
      <x:c r="S605" s="42" t="str"/>
      <x:c r="T605" s="42" t="str"/>
    </x:row>
    <x:row r="606">
      <x:c r="A606" s="42" t="str">
        <x:v>Matheus Cunha</x:v>
      </x:c>
      <x:c r="B606" s="42" t="n">
        <x:v>2027</x:v>
      </x:c>
      <x:c r="C606" s="42" t="str">
        <x:v>T1</x:v>
      </x:c>
      <x:c r="D606" s="44" t="n">
        <x:v>46477</x:v>
      </x:c>
      <x:c r="E606" s="42" t="str">
        <x:v>Centroavante</x:v>
      </x:c>
      <x:c r="F606" s="42" t="str">
        <x:v>Manchester United FC</x:v>
      </x:c>
      <x:c r="G606" s="46"/>
      <x:c r="H606" s="46"/>
      <x:c r="I606" s="46"/>
      <x:c r="J606" s="46"/>
      <x:c r="K606" s="46" t="str">
        <x:f>IF(COUNT(G606,I606)=0,"",AVERAGE(G606,I606))</x:f>
      </x:c>
      <x:c r="L606" s="46" t="str">
        <x:f>IF(COUNT(H606,J606)=0,"",AVERAGE(H606,J606))</x:f>
      </x:c>
      <x:c r="M606" s="46" t="str">
        <x:f>IF(OR(K606="",L606=""),"",L606-K606)</x:f>
      </x:c>
      <x:c r="N606" s="46" t="str">
        <x:f>IF(OR(K606="",A605&lt;&gt;A606,K605=""),"",K606-K605)</x:f>
      </x:c>
      <x:c r="O606" s="42" t="str">
        <x:v>Sem informação</x:v>
      </x:c>
      <x:c r="P606" s="42"/>
      <x:c r="Q606" s="42" t="str"/>
      <x:c r="R606" s="42" t="str"/>
      <x:c r="S606" s="42" t="str"/>
      <x:c r="T606" s="42" t="str"/>
    </x:row>
    <x:row r="607">
      <x:c r="A607" s="42" t="str">
        <x:v>Matheus Cunha</x:v>
      </x:c>
      <x:c r="B607" s="42" t="n">
        <x:v>2027</x:v>
      </x:c>
      <x:c r="C607" s="42" t="str">
        <x:v>T2</x:v>
      </x:c>
      <x:c r="D607" s="44" t="n">
        <x:v>46568</x:v>
      </x:c>
      <x:c r="E607" s="42" t="str">
        <x:v>Centroavante</x:v>
      </x:c>
      <x:c r="F607" s="42" t="str">
        <x:v>Manchester United FC</x:v>
      </x:c>
      <x:c r="G607" s="46"/>
      <x:c r="H607" s="46"/>
      <x:c r="I607" s="46"/>
      <x:c r="J607" s="46"/>
      <x:c r="K607" s="46" t="str">
        <x:f>IF(COUNT(G607,I607)=0,"",AVERAGE(G607,I607))</x:f>
      </x:c>
      <x:c r="L607" s="46" t="str">
        <x:f>IF(COUNT(H607,J607)=0,"",AVERAGE(H607,J607))</x:f>
      </x:c>
      <x:c r="M607" s="46" t="str">
        <x:f>IF(OR(K607="",L607=""),"",L607-K607)</x:f>
      </x:c>
      <x:c r="N607" s="46" t="str">
        <x:f>IF(OR(K607="",A606&lt;&gt;A607,K606=""),"",K607-K606)</x:f>
      </x:c>
      <x:c r="O607" s="42" t="str">
        <x:v>Sem informação</x:v>
      </x:c>
      <x:c r="P607" s="42"/>
      <x:c r="Q607" s="42" t="str"/>
      <x:c r="R607" s="42" t="str"/>
      <x:c r="S607" s="42" t="str"/>
      <x:c r="T607" s="42" t="str"/>
    </x:row>
    <x:row r="608">
      <x:c r="A608" s="42" t="str">
        <x:v>Matheus Cunha</x:v>
      </x:c>
      <x:c r="B608" s="42" t="n">
        <x:v>2027</x:v>
      </x:c>
      <x:c r="C608" s="42" t="str">
        <x:v>T3</x:v>
      </x:c>
      <x:c r="D608" s="44" t="n">
        <x:v>46660</x:v>
      </x:c>
      <x:c r="E608" s="42" t="str">
        <x:v>Centroavante</x:v>
      </x:c>
      <x:c r="F608" s="42" t="str">
        <x:v>Manchester United FC</x:v>
      </x:c>
      <x:c r="G608" s="46"/>
      <x:c r="H608" s="46"/>
      <x:c r="I608" s="46"/>
      <x:c r="J608" s="46"/>
      <x:c r="K608" s="46" t="str">
        <x:f>IF(COUNT(G608,I608)=0,"",AVERAGE(G608,I608))</x:f>
      </x:c>
      <x:c r="L608" s="46" t="str">
        <x:f>IF(COUNT(H608,J608)=0,"",AVERAGE(H608,J608))</x:f>
      </x:c>
      <x:c r="M608" s="46" t="str">
        <x:f>IF(OR(K608="",L608=""),"",L608-K608)</x:f>
      </x:c>
      <x:c r="N608" s="46" t="str">
        <x:f>IF(OR(K608="",A607&lt;&gt;A608,K607=""),"",K608-K607)</x:f>
      </x:c>
      <x:c r="O608" s="42" t="str">
        <x:v>Sem informação</x:v>
      </x:c>
      <x:c r="P608" s="42"/>
      <x:c r="Q608" s="42" t="str"/>
      <x:c r="R608" s="42" t="str"/>
      <x:c r="S608" s="42" t="str"/>
      <x:c r="T608" s="42" t="str"/>
    </x:row>
    <x:row r="609">
      <x:c r="A609" s="42" t="str">
        <x:v>Matheus Cunha</x:v>
      </x:c>
      <x:c r="B609" s="42" t="n">
        <x:v>2027</x:v>
      </x:c>
      <x:c r="C609" s="42" t="str">
        <x:v>T4</x:v>
      </x:c>
      <x:c r="D609" s="44" t="n">
        <x:v>46752</x:v>
      </x:c>
      <x:c r="E609" s="42" t="str">
        <x:v>Centroavante</x:v>
      </x:c>
      <x:c r="F609" s="42" t="str">
        <x:v>Manchester United FC</x:v>
      </x:c>
      <x:c r="G609" s="46"/>
      <x:c r="H609" s="46"/>
      <x:c r="I609" s="46"/>
      <x:c r="J609" s="46"/>
      <x:c r="K609" s="46" t="str">
        <x:f>IF(COUNT(G609,I609)=0,"",AVERAGE(G609,I609))</x:f>
      </x:c>
      <x:c r="L609" s="46" t="str">
        <x:f>IF(COUNT(H609,J609)=0,"",AVERAGE(H609,J609))</x:f>
      </x:c>
      <x:c r="M609" s="46" t="str">
        <x:f>IF(OR(K609="",L609=""),"",L609-K609)</x:f>
      </x:c>
      <x:c r="N609" s="46" t="str">
        <x:f>IF(OR(K609="",A608&lt;&gt;A609,K608=""),"",K609-K608)</x:f>
      </x:c>
      <x:c r="O609" s="42" t="str">
        <x:v>Sem informação</x:v>
      </x:c>
      <x:c r="P609" s="42"/>
      <x:c r="Q609" s="42" t="str"/>
      <x:c r="R609" s="42" t="str"/>
      <x:c r="S609" s="42" t="str"/>
      <x:c r="T609" s="42" t="str"/>
    </x:row>
    <x:row r="610">
      <x:c r="A610" s="42" t="str">
        <x:v>Matheus Cunha</x:v>
      </x:c>
      <x:c r="B610" s="42" t="n">
        <x:v>2028</x:v>
      </x:c>
      <x:c r="C610" s="42" t="str">
        <x:v>T1</x:v>
      </x:c>
      <x:c r="D610" s="44" t="n">
        <x:v>46843</x:v>
      </x:c>
      <x:c r="E610" s="42" t="str">
        <x:v>Centroavante</x:v>
      </x:c>
      <x:c r="F610" s="42" t="str">
        <x:v>Manchester United FC</x:v>
      </x:c>
      <x:c r="G610" s="46"/>
      <x:c r="H610" s="46"/>
      <x:c r="I610" s="46"/>
      <x:c r="J610" s="46"/>
      <x:c r="K610" s="46" t="str">
        <x:f>IF(COUNT(G610,I610)=0,"",AVERAGE(G610,I610))</x:f>
      </x:c>
      <x:c r="L610" s="46" t="str">
        <x:f>IF(COUNT(H610,J610)=0,"",AVERAGE(H610,J610))</x:f>
      </x:c>
      <x:c r="M610" s="46" t="str">
        <x:f>IF(OR(K610="",L610=""),"",L610-K610)</x:f>
      </x:c>
      <x:c r="N610" s="46" t="str">
        <x:f>IF(OR(K610="",A609&lt;&gt;A610,K609=""),"",K610-K609)</x:f>
      </x:c>
      <x:c r="O610" s="42" t="str">
        <x:v>Sem informação</x:v>
      </x:c>
      <x:c r="P610" s="42"/>
      <x:c r="Q610" s="42" t="str"/>
      <x:c r="R610" s="42" t="str"/>
      <x:c r="S610" s="42" t="str"/>
      <x:c r="T610" s="42" t="str"/>
    </x:row>
    <x:row r="611">
      <x:c r="A611" s="42" t="str">
        <x:v>Matheus Cunha</x:v>
      </x:c>
      <x:c r="B611" s="42" t="n">
        <x:v>2028</x:v>
      </x:c>
      <x:c r="C611" s="42" t="str">
        <x:v>T2</x:v>
      </x:c>
      <x:c r="D611" s="44" t="n">
        <x:v>46934</x:v>
      </x:c>
      <x:c r="E611" s="42" t="str">
        <x:v>Centroavante</x:v>
      </x:c>
      <x:c r="F611" s="42" t="str">
        <x:v>Manchester United FC</x:v>
      </x:c>
      <x:c r="G611" s="46"/>
      <x:c r="H611" s="46"/>
      <x:c r="I611" s="46"/>
      <x:c r="J611" s="46"/>
      <x:c r="K611" s="46" t="str">
        <x:f>IF(COUNT(G611,I611)=0,"",AVERAGE(G611,I611))</x:f>
      </x:c>
      <x:c r="L611" s="46" t="str">
        <x:f>IF(COUNT(H611,J611)=0,"",AVERAGE(H611,J611))</x:f>
      </x:c>
      <x:c r="M611" s="46" t="str">
        <x:f>IF(OR(K611="",L611=""),"",L611-K611)</x:f>
      </x:c>
      <x:c r="N611" s="46" t="str">
        <x:f>IF(OR(K611="",A610&lt;&gt;A611,K610=""),"",K611-K610)</x:f>
      </x:c>
      <x:c r="O611" s="42" t="str">
        <x:v>Sem informação</x:v>
      </x:c>
      <x:c r="P611" s="42"/>
      <x:c r="Q611" s="42" t="str"/>
      <x:c r="R611" s="42" t="str"/>
      <x:c r="S611" s="42" t="str"/>
      <x:c r="T611" s="42" t="str"/>
    </x:row>
    <x:row r="612">
      <x:c r="A612" s="42" t="str">
        <x:v>Matheus Cunha</x:v>
      </x:c>
      <x:c r="B612" s="42" t="n">
        <x:v>2028</x:v>
      </x:c>
      <x:c r="C612" s="42" t="str">
        <x:v>T3</x:v>
      </x:c>
      <x:c r="D612" s="44" t="n">
        <x:v>47026</x:v>
      </x:c>
      <x:c r="E612" s="42" t="str">
        <x:v>Centroavante</x:v>
      </x:c>
      <x:c r="F612" s="42" t="str">
        <x:v>Manchester United FC</x:v>
      </x:c>
      <x:c r="G612" s="46"/>
      <x:c r="H612" s="46"/>
      <x:c r="I612" s="46"/>
      <x:c r="J612" s="46"/>
      <x:c r="K612" s="46" t="str">
        <x:f>IF(COUNT(G612,I612)=0,"",AVERAGE(G612,I612))</x:f>
      </x:c>
      <x:c r="L612" s="46" t="str">
        <x:f>IF(COUNT(H612,J612)=0,"",AVERAGE(H612,J612))</x:f>
      </x:c>
      <x:c r="M612" s="46" t="str">
        <x:f>IF(OR(K612="",L612=""),"",L612-K612)</x:f>
      </x:c>
      <x:c r="N612" s="46" t="str">
        <x:f>IF(OR(K612="",A611&lt;&gt;A612,K611=""),"",K612-K611)</x:f>
      </x:c>
      <x:c r="O612" s="42" t="str">
        <x:v>Sem informação</x:v>
      </x:c>
      <x:c r="P612" s="42"/>
      <x:c r="Q612" s="42" t="str"/>
      <x:c r="R612" s="42" t="str"/>
      <x:c r="S612" s="42" t="str"/>
      <x:c r="T612" s="42" t="str"/>
    </x:row>
    <x:row r="613">
      <x:c r="A613" s="42" t="str">
        <x:v>Matheus Cunha</x:v>
      </x:c>
      <x:c r="B613" s="42" t="n">
        <x:v>2028</x:v>
      </x:c>
      <x:c r="C613" s="42" t="str">
        <x:v>T4</x:v>
      </x:c>
      <x:c r="D613" s="44" t="n">
        <x:v>47118</x:v>
      </x:c>
      <x:c r="E613" s="42" t="str">
        <x:v>Centroavante</x:v>
      </x:c>
      <x:c r="F613" s="42" t="str">
        <x:v>Manchester United FC</x:v>
      </x:c>
      <x:c r="G613" s="46"/>
      <x:c r="H613" s="46"/>
      <x:c r="I613" s="46"/>
      <x:c r="J613" s="46"/>
      <x:c r="K613" s="46" t="str">
        <x:f>IF(COUNT(G613,I613)=0,"",AVERAGE(G613,I613))</x:f>
      </x:c>
      <x:c r="L613" s="46" t="str">
        <x:f>IF(COUNT(H613,J613)=0,"",AVERAGE(H613,J613))</x:f>
      </x:c>
      <x:c r="M613" s="46" t="str">
        <x:f>IF(OR(K613="",L613=""),"",L613-K613)</x:f>
      </x:c>
      <x:c r="N613" s="46" t="str">
        <x:f>IF(OR(K613="",A612&lt;&gt;A613,K612=""),"",K613-K612)</x:f>
      </x:c>
      <x:c r="O613" s="42" t="str">
        <x:v>Sem informação</x:v>
      </x:c>
      <x:c r="P613" s="42"/>
      <x:c r="Q613" s="42" t="str"/>
      <x:c r="R613" s="42" t="str"/>
      <x:c r="S613" s="42" t="str"/>
      <x:c r="T613" s="42" t="str"/>
    </x:row>
    <x:row r="614">
      <x:c r="A614" s="42" t="str">
        <x:v>Matheus Cunha</x:v>
      </x:c>
      <x:c r="B614" s="42" t="n">
        <x:v>2029</x:v>
      </x:c>
      <x:c r="C614" s="42" t="str">
        <x:v>T1</x:v>
      </x:c>
      <x:c r="D614" s="44" t="n">
        <x:v>47208</x:v>
      </x:c>
      <x:c r="E614" s="42" t="str">
        <x:v>Centroavante</x:v>
      </x:c>
      <x:c r="F614" s="42" t="str">
        <x:v>Manchester United FC</x:v>
      </x:c>
      <x:c r="G614" s="46"/>
      <x:c r="H614" s="46"/>
      <x:c r="I614" s="46"/>
      <x:c r="J614" s="46"/>
      <x:c r="K614" s="46" t="str">
        <x:f>IF(COUNT(G614,I614)=0,"",AVERAGE(G614,I614))</x:f>
      </x:c>
      <x:c r="L614" s="46" t="str">
        <x:f>IF(COUNT(H614,J614)=0,"",AVERAGE(H614,J614))</x:f>
      </x:c>
      <x:c r="M614" s="46" t="str">
        <x:f>IF(OR(K614="",L614=""),"",L614-K614)</x:f>
      </x:c>
      <x:c r="N614" s="46" t="str">
        <x:f>IF(OR(K614="",A613&lt;&gt;A614,K613=""),"",K614-K613)</x:f>
      </x:c>
      <x:c r="O614" s="42" t="str">
        <x:v>Sem informação</x:v>
      </x:c>
      <x:c r="P614" s="42"/>
      <x:c r="Q614" s="42" t="str"/>
      <x:c r="R614" s="42" t="str"/>
      <x:c r="S614" s="42" t="str"/>
      <x:c r="T614" s="42" t="str"/>
    </x:row>
    <x:row r="615">
      <x:c r="A615" s="42" t="str">
        <x:v>Matheus Cunha</x:v>
      </x:c>
      <x:c r="B615" s="42" t="n">
        <x:v>2029</x:v>
      </x:c>
      <x:c r="C615" s="42" t="str">
        <x:v>T2</x:v>
      </x:c>
      <x:c r="D615" s="44" t="n">
        <x:v>47299</x:v>
      </x:c>
      <x:c r="E615" s="42" t="str">
        <x:v>Centroavante</x:v>
      </x:c>
      <x:c r="F615" s="42" t="str">
        <x:v>Manchester United FC</x:v>
      </x:c>
      <x:c r="G615" s="46"/>
      <x:c r="H615" s="46"/>
      <x:c r="I615" s="46"/>
      <x:c r="J615" s="46"/>
      <x:c r="K615" s="46" t="str">
        <x:f>IF(COUNT(G615,I615)=0,"",AVERAGE(G615,I615))</x:f>
      </x:c>
      <x:c r="L615" s="46" t="str">
        <x:f>IF(COUNT(H615,J615)=0,"",AVERAGE(H615,J615))</x:f>
      </x:c>
      <x:c r="M615" s="46" t="str">
        <x:f>IF(OR(K615="",L615=""),"",L615-K615)</x:f>
      </x:c>
      <x:c r="N615" s="46" t="str">
        <x:f>IF(OR(K615="",A614&lt;&gt;A615,K614=""),"",K615-K614)</x:f>
      </x:c>
      <x:c r="O615" s="42" t="str">
        <x:v>Sem informação</x:v>
      </x:c>
      <x:c r="P615" s="42"/>
      <x:c r="Q615" s="42" t="str"/>
      <x:c r="R615" s="42" t="str"/>
      <x:c r="S615" s="42" t="str"/>
      <x:c r="T615" s="42" t="str"/>
    </x:row>
    <x:row r="616">
      <x:c r="A616" s="42" t="str">
        <x:v>Matheus Cunha</x:v>
      </x:c>
      <x:c r="B616" s="42" t="n">
        <x:v>2029</x:v>
      </x:c>
      <x:c r="C616" s="42" t="str">
        <x:v>T3</x:v>
      </x:c>
      <x:c r="D616" s="44" t="n">
        <x:v>47391</x:v>
      </x:c>
      <x:c r="E616" s="42" t="str">
        <x:v>Centroavante</x:v>
      </x:c>
      <x:c r="F616" s="42" t="str">
        <x:v>Manchester United FC</x:v>
      </x:c>
      <x:c r="G616" s="46"/>
      <x:c r="H616" s="46"/>
      <x:c r="I616" s="46"/>
      <x:c r="J616" s="46"/>
      <x:c r="K616" s="46" t="str">
        <x:f>IF(COUNT(G616,I616)=0,"",AVERAGE(G616,I616))</x:f>
      </x:c>
      <x:c r="L616" s="46" t="str">
        <x:f>IF(COUNT(H616,J616)=0,"",AVERAGE(H616,J616))</x:f>
      </x:c>
      <x:c r="M616" s="46" t="str">
        <x:f>IF(OR(K616="",L616=""),"",L616-K616)</x:f>
      </x:c>
      <x:c r="N616" s="46" t="str">
        <x:f>IF(OR(K616="",A615&lt;&gt;A616,K615=""),"",K616-K615)</x:f>
      </x:c>
      <x:c r="O616" s="42" t="str">
        <x:v>Sem informação</x:v>
      </x:c>
      <x:c r="P616" s="42"/>
      <x:c r="Q616" s="42" t="str"/>
      <x:c r="R616" s="42" t="str"/>
      <x:c r="S616" s="42" t="str"/>
      <x:c r="T616" s="42" t="str"/>
    </x:row>
    <x:row r="617">
      <x:c r="A617" s="42" t="str">
        <x:v>Matheus Cunha</x:v>
      </x:c>
      <x:c r="B617" s="42" t="n">
        <x:v>2029</x:v>
      </x:c>
      <x:c r="C617" s="42" t="str">
        <x:v>T4</x:v>
      </x:c>
      <x:c r="D617" s="44" t="n">
        <x:v>47483</x:v>
      </x:c>
      <x:c r="E617" s="42" t="str">
        <x:v>Centroavante</x:v>
      </x:c>
      <x:c r="F617" s="42" t="str">
        <x:v>Manchester United FC</x:v>
      </x:c>
      <x:c r="G617" s="46"/>
      <x:c r="H617" s="46"/>
      <x:c r="I617" s="46"/>
      <x:c r="J617" s="46"/>
      <x:c r="K617" s="46" t="str">
        <x:f>IF(COUNT(G617,I617)=0,"",AVERAGE(G617,I617))</x:f>
      </x:c>
      <x:c r="L617" s="46" t="str">
        <x:f>IF(COUNT(H617,J617)=0,"",AVERAGE(H617,J617))</x:f>
      </x:c>
      <x:c r="M617" s="46" t="str">
        <x:f>IF(OR(K617="",L617=""),"",L617-K617)</x:f>
      </x:c>
      <x:c r="N617" s="46" t="str">
        <x:f>IF(OR(K617="",A616&lt;&gt;A617,K616=""),"",K617-K616)</x:f>
      </x:c>
      <x:c r="O617" s="42" t="str">
        <x:v>Sem informação</x:v>
      </x:c>
      <x:c r="P617" s="42"/>
      <x:c r="Q617" s="42" t="str"/>
      <x:c r="R617" s="42" t="str"/>
      <x:c r="S617" s="42" t="str"/>
      <x:c r="T617" s="42" t="str"/>
    </x:row>
    <x:row r="618">
      <x:c r="A618" s="42" t="str">
        <x:v>Matheus Cunha</x:v>
      </x:c>
      <x:c r="B618" s="42" t="n">
        <x:v>2030</x:v>
      </x:c>
      <x:c r="C618" s="42" t="str">
        <x:v>T1</x:v>
      </x:c>
      <x:c r="D618" s="44" t="n">
        <x:v>47573</x:v>
      </x:c>
      <x:c r="E618" s="42" t="str">
        <x:v>Centroavante</x:v>
      </x:c>
      <x:c r="F618" s="42" t="str">
        <x:v>Manchester United FC</x:v>
      </x:c>
      <x:c r="G618" s="46"/>
      <x:c r="H618" s="46"/>
      <x:c r="I618" s="46"/>
      <x:c r="J618" s="46"/>
      <x:c r="K618" s="46" t="str">
        <x:f>IF(COUNT(G618,I618)=0,"",AVERAGE(G618,I618))</x:f>
      </x:c>
      <x:c r="L618" s="46" t="str">
        <x:f>IF(COUNT(H618,J618)=0,"",AVERAGE(H618,J618))</x:f>
      </x:c>
      <x:c r="M618" s="46" t="str">
        <x:f>IF(OR(K618="",L618=""),"",L618-K618)</x:f>
      </x:c>
      <x:c r="N618" s="46" t="str">
        <x:f>IF(OR(K618="",A617&lt;&gt;A618,K617=""),"",K618-K617)</x:f>
      </x:c>
      <x:c r="O618" s="42" t="str">
        <x:v>Sem informação</x:v>
      </x:c>
      <x:c r="P618" s="42"/>
      <x:c r="Q618" s="42" t="str"/>
      <x:c r="R618" s="42" t="str"/>
      <x:c r="S618" s="42" t="str"/>
      <x:c r="T618" s="42" t="str"/>
    </x:row>
    <x:row r="619">
      <x:c r="A619" s="42" t="str">
        <x:v>Matheus Cunha</x:v>
      </x:c>
      <x:c r="B619" s="42" t="n">
        <x:v>2030</x:v>
      </x:c>
      <x:c r="C619" s="42" t="str">
        <x:v>T2</x:v>
      </x:c>
      <x:c r="D619" s="44" t="n">
        <x:v>47664</x:v>
      </x:c>
      <x:c r="E619" s="42" t="str">
        <x:v>Centroavante</x:v>
      </x:c>
      <x:c r="F619" s="42" t="str">
        <x:v>Manchester United FC</x:v>
      </x:c>
      <x:c r="G619" s="46"/>
      <x:c r="H619" s="46"/>
      <x:c r="I619" s="46"/>
      <x:c r="J619" s="46"/>
      <x:c r="K619" s="46" t="str">
        <x:f>IF(COUNT(G619,I619)=0,"",AVERAGE(G619,I619))</x:f>
      </x:c>
      <x:c r="L619" s="46" t="str">
        <x:f>IF(COUNT(H619,J619)=0,"",AVERAGE(H619,J619))</x:f>
      </x:c>
      <x:c r="M619" s="46" t="str">
        <x:f>IF(OR(K619="",L619=""),"",L619-K619)</x:f>
      </x:c>
      <x:c r="N619" s="46" t="str">
        <x:f>IF(OR(K619="",A618&lt;&gt;A619,K618=""),"",K619-K618)</x:f>
      </x:c>
      <x:c r="O619" s="42" t="str">
        <x:v>Sem informação</x:v>
      </x:c>
      <x:c r="P619" s="42"/>
      <x:c r="Q619" s="42" t="str"/>
      <x:c r="R619" s="42" t="str"/>
      <x:c r="S619" s="42" t="str"/>
      <x:c r="T619" s="42" t="str"/>
    </x:row>
    <x:row r="620">
      <x:c r="A620" s="42" t="str">
        <x:v>Matheus Cunha</x:v>
      </x:c>
      <x:c r="B620" s="42" t="n">
        <x:v>2030</x:v>
      </x:c>
      <x:c r="C620" s="42" t="str">
        <x:v>T3</x:v>
      </x:c>
      <x:c r="D620" s="44" t="n">
        <x:v>47756</x:v>
      </x:c>
      <x:c r="E620" s="42" t="str">
        <x:v>Centroavante</x:v>
      </x:c>
      <x:c r="F620" s="42" t="str">
        <x:v>Manchester United FC</x:v>
      </x:c>
      <x:c r="G620" s="46"/>
      <x:c r="H620" s="46"/>
      <x:c r="I620" s="46"/>
      <x:c r="J620" s="46"/>
      <x:c r="K620" s="46" t="str">
        <x:f>IF(COUNT(G620,I620)=0,"",AVERAGE(G620,I620))</x:f>
      </x:c>
      <x:c r="L620" s="46" t="str">
        <x:f>IF(COUNT(H620,J620)=0,"",AVERAGE(H620,J620))</x:f>
      </x:c>
      <x:c r="M620" s="46" t="str">
        <x:f>IF(OR(K620="",L620=""),"",L620-K620)</x:f>
      </x:c>
      <x:c r="N620" s="46" t="str">
        <x:f>IF(OR(K620="",A619&lt;&gt;A620,K619=""),"",K620-K619)</x:f>
      </x:c>
      <x:c r="O620" s="42" t="str">
        <x:v>Sem informação</x:v>
      </x:c>
      <x:c r="P620" s="42"/>
      <x:c r="Q620" s="42" t="str"/>
      <x:c r="R620" s="42" t="str"/>
      <x:c r="S620" s="42" t="str"/>
      <x:c r="T620" s="42" t="str"/>
    </x:row>
    <x:row r="621">
      <x:c r="A621" s="42" t="str">
        <x:v>Matheus Cunha</x:v>
      </x:c>
      <x:c r="B621" s="42" t="n">
        <x:v>2030</x:v>
      </x:c>
      <x:c r="C621" s="42" t="str">
        <x:v>T4</x:v>
      </x:c>
      <x:c r="D621" s="44" t="n">
        <x:v>47848</x:v>
      </x:c>
      <x:c r="E621" s="42" t="str">
        <x:v>Centroavante</x:v>
      </x:c>
      <x:c r="F621" s="42" t="str">
        <x:v>Manchester United FC</x:v>
      </x:c>
      <x:c r="G621" s="46"/>
      <x:c r="H621" s="46"/>
      <x:c r="I621" s="46"/>
      <x:c r="J621" s="46"/>
      <x:c r="K621" s="46" t="str">
        <x:f>IF(COUNT(G621,I621)=0,"",AVERAGE(G621,I621))</x:f>
      </x:c>
      <x:c r="L621" s="46" t="str">
        <x:f>IF(COUNT(H621,J621)=0,"",AVERAGE(H621,J621))</x:f>
      </x:c>
      <x:c r="M621" s="46" t="str">
        <x:f>IF(OR(K621="",L621=""),"",L621-K621)</x:f>
      </x:c>
      <x:c r="N621" s="46" t="str">
        <x:f>IF(OR(K621="",A620&lt;&gt;A621,K620=""),"",K621-K620)</x:f>
      </x:c>
      <x:c r="O621" s="42" t="str">
        <x:v>Sem informação</x:v>
      </x:c>
      <x:c r="P621" s="42"/>
      <x:c r="Q621" s="42" t="str"/>
      <x:c r="R621" s="42" t="str"/>
      <x:c r="S621" s="42" t="str"/>
      <x:c r="T621" s="42" t="str"/>
    </x:row>
    <x:row r="622">
      <x:c r="A622" s="42" t="str">
        <x:v>Murillo</x:v>
      </x:c>
      <x:c r="B622" s="42" t="n">
        <x:v>2026</x:v>
      </x:c>
      <x:c r="C622" s="42" t="str">
        <x:v>T1</x:v>
      </x:c>
      <x:c r="D622" s="44" t="n">
        <x:v>46112</x:v>
      </x:c>
      <x:c r="E622" s="42" t="str">
        <x:v>Zagueiro</x:v>
      </x:c>
      <x:c r="F622" s="42" t="str">
        <x:v>Nottingham Forest</x:v>
      </x:c>
      <x:c r="G622" s="46"/>
      <x:c r="H622" s="46"/>
      <x:c r="I622" s="46"/>
      <x:c r="J622" s="46"/>
      <x:c r="K622" s="46" t="str">
        <x:f>IF(COUNT(G622,I622)=0,"",AVERAGE(G622,I622))</x:f>
      </x:c>
      <x:c r="L622" s="46" t="str">
        <x:f>IF(COUNT(H622,J622)=0,"",AVERAGE(H622,J622))</x:f>
      </x:c>
      <x:c r="M622" s="46" t="str">
        <x:f>IF(OR(K622="",L622=""),"",L622-K622)</x:f>
      </x:c>
      <x:c r="N622" s="46" t="str">
        <x:f>IF(OR(K622="",A621&lt;&gt;A622,K621=""),"",K622-K621)</x:f>
      </x:c>
      <x:c r="O622" s="42" t="str">
        <x:v>Sem informação</x:v>
      </x:c>
      <x:c r="P622" s="42"/>
      <x:c r="Q622" s="42" t="str"/>
      <x:c r="R622" s="42" t="str"/>
      <x:c r="S622" s="42" t="str"/>
      <x:c r="T622" s="42" t="str"/>
    </x:row>
    <x:row r="623">
      <x:c r="A623" s="42" t="str">
        <x:v>Murillo</x:v>
      </x:c>
      <x:c r="B623" s="42" t="n">
        <x:v>2026</x:v>
      </x:c>
      <x:c r="C623" s="42" t="str">
        <x:v>T2</x:v>
      </x:c>
      <x:c r="D623" s="44" t="n">
        <x:v>46203</x:v>
      </x:c>
      <x:c r="E623" s="42" t="str">
        <x:v>Zagueiro</x:v>
      </x:c>
      <x:c r="F623" s="42" t="str">
        <x:v>Nottingham Forest</x:v>
      </x:c>
      <x:c r="G623" s="46" t="n">
        <x:v>7</x:v>
      </x:c>
      <x:c r="H623" s="46" t="n">
        <x:v>9</x:v>
      </x:c>
      <x:c r="I623" s="46" t="n">
        <x:v>8</x:v>
      </x:c>
      <x:c r="J623" s="46" t="n">
        <x:v>9</x:v>
      </x:c>
      <x:c r="K623" s="46" t="n">
        <x:f>IF(COUNT(G623,I623)=0,"",AVERAGE(G623,I623))</x:f>
        <x:v>7.5</x:v>
      </x:c>
      <x:c r="L623" s="46" t="n">
        <x:f>IF(COUNT(H623,J623)=0,"",AVERAGE(H623,J623))</x:f>
        <x:v>9</x:v>
      </x:c>
      <x:c r="M623" s="46" t="n">
        <x:f>IF(OR(K623="",L623=""),"",L623-K623)</x:f>
        <x:v>1.5</x:v>
      </x:c>
      <x:c r="N623" s="46" t="str">
        <x:f>IF(OR(K623="",A622&lt;&gt;A623,K622=""),"",K623-K622)</x:f>
      </x:c>
      <x:c r="O623" s="42" t="str">
        <x:v>Sem informação</x:v>
      </x:c>
      <x:c r="P623" s="42"/>
      <x:c r="Q623" s="42" t="str"/>
      <x:c r="R623" s="42" t="str">
        <x:v>Pode ser um dos melhores zagueiros do mundo.</x:v>
      </x:c>
      <x:c r="S623" s="42" t="str"/>
      <x:c r="T623" s="42" t="str"/>
    </x:row>
    <x:row r="624">
      <x:c r="A624" s="42" t="str">
        <x:v>Murillo</x:v>
      </x:c>
      <x:c r="B624" s="42" t="n">
        <x:v>2026</x:v>
      </x:c>
      <x:c r="C624" s="42" t="str">
        <x:v>T3</x:v>
      </x:c>
      <x:c r="D624" s="44" t="n">
        <x:v>46295</x:v>
      </x:c>
      <x:c r="E624" s="42" t="str">
        <x:v>Zagueiro</x:v>
      </x:c>
      <x:c r="F624" s="42" t="str">
        <x:v>Nottingham Forest</x:v>
      </x:c>
      <x:c r="G624" s="46"/>
      <x:c r="H624" s="46"/>
      <x:c r="I624" s="46"/>
      <x:c r="J624" s="46"/>
      <x:c r="K624" s="46" t="str">
        <x:f>IF(COUNT(G624,I624)=0,"",AVERAGE(G624,I624))</x:f>
      </x:c>
      <x:c r="L624" s="46" t="str">
        <x:f>IF(COUNT(H624,J624)=0,"",AVERAGE(H624,J624))</x:f>
      </x:c>
      <x:c r="M624" s="46" t="str">
        <x:f>IF(OR(K624="",L624=""),"",L624-K624)</x:f>
      </x:c>
      <x:c r="N624" s="46" t="str">
        <x:f>IF(OR(K624="",A623&lt;&gt;A624,K623=""),"",K624-K623)</x:f>
      </x:c>
      <x:c r="O624" s="42" t="str">
        <x:v>Sem informação</x:v>
      </x:c>
      <x:c r="P624" s="42"/>
      <x:c r="Q624" s="42" t="str"/>
      <x:c r="R624" s="42" t="str"/>
      <x:c r="S624" s="42" t="str"/>
      <x:c r="T624" s="42" t="str"/>
    </x:row>
    <x:row r="625">
      <x:c r="A625" s="42" t="str">
        <x:v>Murillo</x:v>
      </x:c>
      <x:c r="B625" s="42" t="n">
        <x:v>2026</x:v>
      </x:c>
      <x:c r="C625" s="42" t="str">
        <x:v>T4</x:v>
      </x:c>
      <x:c r="D625" s="44" t="n">
        <x:v>46387</x:v>
      </x:c>
      <x:c r="E625" s="42" t="str">
        <x:v>Zagueiro</x:v>
      </x:c>
      <x:c r="F625" s="42" t="str">
        <x:v>Nottingham Forest</x:v>
      </x:c>
      <x:c r="G625" s="46"/>
      <x:c r="H625" s="46"/>
      <x:c r="I625" s="46"/>
      <x:c r="J625" s="46"/>
      <x:c r="K625" s="46" t="str">
        <x:f>IF(COUNT(G625,I625)=0,"",AVERAGE(G625,I625))</x:f>
      </x:c>
      <x:c r="L625" s="46" t="str">
        <x:f>IF(COUNT(H625,J625)=0,"",AVERAGE(H625,J625))</x:f>
      </x:c>
      <x:c r="M625" s="46" t="str">
        <x:f>IF(OR(K625="",L625=""),"",L625-K625)</x:f>
      </x:c>
      <x:c r="N625" s="46" t="str">
        <x:f>IF(OR(K625="",A624&lt;&gt;A625,K624=""),"",K625-K624)</x:f>
      </x:c>
      <x:c r="O625" s="42" t="str">
        <x:v>Sem informação</x:v>
      </x:c>
      <x:c r="P625" s="42"/>
      <x:c r="Q625" s="42" t="str"/>
      <x:c r="R625" s="42" t="str"/>
      <x:c r="S625" s="42" t="str"/>
      <x:c r="T625" s="42" t="str"/>
    </x:row>
    <x:row r="626">
      <x:c r="A626" s="42" t="str">
        <x:v>Murillo</x:v>
      </x:c>
      <x:c r="B626" s="42" t="n">
        <x:v>2027</x:v>
      </x:c>
      <x:c r="C626" s="42" t="str">
        <x:v>T1</x:v>
      </x:c>
      <x:c r="D626" s="44" t="n">
        <x:v>46477</x:v>
      </x:c>
      <x:c r="E626" s="42" t="str">
        <x:v>Zagueiro</x:v>
      </x:c>
      <x:c r="F626" s="42" t="str">
        <x:v>Nottingham Forest</x:v>
      </x:c>
      <x:c r="G626" s="46"/>
      <x:c r="H626" s="46"/>
      <x:c r="I626" s="46"/>
      <x:c r="J626" s="46"/>
      <x:c r="K626" s="46" t="str">
        <x:f>IF(COUNT(G626,I626)=0,"",AVERAGE(G626,I626))</x:f>
      </x:c>
      <x:c r="L626" s="46" t="str">
        <x:f>IF(COUNT(H626,J626)=0,"",AVERAGE(H626,J626))</x:f>
      </x:c>
      <x:c r="M626" s="46" t="str">
        <x:f>IF(OR(K626="",L626=""),"",L626-K626)</x:f>
      </x:c>
      <x:c r="N626" s="46" t="str">
        <x:f>IF(OR(K626="",A625&lt;&gt;A626,K625=""),"",K626-K625)</x:f>
      </x:c>
      <x:c r="O626" s="42" t="str">
        <x:v>Sem informação</x:v>
      </x:c>
      <x:c r="P626" s="42"/>
      <x:c r="Q626" s="42" t="str"/>
      <x:c r="R626" s="42" t="str"/>
      <x:c r="S626" s="42" t="str"/>
      <x:c r="T626" s="42" t="str"/>
    </x:row>
    <x:row r="627">
      <x:c r="A627" s="42" t="str">
        <x:v>Murillo</x:v>
      </x:c>
      <x:c r="B627" s="42" t="n">
        <x:v>2027</x:v>
      </x:c>
      <x:c r="C627" s="42" t="str">
        <x:v>T2</x:v>
      </x:c>
      <x:c r="D627" s="44" t="n">
        <x:v>46568</x:v>
      </x:c>
      <x:c r="E627" s="42" t="str">
        <x:v>Zagueiro</x:v>
      </x:c>
      <x:c r="F627" s="42" t="str">
        <x:v>Nottingham Forest</x:v>
      </x:c>
      <x:c r="G627" s="46"/>
      <x:c r="H627" s="46"/>
      <x:c r="I627" s="46"/>
      <x:c r="J627" s="46"/>
      <x:c r="K627" s="46" t="str">
        <x:f>IF(COUNT(G627,I627)=0,"",AVERAGE(G627,I627))</x:f>
      </x:c>
      <x:c r="L627" s="46" t="str">
        <x:f>IF(COUNT(H627,J627)=0,"",AVERAGE(H627,J627))</x:f>
      </x:c>
      <x:c r="M627" s="46" t="str">
        <x:f>IF(OR(K627="",L627=""),"",L627-K627)</x:f>
      </x:c>
      <x:c r="N627" s="46" t="str">
        <x:f>IF(OR(K627="",A626&lt;&gt;A627,K626=""),"",K627-K626)</x:f>
      </x:c>
      <x:c r="O627" s="42" t="str">
        <x:v>Sem informação</x:v>
      </x:c>
      <x:c r="P627" s="42"/>
      <x:c r="Q627" s="42" t="str"/>
      <x:c r="R627" s="42" t="str"/>
      <x:c r="S627" s="42" t="str"/>
      <x:c r="T627" s="42" t="str"/>
    </x:row>
    <x:row r="628">
      <x:c r="A628" s="42" t="str">
        <x:v>Murillo</x:v>
      </x:c>
      <x:c r="B628" s="42" t="n">
        <x:v>2027</x:v>
      </x:c>
      <x:c r="C628" s="42" t="str">
        <x:v>T3</x:v>
      </x:c>
      <x:c r="D628" s="44" t="n">
        <x:v>46660</x:v>
      </x:c>
      <x:c r="E628" s="42" t="str">
        <x:v>Zagueiro</x:v>
      </x:c>
      <x:c r="F628" s="42" t="str">
        <x:v>Nottingham Forest</x:v>
      </x:c>
      <x:c r="G628" s="46"/>
      <x:c r="H628" s="46"/>
      <x:c r="I628" s="46"/>
      <x:c r="J628" s="46"/>
      <x:c r="K628" s="46" t="str">
        <x:f>IF(COUNT(G628,I628)=0,"",AVERAGE(G628,I628))</x:f>
      </x:c>
      <x:c r="L628" s="46" t="str">
        <x:f>IF(COUNT(H628,J628)=0,"",AVERAGE(H628,J628))</x:f>
      </x:c>
      <x:c r="M628" s="46" t="str">
        <x:f>IF(OR(K628="",L628=""),"",L628-K628)</x:f>
      </x:c>
      <x:c r="N628" s="46" t="str">
        <x:f>IF(OR(K628="",A627&lt;&gt;A628,K627=""),"",K628-K627)</x:f>
      </x:c>
      <x:c r="O628" s="42" t="str">
        <x:v>Sem informação</x:v>
      </x:c>
      <x:c r="P628" s="42"/>
      <x:c r="Q628" s="42" t="str"/>
      <x:c r="R628" s="42" t="str"/>
      <x:c r="S628" s="42" t="str"/>
      <x:c r="T628" s="42" t="str"/>
    </x:row>
    <x:row r="629">
      <x:c r="A629" s="42" t="str">
        <x:v>Murillo</x:v>
      </x:c>
      <x:c r="B629" s="42" t="n">
        <x:v>2027</x:v>
      </x:c>
      <x:c r="C629" s="42" t="str">
        <x:v>T4</x:v>
      </x:c>
      <x:c r="D629" s="44" t="n">
        <x:v>46752</x:v>
      </x:c>
      <x:c r="E629" s="42" t="str">
        <x:v>Zagueiro</x:v>
      </x:c>
      <x:c r="F629" s="42" t="str">
        <x:v>Nottingham Forest</x:v>
      </x:c>
      <x:c r="G629" s="46"/>
      <x:c r="H629" s="46"/>
      <x:c r="I629" s="46"/>
      <x:c r="J629" s="46"/>
      <x:c r="K629" s="46" t="str">
        <x:f>IF(COUNT(G629,I629)=0,"",AVERAGE(G629,I629))</x:f>
      </x:c>
      <x:c r="L629" s="46" t="str">
        <x:f>IF(COUNT(H629,J629)=0,"",AVERAGE(H629,J629))</x:f>
      </x:c>
      <x:c r="M629" s="46" t="str">
        <x:f>IF(OR(K629="",L629=""),"",L629-K629)</x:f>
      </x:c>
      <x:c r="N629" s="46" t="str">
        <x:f>IF(OR(K629="",A628&lt;&gt;A629,K628=""),"",K629-K628)</x:f>
      </x:c>
      <x:c r="O629" s="42" t="str">
        <x:v>Sem informação</x:v>
      </x:c>
      <x:c r="P629" s="42"/>
      <x:c r="Q629" s="42" t="str"/>
      <x:c r="R629" s="42" t="str"/>
      <x:c r="S629" s="42" t="str"/>
      <x:c r="T629" s="42" t="str"/>
    </x:row>
    <x:row r="630">
      <x:c r="A630" s="42" t="str">
        <x:v>Murillo</x:v>
      </x:c>
      <x:c r="B630" s="42" t="n">
        <x:v>2028</x:v>
      </x:c>
      <x:c r="C630" s="42" t="str">
        <x:v>T1</x:v>
      </x:c>
      <x:c r="D630" s="44" t="n">
        <x:v>46843</x:v>
      </x:c>
      <x:c r="E630" s="42" t="str">
        <x:v>Zagueiro</x:v>
      </x:c>
      <x:c r="F630" s="42" t="str">
        <x:v>Nottingham Forest</x:v>
      </x:c>
      <x:c r="G630" s="46"/>
      <x:c r="H630" s="46"/>
      <x:c r="I630" s="46"/>
      <x:c r="J630" s="46"/>
      <x:c r="K630" s="46" t="str">
        <x:f>IF(COUNT(G630,I630)=0,"",AVERAGE(G630,I630))</x:f>
      </x:c>
      <x:c r="L630" s="46" t="str">
        <x:f>IF(COUNT(H630,J630)=0,"",AVERAGE(H630,J630))</x:f>
      </x:c>
      <x:c r="M630" s="46" t="str">
        <x:f>IF(OR(K630="",L630=""),"",L630-K630)</x:f>
      </x:c>
      <x:c r="N630" s="46" t="str">
        <x:f>IF(OR(K630="",A629&lt;&gt;A630,K629=""),"",K630-K629)</x:f>
      </x:c>
      <x:c r="O630" s="42" t="str">
        <x:v>Sem informação</x:v>
      </x:c>
      <x:c r="P630" s="42"/>
      <x:c r="Q630" s="42" t="str"/>
      <x:c r="R630" s="42" t="str"/>
      <x:c r="S630" s="42" t="str"/>
      <x:c r="T630" s="42" t="str"/>
    </x:row>
    <x:row r="631">
      <x:c r="A631" s="42" t="str">
        <x:v>Murillo</x:v>
      </x:c>
      <x:c r="B631" s="42" t="n">
        <x:v>2028</x:v>
      </x:c>
      <x:c r="C631" s="42" t="str">
        <x:v>T2</x:v>
      </x:c>
      <x:c r="D631" s="44" t="n">
        <x:v>46934</x:v>
      </x:c>
      <x:c r="E631" s="42" t="str">
        <x:v>Zagueiro</x:v>
      </x:c>
      <x:c r="F631" s="42" t="str">
        <x:v>Nottingham Forest</x:v>
      </x:c>
      <x:c r="G631" s="46"/>
      <x:c r="H631" s="46"/>
      <x:c r="I631" s="46"/>
      <x:c r="J631" s="46"/>
      <x:c r="K631" s="46" t="str">
        <x:f>IF(COUNT(G631,I631)=0,"",AVERAGE(G631,I631))</x:f>
      </x:c>
      <x:c r="L631" s="46" t="str">
        <x:f>IF(COUNT(H631,J631)=0,"",AVERAGE(H631,J631))</x:f>
      </x:c>
      <x:c r="M631" s="46" t="str">
        <x:f>IF(OR(K631="",L631=""),"",L631-K631)</x:f>
      </x:c>
      <x:c r="N631" s="46" t="str">
        <x:f>IF(OR(K631="",A630&lt;&gt;A631,K630=""),"",K631-K630)</x:f>
      </x:c>
      <x:c r="O631" s="42" t="str">
        <x:v>Sem informação</x:v>
      </x:c>
      <x:c r="P631" s="42"/>
      <x:c r="Q631" s="42" t="str"/>
      <x:c r="R631" s="42" t="str"/>
      <x:c r="S631" s="42" t="str"/>
      <x:c r="T631" s="42" t="str"/>
    </x:row>
    <x:row r="632">
      <x:c r="A632" s="42" t="str">
        <x:v>Murillo</x:v>
      </x:c>
      <x:c r="B632" s="42" t="n">
        <x:v>2028</x:v>
      </x:c>
      <x:c r="C632" s="42" t="str">
        <x:v>T3</x:v>
      </x:c>
      <x:c r="D632" s="44" t="n">
        <x:v>47026</x:v>
      </x:c>
      <x:c r="E632" s="42" t="str">
        <x:v>Zagueiro</x:v>
      </x:c>
      <x:c r="F632" s="42" t="str">
        <x:v>Nottingham Forest</x:v>
      </x:c>
      <x:c r="G632" s="46"/>
      <x:c r="H632" s="46"/>
      <x:c r="I632" s="46"/>
      <x:c r="J632" s="46"/>
      <x:c r="K632" s="46" t="str">
        <x:f>IF(COUNT(G632,I632)=0,"",AVERAGE(G632,I632))</x:f>
      </x:c>
      <x:c r="L632" s="46" t="str">
        <x:f>IF(COUNT(H632,J632)=0,"",AVERAGE(H632,J632))</x:f>
      </x:c>
      <x:c r="M632" s="46" t="str">
        <x:f>IF(OR(K632="",L632=""),"",L632-K632)</x:f>
      </x:c>
      <x:c r="N632" s="46" t="str">
        <x:f>IF(OR(K632="",A631&lt;&gt;A632,K631=""),"",K632-K631)</x:f>
      </x:c>
      <x:c r="O632" s="42" t="str">
        <x:v>Sem informação</x:v>
      </x:c>
      <x:c r="P632" s="42"/>
      <x:c r="Q632" s="42" t="str"/>
      <x:c r="R632" s="42" t="str"/>
      <x:c r="S632" s="42" t="str"/>
      <x:c r="T632" s="42" t="str"/>
    </x:row>
    <x:row r="633">
      <x:c r="A633" s="42" t="str">
        <x:v>Murillo</x:v>
      </x:c>
      <x:c r="B633" s="42" t="n">
        <x:v>2028</x:v>
      </x:c>
      <x:c r="C633" s="42" t="str">
        <x:v>T4</x:v>
      </x:c>
      <x:c r="D633" s="44" t="n">
        <x:v>47118</x:v>
      </x:c>
      <x:c r="E633" s="42" t="str">
        <x:v>Zagueiro</x:v>
      </x:c>
      <x:c r="F633" s="42" t="str">
        <x:v>Nottingham Forest</x:v>
      </x:c>
      <x:c r="G633" s="46"/>
      <x:c r="H633" s="46"/>
      <x:c r="I633" s="46"/>
      <x:c r="J633" s="46"/>
      <x:c r="K633" s="46" t="str">
        <x:f>IF(COUNT(G633,I633)=0,"",AVERAGE(G633,I633))</x:f>
      </x:c>
      <x:c r="L633" s="46" t="str">
        <x:f>IF(COUNT(H633,J633)=0,"",AVERAGE(H633,J633))</x:f>
      </x:c>
      <x:c r="M633" s="46" t="str">
        <x:f>IF(OR(K633="",L633=""),"",L633-K633)</x:f>
      </x:c>
      <x:c r="N633" s="46" t="str">
        <x:f>IF(OR(K633="",A632&lt;&gt;A633,K632=""),"",K633-K632)</x:f>
      </x:c>
      <x:c r="O633" s="42" t="str">
        <x:v>Sem informação</x:v>
      </x:c>
      <x:c r="P633" s="42"/>
      <x:c r="Q633" s="42" t="str"/>
      <x:c r="R633" s="42" t="str"/>
      <x:c r="S633" s="42" t="str"/>
      <x:c r="T633" s="42" t="str"/>
    </x:row>
    <x:row r="634">
      <x:c r="A634" s="42" t="str">
        <x:v>Murillo</x:v>
      </x:c>
      <x:c r="B634" s="42" t="n">
        <x:v>2029</x:v>
      </x:c>
      <x:c r="C634" s="42" t="str">
        <x:v>T1</x:v>
      </x:c>
      <x:c r="D634" s="44" t="n">
        <x:v>47208</x:v>
      </x:c>
      <x:c r="E634" s="42" t="str">
        <x:v>Zagueiro</x:v>
      </x:c>
      <x:c r="F634" s="42" t="str">
        <x:v>Nottingham Forest</x:v>
      </x:c>
      <x:c r="G634" s="46"/>
      <x:c r="H634" s="46"/>
      <x:c r="I634" s="46"/>
      <x:c r="J634" s="46"/>
      <x:c r="K634" s="46" t="str">
        <x:f>IF(COUNT(G634,I634)=0,"",AVERAGE(G634,I634))</x:f>
      </x:c>
      <x:c r="L634" s="46" t="str">
        <x:f>IF(COUNT(H634,J634)=0,"",AVERAGE(H634,J634))</x:f>
      </x:c>
      <x:c r="M634" s="46" t="str">
        <x:f>IF(OR(K634="",L634=""),"",L634-K634)</x:f>
      </x:c>
      <x:c r="N634" s="46" t="str">
        <x:f>IF(OR(K634="",A633&lt;&gt;A634,K633=""),"",K634-K633)</x:f>
      </x:c>
      <x:c r="O634" s="42" t="str">
        <x:v>Sem informação</x:v>
      </x:c>
      <x:c r="P634" s="42"/>
      <x:c r="Q634" s="42" t="str"/>
      <x:c r="R634" s="42" t="str"/>
      <x:c r="S634" s="42" t="str"/>
      <x:c r="T634" s="42" t="str"/>
    </x:row>
    <x:row r="635">
      <x:c r="A635" s="42" t="str">
        <x:v>Murillo</x:v>
      </x:c>
      <x:c r="B635" s="42" t="n">
        <x:v>2029</x:v>
      </x:c>
      <x:c r="C635" s="42" t="str">
        <x:v>T2</x:v>
      </x:c>
      <x:c r="D635" s="44" t="n">
        <x:v>47299</x:v>
      </x:c>
      <x:c r="E635" s="42" t="str">
        <x:v>Zagueiro</x:v>
      </x:c>
      <x:c r="F635" s="42" t="str">
        <x:v>Nottingham Forest</x:v>
      </x:c>
      <x:c r="G635" s="46"/>
      <x:c r="H635" s="46"/>
      <x:c r="I635" s="46"/>
      <x:c r="J635" s="46"/>
      <x:c r="K635" s="46" t="str">
        <x:f>IF(COUNT(G635,I635)=0,"",AVERAGE(G635,I635))</x:f>
      </x:c>
      <x:c r="L635" s="46" t="str">
        <x:f>IF(COUNT(H635,J635)=0,"",AVERAGE(H635,J635))</x:f>
      </x:c>
      <x:c r="M635" s="46" t="str">
        <x:f>IF(OR(K635="",L635=""),"",L635-K635)</x:f>
      </x:c>
      <x:c r="N635" s="46" t="str">
        <x:f>IF(OR(K635="",A634&lt;&gt;A635,K634=""),"",K635-K634)</x:f>
      </x:c>
      <x:c r="O635" s="42" t="str">
        <x:v>Sem informação</x:v>
      </x:c>
      <x:c r="P635" s="42"/>
      <x:c r="Q635" s="42" t="str"/>
      <x:c r="R635" s="42" t="str"/>
      <x:c r="S635" s="42" t="str"/>
      <x:c r="T635" s="42" t="str"/>
    </x:row>
    <x:row r="636">
      <x:c r="A636" s="42" t="str">
        <x:v>Murillo</x:v>
      </x:c>
      <x:c r="B636" s="42" t="n">
        <x:v>2029</x:v>
      </x:c>
      <x:c r="C636" s="42" t="str">
        <x:v>T3</x:v>
      </x:c>
      <x:c r="D636" s="44" t="n">
        <x:v>47391</x:v>
      </x:c>
      <x:c r="E636" s="42" t="str">
        <x:v>Zagueiro</x:v>
      </x:c>
      <x:c r="F636" s="42" t="str">
        <x:v>Nottingham Forest</x:v>
      </x:c>
      <x:c r="G636" s="46"/>
      <x:c r="H636" s="46"/>
      <x:c r="I636" s="46"/>
      <x:c r="J636" s="46"/>
      <x:c r="K636" s="46" t="str">
        <x:f>IF(COUNT(G636,I636)=0,"",AVERAGE(G636,I636))</x:f>
      </x:c>
      <x:c r="L636" s="46" t="str">
        <x:f>IF(COUNT(H636,J636)=0,"",AVERAGE(H636,J636))</x:f>
      </x:c>
      <x:c r="M636" s="46" t="str">
        <x:f>IF(OR(K636="",L636=""),"",L636-K636)</x:f>
      </x:c>
      <x:c r="N636" s="46" t="str">
        <x:f>IF(OR(K636="",A635&lt;&gt;A636,K635=""),"",K636-K635)</x:f>
      </x:c>
      <x:c r="O636" s="42" t="str">
        <x:v>Sem informação</x:v>
      </x:c>
      <x:c r="P636" s="42"/>
      <x:c r="Q636" s="42" t="str"/>
      <x:c r="R636" s="42" t="str"/>
      <x:c r="S636" s="42" t="str"/>
      <x:c r="T636" s="42" t="str"/>
    </x:row>
    <x:row r="637">
      <x:c r="A637" s="42" t="str">
        <x:v>Murillo</x:v>
      </x:c>
      <x:c r="B637" s="42" t="n">
        <x:v>2029</x:v>
      </x:c>
      <x:c r="C637" s="42" t="str">
        <x:v>T4</x:v>
      </x:c>
      <x:c r="D637" s="44" t="n">
        <x:v>47483</x:v>
      </x:c>
      <x:c r="E637" s="42" t="str">
        <x:v>Zagueiro</x:v>
      </x:c>
      <x:c r="F637" s="42" t="str">
        <x:v>Nottingham Forest</x:v>
      </x:c>
      <x:c r="G637" s="46"/>
      <x:c r="H637" s="46"/>
      <x:c r="I637" s="46"/>
      <x:c r="J637" s="46"/>
      <x:c r="K637" s="46" t="str">
        <x:f>IF(COUNT(G637,I637)=0,"",AVERAGE(G637,I637))</x:f>
      </x:c>
      <x:c r="L637" s="46" t="str">
        <x:f>IF(COUNT(H637,J637)=0,"",AVERAGE(H637,J637))</x:f>
      </x:c>
      <x:c r="M637" s="46" t="str">
        <x:f>IF(OR(K637="",L637=""),"",L637-K637)</x:f>
      </x:c>
      <x:c r="N637" s="46" t="str">
        <x:f>IF(OR(K637="",A636&lt;&gt;A637,K636=""),"",K637-K636)</x:f>
      </x:c>
      <x:c r="O637" s="42" t="str">
        <x:v>Sem informação</x:v>
      </x:c>
      <x:c r="P637" s="42"/>
      <x:c r="Q637" s="42" t="str"/>
      <x:c r="R637" s="42" t="str"/>
      <x:c r="S637" s="42" t="str"/>
      <x:c r="T637" s="42" t="str"/>
    </x:row>
    <x:row r="638">
      <x:c r="A638" s="42" t="str">
        <x:v>Murillo</x:v>
      </x:c>
      <x:c r="B638" s="42" t="n">
        <x:v>2030</x:v>
      </x:c>
      <x:c r="C638" s="42" t="str">
        <x:v>T1</x:v>
      </x:c>
      <x:c r="D638" s="44" t="n">
        <x:v>47573</x:v>
      </x:c>
      <x:c r="E638" s="42" t="str">
        <x:v>Zagueiro</x:v>
      </x:c>
      <x:c r="F638" s="42" t="str">
        <x:v>Nottingham Forest</x:v>
      </x:c>
      <x:c r="G638" s="46"/>
      <x:c r="H638" s="46"/>
      <x:c r="I638" s="46"/>
      <x:c r="J638" s="46"/>
      <x:c r="K638" s="46" t="str">
        <x:f>IF(COUNT(G638,I638)=0,"",AVERAGE(G638,I638))</x:f>
      </x:c>
      <x:c r="L638" s="46" t="str">
        <x:f>IF(COUNT(H638,J638)=0,"",AVERAGE(H638,J638))</x:f>
      </x:c>
      <x:c r="M638" s="46" t="str">
        <x:f>IF(OR(K638="",L638=""),"",L638-K638)</x:f>
      </x:c>
      <x:c r="N638" s="46" t="str">
        <x:f>IF(OR(K638="",A637&lt;&gt;A638,K637=""),"",K638-K637)</x:f>
      </x:c>
      <x:c r="O638" s="42" t="str">
        <x:v>Sem informação</x:v>
      </x:c>
      <x:c r="P638" s="42"/>
      <x:c r="Q638" s="42" t="str"/>
      <x:c r="R638" s="42" t="str"/>
      <x:c r="S638" s="42" t="str"/>
      <x:c r="T638" s="42" t="str"/>
    </x:row>
    <x:row r="639">
      <x:c r="A639" s="42" t="str">
        <x:v>Murillo</x:v>
      </x:c>
      <x:c r="B639" s="42" t="n">
        <x:v>2030</x:v>
      </x:c>
      <x:c r="C639" s="42" t="str">
        <x:v>T2</x:v>
      </x:c>
      <x:c r="D639" s="44" t="n">
        <x:v>47664</x:v>
      </x:c>
      <x:c r="E639" s="42" t="str">
        <x:v>Zagueiro</x:v>
      </x:c>
      <x:c r="F639" s="42" t="str">
        <x:v>Nottingham Forest</x:v>
      </x:c>
      <x:c r="G639" s="46"/>
      <x:c r="H639" s="46"/>
      <x:c r="I639" s="46"/>
      <x:c r="J639" s="46"/>
      <x:c r="K639" s="46" t="str">
        <x:f>IF(COUNT(G639,I639)=0,"",AVERAGE(G639,I639))</x:f>
      </x:c>
      <x:c r="L639" s="46" t="str">
        <x:f>IF(COUNT(H639,J639)=0,"",AVERAGE(H639,J639))</x:f>
      </x:c>
      <x:c r="M639" s="46" t="str">
        <x:f>IF(OR(K639="",L639=""),"",L639-K639)</x:f>
      </x:c>
      <x:c r="N639" s="46" t="str">
        <x:f>IF(OR(K639="",A638&lt;&gt;A639,K638=""),"",K639-K638)</x:f>
      </x:c>
      <x:c r="O639" s="42" t="str">
        <x:v>Sem informação</x:v>
      </x:c>
      <x:c r="P639" s="42"/>
      <x:c r="Q639" s="42" t="str"/>
      <x:c r="R639" s="42" t="str"/>
      <x:c r="S639" s="42" t="str"/>
      <x:c r="T639" s="42" t="str"/>
    </x:row>
    <x:row r="640">
      <x:c r="A640" s="42" t="str">
        <x:v>Murillo</x:v>
      </x:c>
      <x:c r="B640" s="42" t="n">
        <x:v>2030</x:v>
      </x:c>
      <x:c r="C640" s="42" t="str">
        <x:v>T3</x:v>
      </x:c>
      <x:c r="D640" s="44" t="n">
        <x:v>47756</x:v>
      </x:c>
      <x:c r="E640" s="42" t="str">
        <x:v>Zagueiro</x:v>
      </x:c>
      <x:c r="F640" s="42" t="str">
        <x:v>Nottingham Forest</x:v>
      </x:c>
      <x:c r="G640" s="46"/>
      <x:c r="H640" s="46"/>
      <x:c r="I640" s="46"/>
      <x:c r="J640" s="46"/>
      <x:c r="K640" s="46" t="str">
        <x:f>IF(COUNT(G640,I640)=0,"",AVERAGE(G640,I640))</x:f>
      </x:c>
      <x:c r="L640" s="46" t="str">
        <x:f>IF(COUNT(H640,J640)=0,"",AVERAGE(H640,J640))</x:f>
      </x:c>
      <x:c r="M640" s="46" t="str">
        <x:f>IF(OR(K640="",L640=""),"",L640-K640)</x:f>
      </x:c>
      <x:c r="N640" s="46" t="str">
        <x:f>IF(OR(K640="",A639&lt;&gt;A640,K639=""),"",K640-K639)</x:f>
      </x:c>
      <x:c r="O640" s="42" t="str">
        <x:v>Sem informação</x:v>
      </x:c>
      <x:c r="P640" s="42"/>
      <x:c r="Q640" s="42" t="str"/>
      <x:c r="R640" s="42" t="str"/>
      <x:c r="S640" s="42" t="str"/>
      <x:c r="T640" s="42" t="str"/>
    </x:row>
    <x:row r="641">
      <x:c r="A641" s="42" t="str">
        <x:v>Murillo</x:v>
      </x:c>
      <x:c r="B641" s="42" t="n">
        <x:v>2030</x:v>
      </x:c>
      <x:c r="C641" s="42" t="str">
        <x:v>T4</x:v>
      </x:c>
      <x:c r="D641" s="44" t="n">
        <x:v>47848</x:v>
      </x:c>
      <x:c r="E641" s="42" t="str">
        <x:v>Zagueiro</x:v>
      </x:c>
      <x:c r="F641" s="42" t="str">
        <x:v>Nottingham Forest</x:v>
      </x:c>
      <x:c r="G641" s="46"/>
      <x:c r="H641" s="46"/>
      <x:c r="I641" s="46"/>
      <x:c r="J641" s="46"/>
      <x:c r="K641" s="46" t="str">
        <x:f>IF(COUNT(G641,I641)=0,"",AVERAGE(G641,I641))</x:f>
      </x:c>
      <x:c r="L641" s="46" t="str">
        <x:f>IF(COUNT(H641,J641)=0,"",AVERAGE(H641,J641))</x:f>
      </x:c>
      <x:c r="M641" s="46" t="str">
        <x:f>IF(OR(K641="",L641=""),"",L641-K641)</x:f>
      </x:c>
      <x:c r="N641" s="46" t="str">
        <x:f>IF(OR(K641="",A640&lt;&gt;A641,K640=""),"",K641-K640)</x:f>
      </x:c>
      <x:c r="O641" s="42" t="str">
        <x:v>Sem informação</x:v>
      </x:c>
      <x:c r="P641" s="42"/>
      <x:c r="Q641" s="42" t="str"/>
      <x:c r="R641" s="42" t="str"/>
      <x:c r="S641" s="42" t="str"/>
      <x:c r="T641" s="42" t="str"/>
    </x:row>
    <x:row r="642">
      <x:c r="A642" s="42" t="str">
        <x:v>Rodrygo</x:v>
      </x:c>
      <x:c r="B642" s="42" t="n">
        <x:v>2026</x:v>
      </x:c>
      <x:c r="C642" s="42" t="str">
        <x:v>T1</x:v>
      </x:c>
      <x:c r="D642" s="44" t="n">
        <x:v>46112</x:v>
      </x:c>
      <x:c r="E642" s="42" t="str">
        <x:v>Meia-armador</x:v>
      </x:c>
      <x:c r="F642" s="42" t="str">
        <x:v>Real Madrid CF</x:v>
      </x:c>
      <x:c r="G642" s="46"/>
      <x:c r="H642" s="46"/>
      <x:c r="I642" s="46"/>
      <x:c r="J642" s="46"/>
      <x:c r="K642" s="46" t="str">
        <x:f>IF(COUNT(G642,I642)=0,"",AVERAGE(G642,I642))</x:f>
      </x:c>
      <x:c r="L642" s="46" t="str">
        <x:f>IF(COUNT(H642,J642)=0,"",AVERAGE(H642,J642))</x:f>
      </x:c>
      <x:c r="M642" s="46" t="str">
        <x:f>IF(OR(K642="",L642=""),"",L642-K642)</x:f>
      </x:c>
      <x:c r="N642" s="46" t="str">
        <x:f>IF(OR(K642="",A641&lt;&gt;A642,K641=""),"",K642-K641)</x:f>
      </x:c>
      <x:c r="O642" s="42" t="str">
        <x:v>Sem informação</x:v>
      </x:c>
      <x:c r="P642" s="42"/>
      <x:c r="Q642" s="42" t="str"/>
      <x:c r="R642" s="42" t="str"/>
      <x:c r="S642" s="42" t="str"/>
      <x:c r="T642" s="42" t="str"/>
    </x:row>
    <x:row r="643">
      <x:c r="A643" s="42" t="str">
        <x:v>Rodrygo</x:v>
      </x:c>
      <x:c r="B643" s="42" t="n">
        <x:v>2026</x:v>
      </x:c>
      <x:c r="C643" s="42" t="str">
        <x:v>T2</x:v>
      </x:c>
      <x:c r="D643" s="44" t="n">
        <x:v>46203</x:v>
      </x:c>
      <x:c r="E643" s="42" t="str">
        <x:v>Meia-armador</x:v>
      </x:c>
      <x:c r="F643" s="42" t="str">
        <x:v>Real Madrid CF</x:v>
      </x:c>
      <x:c r="G643" s="46" t="n">
        <x:v>8</x:v>
      </x:c>
      <x:c r="H643" s="46" t="n">
        <x:v>8</x:v>
      </x:c>
      <x:c r="I643" s="46" t="n">
        <x:v>8.5</x:v>
      </x:c>
      <x:c r="J643" s="46" t="n">
        <x:v>9</x:v>
      </x:c>
      <x:c r="K643" s="46" t="n">
        <x:f>IF(COUNT(G643,I643)=0,"",AVERAGE(G643,I643))</x:f>
        <x:v>8.25</x:v>
      </x:c>
      <x:c r="L643" s="46" t="n">
        <x:f>IF(COUNT(H643,J643)=0,"",AVERAGE(H643,J643))</x:f>
        <x:v>8.5</x:v>
      </x:c>
      <x:c r="M643" s="46" t="n">
        <x:f>IF(OR(K643="",L643=""),"",L643-K643)</x:f>
        <x:v>0.25</x:v>
      </x:c>
      <x:c r="N643" s="46" t="str">
        <x:f>IF(OR(K643="",A642&lt;&gt;A643,K642=""),"",K643-K642)</x:f>
      </x:c>
      <x:c r="O643" s="42" t="str">
        <x:v>Sem informação</x:v>
      </x:c>
      <x:c r="P643" s="42"/>
      <x:c r="Q643" s="42" t="str">
        <x:v>A ver como voltará após a lesão e se continuará com chances no recheado elenco do Madrid.</x:v>
      </x:c>
      <x:c r="R643" s="42" t="str">
        <x:v>Um dos melhores meias do mundo. Precisa entender evolução no clube.</x:v>
      </x:c>
      <x:c r="S643" s="42" t="str"/>
      <x:c r="T643" s="42" t="str"/>
    </x:row>
    <x:row r="644">
      <x:c r="A644" s="42" t="str">
        <x:v>Rodrygo</x:v>
      </x:c>
      <x:c r="B644" s="42" t="n">
        <x:v>2026</x:v>
      </x:c>
      <x:c r="C644" s="42" t="str">
        <x:v>T3</x:v>
      </x:c>
      <x:c r="D644" s="44" t="n">
        <x:v>46295</x:v>
      </x:c>
      <x:c r="E644" s="42" t="str">
        <x:v>Meia-armador</x:v>
      </x:c>
      <x:c r="F644" s="42" t="str">
        <x:v>Real Madrid CF</x:v>
      </x:c>
      <x:c r="G644" s="46"/>
      <x:c r="H644" s="46"/>
      <x:c r="I644" s="46"/>
      <x:c r="J644" s="46"/>
      <x:c r="K644" s="46" t="str">
        <x:f>IF(COUNT(G644,I644)=0,"",AVERAGE(G644,I644))</x:f>
      </x:c>
      <x:c r="L644" s="46" t="str">
        <x:f>IF(COUNT(H644,J644)=0,"",AVERAGE(H644,J644))</x:f>
      </x:c>
      <x:c r="M644" s="46" t="str">
        <x:f>IF(OR(K644="",L644=""),"",L644-K644)</x:f>
      </x:c>
      <x:c r="N644" s="46" t="str">
        <x:f>IF(OR(K644="",A643&lt;&gt;A644,K643=""),"",K644-K643)</x:f>
      </x:c>
      <x:c r="O644" s="42" t="str">
        <x:v>Sem informação</x:v>
      </x:c>
      <x:c r="P644" s="42"/>
      <x:c r="Q644" s="42" t="str"/>
      <x:c r="R644" s="42" t="str"/>
      <x:c r="S644" s="42" t="str"/>
      <x:c r="T644" s="42" t="str"/>
    </x:row>
    <x:row r="645">
      <x:c r="A645" s="42" t="str">
        <x:v>Rodrygo</x:v>
      </x:c>
      <x:c r="B645" s="42" t="n">
        <x:v>2026</x:v>
      </x:c>
      <x:c r="C645" s="42" t="str">
        <x:v>T4</x:v>
      </x:c>
      <x:c r="D645" s="44" t="n">
        <x:v>46387</x:v>
      </x:c>
      <x:c r="E645" s="42" t="str">
        <x:v>Meia-armador</x:v>
      </x:c>
      <x:c r="F645" s="42" t="str">
        <x:v>Real Madrid CF</x:v>
      </x:c>
      <x:c r="G645" s="46"/>
      <x:c r="H645" s="46"/>
      <x:c r="I645" s="46"/>
      <x:c r="J645" s="46"/>
      <x:c r="K645" s="46" t="str">
        <x:f>IF(COUNT(G645,I645)=0,"",AVERAGE(G645,I645))</x:f>
      </x:c>
      <x:c r="L645" s="46" t="str">
        <x:f>IF(COUNT(H645,J645)=0,"",AVERAGE(H645,J645))</x:f>
      </x:c>
      <x:c r="M645" s="46" t="str">
        <x:f>IF(OR(K645="",L645=""),"",L645-K645)</x:f>
      </x:c>
      <x:c r="N645" s="46" t="str">
        <x:f>IF(OR(K645="",A644&lt;&gt;A645,K644=""),"",K645-K644)</x:f>
      </x:c>
      <x:c r="O645" s="42" t="str">
        <x:v>Sem informação</x:v>
      </x:c>
      <x:c r="P645" s="42"/>
      <x:c r="Q645" s="42" t="str"/>
      <x:c r="R645" s="42" t="str"/>
      <x:c r="S645" s="42" t="str"/>
      <x:c r="T645" s="42" t="str"/>
    </x:row>
    <x:row r="646">
      <x:c r="A646" s="42" t="str">
        <x:v>Rodrygo</x:v>
      </x:c>
      <x:c r="B646" s="42" t="n">
        <x:v>2027</x:v>
      </x:c>
      <x:c r="C646" s="42" t="str">
        <x:v>T1</x:v>
      </x:c>
      <x:c r="D646" s="44" t="n">
        <x:v>46477</x:v>
      </x:c>
      <x:c r="E646" s="42" t="str">
        <x:v>Meia-armador</x:v>
      </x:c>
      <x:c r="F646" s="42" t="str">
        <x:v>Real Madrid CF</x:v>
      </x:c>
      <x:c r="G646" s="46"/>
      <x:c r="H646" s="46"/>
      <x:c r="I646" s="46"/>
      <x:c r="J646" s="46"/>
      <x:c r="K646" s="46" t="str">
        <x:f>IF(COUNT(G646,I646)=0,"",AVERAGE(G646,I646))</x:f>
      </x:c>
      <x:c r="L646" s="46" t="str">
        <x:f>IF(COUNT(H646,J646)=0,"",AVERAGE(H646,J646))</x:f>
      </x:c>
      <x:c r="M646" s="46" t="str">
        <x:f>IF(OR(K646="",L646=""),"",L646-K646)</x:f>
      </x:c>
      <x:c r="N646" s="46" t="str">
        <x:f>IF(OR(K646="",A645&lt;&gt;A646,K645=""),"",K646-K645)</x:f>
      </x:c>
      <x:c r="O646" s="42" t="str">
        <x:v>Sem informação</x:v>
      </x:c>
      <x:c r="P646" s="42"/>
      <x:c r="Q646" s="42" t="str"/>
      <x:c r="R646" s="42" t="str"/>
      <x:c r="S646" s="42" t="str"/>
      <x:c r="T646" s="42" t="str"/>
    </x:row>
    <x:row r="647">
      <x:c r="A647" s="42" t="str">
        <x:v>Rodrygo</x:v>
      </x:c>
      <x:c r="B647" s="42" t="n">
        <x:v>2027</x:v>
      </x:c>
      <x:c r="C647" s="42" t="str">
        <x:v>T2</x:v>
      </x:c>
      <x:c r="D647" s="44" t="n">
        <x:v>46568</x:v>
      </x:c>
      <x:c r="E647" s="42" t="str">
        <x:v>Meia-armador</x:v>
      </x:c>
      <x:c r="F647" s="42" t="str">
        <x:v>Real Madrid CF</x:v>
      </x:c>
      <x:c r="G647" s="46"/>
      <x:c r="H647" s="46"/>
      <x:c r="I647" s="46"/>
      <x:c r="J647" s="46"/>
      <x:c r="K647" s="46" t="str">
        <x:f>IF(COUNT(G647,I647)=0,"",AVERAGE(G647,I647))</x:f>
      </x:c>
      <x:c r="L647" s="46" t="str">
        <x:f>IF(COUNT(H647,J647)=0,"",AVERAGE(H647,J647))</x:f>
      </x:c>
      <x:c r="M647" s="46" t="str">
        <x:f>IF(OR(K647="",L647=""),"",L647-K647)</x:f>
      </x:c>
      <x:c r="N647" s="46" t="str">
        <x:f>IF(OR(K647="",A646&lt;&gt;A647,K646=""),"",K647-K646)</x:f>
      </x:c>
      <x:c r="O647" s="42" t="str">
        <x:v>Sem informação</x:v>
      </x:c>
      <x:c r="P647" s="42"/>
      <x:c r="Q647" s="42" t="str"/>
      <x:c r="R647" s="42" t="str"/>
      <x:c r="S647" s="42" t="str"/>
      <x:c r="T647" s="42" t="str"/>
    </x:row>
    <x:row r="648">
      <x:c r="A648" s="42" t="str">
        <x:v>Rodrygo</x:v>
      </x:c>
      <x:c r="B648" s="42" t="n">
        <x:v>2027</x:v>
      </x:c>
      <x:c r="C648" s="42" t="str">
        <x:v>T3</x:v>
      </x:c>
      <x:c r="D648" s="44" t="n">
        <x:v>46660</x:v>
      </x:c>
      <x:c r="E648" s="42" t="str">
        <x:v>Meia-armador</x:v>
      </x:c>
      <x:c r="F648" s="42" t="str">
        <x:v>Real Madrid CF</x:v>
      </x:c>
      <x:c r="G648" s="46"/>
      <x:c r="H648" s="46"/>
      <x:c r="I648" s="46"/>
      <x:c r="J648" s="46"/>
      <x:c r="K648" s="46" t="str">
        <x:f>IF(COUNT(G648,I648)=0,"",AVERAGE(G648,I648))</x:f>
      </x:c>
      <x:c r="L648" s="46" t="str">
        <x:f>IF(COUNT(H648,J648)=0,"",AVERAGE(H648,J648))</x:f>
      </x:c>
      <x:c r="M648" s="46" t="str">
        <x:f>IF(OR(K648="",L648=""),"",L648-K648)</x:f>
      </x:c>
      <x:c r="N648" s="46" t="str">
        <x:f>IF(OR(K648="",A647&lt;&gt;A648,K647=""),"",K648-K647)</x:f>
      </x:c>
      <x:c r="O648" s="42" t="str">
        <x:v>Sem informação</x:v>
      </x:c>
      <x:c r="P648" s="42"/>
      <x:c r="Q648" s="42" t="str"/>
      <x:c r="R648" s="42" t="str"/>
      <x:c r="S648" s="42" t="str"/>
      <x:c r="T648" s="42" t="str"/>
    </x:row>
    <x:row r="649">
      <x:c r="A649" s="42" t="str">
        <x:v>Rodrygo</x:v>
      </x:c>
      <x:c r="B649" s="42" t="n">
        <x:v>2027</x:v>
      </x:c>
      <x:c r="C649" s="42" t="str">
        <x:v>T4</x:v>
      </x:c>
      <x:c r="D649" s="44" t="n">
        <x:v>46752</x:v>
      </x:c>
      <x:c r="E649" s="42" t="str">
        <x:v>Meia-armador</x:v>
      </x:c>
      <x:c r="F649" s="42" t="str">
        <x:v>Real Madrid CF</x:v>
      </x:c>
      <x:c r="G649" s="46"/>
      <x:c r="H649" s="46"/>
      <x:c r="I649" s="46"/>
      <x:c r="J649" s="46"/>
      <x:c r="K649" s="46" t="str">
        <x:f>IF(COUNT(G649,I649)=0,"",AVERAGE(G649,I649))</x:f>
      </x:c>
      <x:c r="L649" s="46" t="str">
        <x:f>IF(COUNT(H649,J649)=0,"",AVERAGE(H649,J649))</x:f>
      </x:c>
      <x:c r="M649" s="46" t="str">
        <x:f>IF(OR(K649="",L649=""),"",L649-K649)</x:f>
      </x:c>
      <x:c r="N649" s="46" t="str">
        <x:f>IF(OR(K649="",A648&lt;&gt;A649,K648=""),"",K649-K648)</x:f>
      </x:c>
      <x:c r="O649" s="42" t="str">
        <x:v>Sem informação</x:v>
      </x:c>
      <x:c r="P649" s="42"/>
      <x:c r="Q649" s="42" t="str"/>
      <x:c r="R649" s="42" t="str"/>
      <x:c r="S649" s="42" t="str"/>
      <x:c r="T649" s="42" t="str"/>
    </x:row>
    <x:row r="650">
      <x:c r="A650" s="42" t="str">
        <x:v>Rodrygo</x:v>
      </x:c>
      <x:c r="B650" s="42" t="n">
        <x:v>2028</x:v>
      </x:c>
      <x:c r="C650" s="42" t="str">
        <x:v>T1</x:v>
      </x:c>
      <x:c r="D650" s="44" t="n">
        <x:v>46843</x:v>
      </x:c>
      <x:c r="E650" s="42" t="str">
        <x:v>Meia-armador</x:v>
      </x:c>
      <x:c r="F650" s="42" t="str">
        <x:v>Real Madrid CF</x:v>
      </x:c>
      <x:c r="G650" s="46"/>
      <x:c r="H650" s="46"/>
      <x:c r="I650" s="46"/>
      <x:c r="J650" s="46"/>
      <x:c r="K650" s="46" t="str">
        <x:f>IF(COUNT(G650,I650)=0,"",AVERAGE(G650,I650))</x:f>
      </x:c>
      <x:c r="L650" s="46" t="str">
        <x:f>IF(COUNT(H650,J650)=0,"",AVERAGE(H650,J650))</x:f>
      </x:c>
      <x:c r="M650" s="46" t="str">
        <x:f>IF(OR(K650="",L650=""),"",L650-K650)</x:f>
      </x:c>
      <x:c r="N650" s="46" t="str">
        <x:f>IF(OR(K650="",A649&lt;&gt;A650,K649=""),"",K650-K649)</x:f>
      </x:c>
      <x:c r="O650" s="42" t="str">
        <x:v>Sem informação</x:v>
      </x:c>
      <x:c r="P650" s="42"/>
      <x:c r="Q650" s="42" t="str"/>
      <x:c r="R650" s="42" t="str"/>
      <x:c r="S650" s="42" t="str"/>
      <x:c r="T650" s="42" t="str"/>
    </x:row>
    <x:row r="651">
      <x:c r="A651" s="42" t="str">
        <x:v>Rodrygo</x:v>
      </x:c>
      <x:c r="B651" s="42" t="n">
        <x:v>2028</x:v>
      </x:c>
      <x:c r="C651" s="42" t="str">
        <x:v>T2</x:v>
      </x:c>
      <x:c r="D651" s="44" t="n">
        <x:v>46934</x:v>
      </x:c>
      <x:c r="E651" s="42" t="str">
        <x:v>Meia-armador</x:v>
      </x:c>
      <x:c r="F651" s="42" t="str">
        <x:v>Real Madrid CF</x:v>
      </x:c>
      <x:c r="G651" s="46"/>
      <x:c r="H651" s="46"/>
      <x:c r="I651" s="46"/>
      <x:c r="J651" s="46"/>
      <x:c r="K651" s="46" t="str">
        <x:f>IF(COUNT(G651,I651)=0,"",AVERAGE(G651,I651))</x:f>
      </x:c>
      <x:c r="L651" s="46" t="str">
        <x:f>IF(COUNT(H651,J651)=0,"",AVERAGE(H651,J651))</x:f>
      </x:c>
      <x:c r="M651" s="46" t="str">
        <x:f>IF(OR(K651="",L651=""),"",L651-K651)</x:f>
      </x:c>
      <x:c r="N651" s="46" t="str">
        <x:f>IF(OR(K651="",A650&lt;&gt;A651,K650=""),"",K651-K650)</x:f>
      </x:c>
      <x:c r="O651" s="42" t="str">
        <x:v>Sem informação</x:v>
      </x:c>
      <x:c r="P651" s="42"/>
      <x:c r="Q651" s="42" t="str"/>
      <x:c r="R651" s="42" t="str"/>
      <x:c r="S651" s="42" t="str"/>
      <x:c r="T651" s="42" t="str"/>
    </x:row>
    <x:row r="652">
      <x:c r="A652" s="42" t="str">
        <x:v>Rodrygo</x:v>
      </x:c>
      <x:c r="B652" s="42" t="n">
        <x:v>2028</x:v>
      </x:c>
      <x:c r="C652" s="42" t="str">
        <x:v>T3</x:v>
      </x:c>
      <x:c r="D652" s="44" t="n">
        <x:v>47026</x:v>
      </x:c>
      <x:c r="E652" s="42" t="str">
        <x:v>Meia-armador</x:v>
      </x:c>
      <x:c r="F652" s="42" t="str">
        <x:v>Real Madrid CF</x:v>
      </x:c>
      <x:c r="G652" s="46"/>
      <x:c r="H652" s="46"/>
      <x:c r="I652" s="46"/>
      <x:c r="J652" s="46"/>
      <x:c r="K652" s="46" t="str">
        <x:f>IF(COUNT(G652,I652)=0,"",AVERAGE(G652,I652))</x:f>
      </x:c>
      <x:c r="L652" s="46" t="str">
        <x:f>IF(COUNT(H652,J652)=0,"",AVERAGE(H652,J652))</x:f>
      </x:c>
      <x:c r="M652" s="46" t="str">
        <x:f>IF(OR(K652="",L652=""),"",L652-K652)</x:f>
      </x:c>
      <x:c r="N652" s="46" t="str">
        <x:f>IF(OR(K652="",A651&lt;&gt;A652,K651=""),"",K652-K651)</x:f>
      </x:c>
      <x:c r="O652" s="42" t="str">
        <x:v>Sem informação</x:v>
      </x:c>
      <x:c r="P652" s="42"/>
      <x:c r="Q652" s="42" t="str"/>
      <x:c r="R652" s="42" t="str"/>
      <x:c r="S652" s="42" t="str"/>
      <x:c r="T652" s="42" t="str"/>
    </x:row>
    <x:row r="653">
      <x:c r="A653" s="42" t="str">
        <x:v>Rodrygo</x:v>
      </x:c>
      <x:c r="B653" s="42" t="n">
        <x:v>2028</x:v>
      </x:c>
      <x:c r="C653" s="42" t="str">
        <x:v>T4</x:v>
      </x:c>
      <x:c r="D653" s="44" t="n">
        <x:v>47118</x:v>
      </x:c>
      <x:c r="E653" s="42" t="str">
        <x:v>Meia-armador</x:v>
      </x:c>
      <x:c r="F653" s="42" t="str">
        <x:v>Real Madrid CF</x:v>
      </x:c>
      <x:c r="G653" s="46"/>
      <x:c r="H653" s="46"/>
      <x:c r="I653" s="46"/>
      <x:c r="J653" s="46"/>
      <x:c r="K653" s="46" t="str">
        <x:f>IF(COUNT(G653,I653)=0,"",AVERAGE(G653,I653))</x:f>
      </x:c>
      <x:c r="L653" s="46" t="str">
        <x:f>IF(COUNT(H653,J653)=0,"",AVERAGE(H653,J653))</x:f>
      </x:c>
      <x:c r="M653" s="46" t="str">
        <x:f>IF(OR(K653="",L653=""),"",L653-K653)</x:f>
      </x:c>
      <x:c r="N653" s="46" t="str">
        <x:f>IF(OR(K653="",A652&lt;&gt;A653,K652=""),"",K653-K652)</x:f>
      </x:c>
      <x:c r="O653" s="42" t="str">
        <x:v>Sem informação</x:v>
      </x:c>
      <x:c r="P653" s="42"/>
      <x:c r="Q653" s="42" t="str"/>
      <x:c r="R653" s="42" t="str"/>
      <x:c r="S653" s="42" t="str"/>
      <x:c r="T653" s="42" t="str"/>
    </x:row>
    <x:row r="654">
      <x:c r="A654" s="42" t="str">
        <x:v>Rodrygo</x:v>
      </x:c>
      <x:c r="B654" s="42" t="n">
        <x:v>2029</x:v>
      </x:c>
      <x:c r="C654" s="42" t="str">
        <x:v>T1</x:v>
      </x:c>
      <x:c r="D654" s="44" t="n">
        <x:v>47208</x:v>
      </x:c>
      <x:c r="E654" s="42" t="str">
        <x:v>Meia-armador</x:v>
      </x:c>
      <x:c r="F654" s="42" t="str">
        <x:v>Real Madrid CF</x:v>
      </x:c>
      <x:c r="G654" s="46"/>
      <x:c r="H654" s="46"/>
      <x:c r="I654" s="46"/>
      <x:c r="J654" s="46"/>
      <x:c r="K654" s="46" t="str">
        <x:f>IF(COUNT(G654,I654)=0,"",AVERAGE(G654,I654))</x:f>
      </x:c>
      <x:c r="L654" s="46" t="str">
        <x:f>IF(COUNT(H654,J654)=0,"",AVERAGE(H654,J654))</x:f>
      </x:c>
      <x:c r="M654" s="46" t="str">
        <x:f>IF(OR(K654="",L654=""),"",L654-K654)</x:f>
      </x:c>
      <x:c r="N654" s="46" t="str">
        <x:f>IF(OR(K654="",A653&lt;&gt;A654,K653=""),"",K654-K653)</x:f>
      </x:c>
      <x:c r="O654" s="42" t="str">
        <x:v>Sem informação</x:v>
      </x:c>
      <x:c r="P654" s="42"/>
      <x:c r="Q654" s="42" t="str"/>
      <x:c r="R654" s="42" t="str"/>
      <x:c r="S654" s="42" t="str"/>
      <x:c r="T654" s="42" t="str"/>
    </x:row>
    <x:row r="655">
      <x:c r="A655" s="42" t="str">
        <x:v>Rodrygo</x:v>
      </x:c>
      <x:c r="B655" s="42" t="n">
        <x:v>2029</x:v>
      </x:c>
      <x:c r="C655" s="42" t="str">
        <x:v>T2</x:v>
      </x:c>
      <x:c r="D655" s="44" t="n">
        <x:v>47299</x:v>
      </x:c>
      <x:c r="E655" s="42" t="str">
        <x:v>Meia-armador</x:v>
      </x:c>
      <x:c r="F655" s="42" t="str">
        <x:v>Real Madrid CF</x:v>
      </x:c>
      <x:c r="G655" s="46"/>
      <x:c r="H655" s="46"/>
      <x:c r="I655" s="46"/>
      <x:c r="J655" s="46"/>
      <x:c r="K655" s="46" t="str">
        <x:f>IF(COUNT(G655,I655)=0,"",AVERAGE(G655,I655))</x:f>
      </x:c>
      <x:c r="L655" s="46" t="str">
        <x:f>IF(COUNT(H655,J655)=0,"",AVERAGE(H655,J655))</x:f>
      </x:c>
      <x:c r="M655" s="46" t="str">
        <x:f>IF(OR(K655="",L655=""),"",L655-K655)</x:f>
      </x:c>
      <x:c r="N655" s="46" t="str">
        <x:f>IF(OR(K655="",A654&lt;&gt;A655,K654=""),"",K655-K654)</x:f>
      </x:c>
      <x:c r="O655" s="42" t="str">
        <x:v>Sem informação</x:v>
      </x:c>
      <x:c r="P655" s="42"/>
      <x:c r="Q655" s="42" t="str"/>
      <x:c r="R655" s="42" t="str"/>
      <x:c r="S655" s="42" t="str"/>
      <x:c r="T655" s="42" t="str"/>
    </x:row>
    <x:row r="656">
      <x:c r="A656" s="42" t="str">
        <x:v>Rodrygo</x:v>
      </x:c>
      <x:c r="B656" s="42" t="n">
        <x:v>2029</x:v>
      </x:c>
      <x:c r="C656" s="42" t="str">
        <x:v>T3</x:v>
      </x:c>
      <x:c r="D656" s="44" t="n">
        <x:v>47391</x:v>
      </x:c>
      <x:c r="E656" s="42" t="str">
        <x:v>Meia-armador</x:v>
      </x:c>
      <x:c r="F656" s="42" t="str">
        <x:v>Real Madrid CF</x:v>
      </x:c>
      <x:c r="G656" s="46"/>
      <x:c r="H656" s="46"/>
      <x:c r="I656" s="46"/>
      <x:c r="J656" s="46"/>
      <x:c r="K656" s="46" t="str">
        <x:f>IF(COUNT(G656,I656)=0,"",AVERAGE(G656,I656))</x:f>
      </x:c>
      <x:c r="L656" s="46" t="str">
        <x:f>IF(COUNT(H656,J656)=0,"",AVERAGE(H656,J656))</x:f>
      </x:c>
      <x:c r="M656" s="46" t="str">
        <x:f>IF(OR(K656="",L656=""),"",L656-K656)</x:f>
      </x:c>
      <x:c r="N656" s="46" t="str">
        <x:f>IF(OR(K656="",A655&lt;&gt;A656,K655=""),"",K656-K655)</x:f>
      </x:c>
      <x:c r="O656" s="42" t="str">
        <x:v>Sem informação</x:v>
      </x:c>
      <x:c r="P656" s="42"/>
      <x:c r="Q656" s="42" t="str"/>
      <x:c r="R656" s="42" t="str"/>
      <x:c r="S656" s="42" t="str"/>
      <x:c r="T656" s="42" t="str"/>
    </x:row>
    <x:row r="657">
      <x:c r="A657" s="42" t="str">
        <x:v>Rodrygo</x:v>
      </x:c>
      <x:c r="B657" s="42" t="n">
        <x:v>2029</x:v>
      </x:c>
      <x:c r="C657" s="42" t="str">
        <x:v>T4</x:v>
      </x:c>
      <x:c r="D657" s="44" t="n">
        <x:v>47483</x:v>
      </x:c>
      <x:c r="E657" s="42" t="str">
        <x:v>Meia-armador</x:v>
      </x:c>
      <x:c r="F657" s="42" t="str">
        <x:v>Real Madrid CF</x:v>
      </x:c>
      <x:c r="G657" s="46"/>
      <x:c r="H657" s="46"/>
      <x:c r="I657" s="46"/>
      <x:c r="J657" s="46"/>
      <x:c r="K657" s="46" t="str">
        <x:f>IF(COUNT(G657,I657)=0,"",AVERAGE(G657,I657))</x:f>
      </x:c>
      <x:c r="L657" s="46" t="str">
        <x:f>IF(COUNT(H657,J657)=0,"",AVERAGE(H657,J657))</x:f>
      </x:c>
      <x:c r="M657" s="46" t="str">
        <x:f>IF(OR(K657="",L657=""),"",L657-K657)</x:f>
      </x:c>
      <x:c r="N657" s="46" t="str">
        <x:f>IF(OR(K657="",A656&lt;&gt;A657,K656=""),"",K657-K656)</x:f>
      </x:c>
      <x:c r="O657" s="42" t="str">
        <x:v>Sem informação</x:v>
      </x:c>
      <x:c r="P657" s="42"/>
      <x:c r="Q657" s="42" t="str"/>
      <x:c r="R657" s="42" t="str"/>
      <x:c r="S657" s="42" t="str"/>
      <x:c r="T657" s="42" t="str"/>
    </x:row>
    <x:row r="658">
      <x:c r="A658" s="42" t="str">
        <x:v>Rodrygo</x:v>
      </x:c>
      <x:c r="B658" s="42" t="n">
        <x:v>2030</x:v>
      </x:c>
      <x:c r="C658" s="42" t="str">
        <x:v>T1</x:v>
      </x:c>
      <x:c r="D658" s="44" t="n">
        <x:v>47573</x:v>
      </x:c>
      <x:c r="E658" s="42" t="str">
        <x:v>Meia-armador</x:v>
      </x:c>
      <x:c r="F658" s="42" t="str">
        <x:v>Real Madrid CF</x:v>
      </x:c>
      <x:c r="G658" s="46"/>
      <x:c r="H658" s="46"/>
      <x:c r="I658" s="46"/>
      <x:c r="J658" s="46"/>
      <x:c r="K658" s="46" t="str">
        <x:f>IF(COUNT(G658,I658)=0,"",AVERAGE(G658,I658))</x:f>
      </x:c>
      <x:c r="L658" s="46" t="str">
        <x:f>IF(COUNT(H658,J658)=0,"",AVERAGE(H658,J658))</x:f>
      </x:c>
      <x:c r="M658" s="46" t="str">
        <x:f>IF(OR(K658="",L658=""),"",L658-K658)</x:f>
      </x:c>
      <x:c r="N658" s="46" t="str">
        <x:f>IF(OR(K658="",A657&lt;&gt;A658,K657=""),"",K658-K657)</x:f>
      </x:c>
      <x:c r="O658" s="42" t="str">
        <x:v>Sem informação</x:v>
      </x:c>
      <x:c r="P658" s="42"/>
      <x:c r="Q658" s="42" t="str"/>
      <x:c r="R658" s="42" t="str"/>
      <x:c r="S658" s="42" t="str"/>
      <x:c r="T658" s="42" t="str"/>
    </x:row>
    <x:row r="659">
      <x:c r="A659" s="42" t="str">
        <x:v>Rodrygo</x:v>
      </x:c>
      <x:c r="B659" s="42" t="n">
        <x:v>2030</x:v>
      </x:c>
      <x:c r="C659" s="42" t="str">
        <x:v>T2</x:v>
      </x:c>
      <x:c r="D659" s="44" t="n">
        <x:v>47664</x:v>
      </x:c>
      <x:c r="E659" s="42" t="str">
        <x:v>Meia-armador</x:v>
      </x:c>
      <x:c r="F659" s="42" t="str">
        <x:v>Real Madrid CF</x:v>
      </x:c>
      <x:c r="G659" s="46"/>
      <x:c r="H659" s="46"/>
      <x:c r="I659" s="46"/>
      <x:c r="J659" s="46"/>
      <x:c r="K659" s="46" t="str">
        <x:f>IF(COUNT(G659,I659)=0,"",AVERAGE(G659,I659))</x:f>
      </x:c>
      <x:c r="L659" s="46" t="str">
        <x:f>IF(COUNT(H659,J659)=0,"",AVERAGE(H659,J659))</x:f>
      </x:c>
      <x:c r="M659" s="46" t="str">
        <x:f>IF(OR(K659="",L659=""),"",L659-K659)</x:f>
      </x:c>
      <x:c r="N659" s="46" t="str">
        <x:f>IF(OR(K659="",A658&lt;&gt;A659,K658=""),"",K659-K658)</x:f>
      </x:c>
      <x:c r="O659" s="42" t="str">
        <x:v>Sem informação</x:v>
      </x:c>
      <x:c r="P659" s="42"/>
      <x:c r="Q659" s="42" t="str"/>
      <x:c r="R659" s="42" t="str"/>
      <x:c r="S659" s="42" t="str"/>
      <x:c r="T659" s="42" t="str"/>
    </x:row>
    <x:row r="660">
      <x:c r="A660" s="42" t="str">
        <x:v>Rodrygo</x:v>
      </x:c>
      <x:c r="B660" s="42" t="n">
        <x:v>2030</x:v>
      </x:c>
      <x:c r="C660" s="42" t="str">
        <x:v>T3</x:v>
      </x:c>
      <x:c r="D660" s="44" t="n">
        <x:v>47756</x:v>
      </x:c>
      <x:c r="E660" s="42" t="str">
        <x:v>Meia-armador</x:v>
      </x:c>
      <x:c r="F660" s="42" t="str">
        <x:v>Real Madrid CF</x:v>
      </x:c>
      <x:c r="G660" s="46"/>
      <x:c r="H660" s="46"/>
      <x:c r="I660" s="46"/>
      <x:c r="J660" s="46"/>
      <x:c r="K660" s="46" t="str">
        <x:f>IF(COUNT(G660,I660)=0,"",AVERAGE(G660,I660))</x:f>
      </x:c>
      <x:c r="L660" s="46" t="str">
        <x:f>IF(COUNT(H660,J660)=0,"",AVERAGE(H660,J660))</x:f>
      </x:c>
      <x:c r="M660" s="46" t="str">
        <x:f>IF(OR(K660="",L660=""),"",L660-K660)</x:f>
      </x:c>
      <x:c r="N660" s="46" t="str">
        <x:f>IF(OR(K660="",A659&lt;&gt;A660,K659=""),"",K660-K659)</x:f>
      </x:c>
      <x:c r="O660" s="42" t="str">
        <x:v>Sem informação</x:v>
      </x:c>
      <x:c r="P660" s="42"/>
      <x:c r="Q660" s="42" t="str"/>
      <x:c r="R660" s="42" t="str"/>
      <x:c r="S660" s="42" t="str"/>
      <x:c r="T660" s="42" t="str"/>
    </x:row>
    <x:row r="661">
      <x:c r="A661" s="42" t="str">
        <x:v>Rodrygo</x:v>
      </x:c>
      <x:c r="B661" s="42" t="n">
        <x:v>2030</x:v>
      </x:c>
      <x:c r="C661" s="42" t="str">
        <x:v>T4</x:v>
      </x:c>
      <x:c r="D661" s="44" t="n">
        <x:v>47848</x:v>
      </x:c>
      <x:c r="E661" s="42" t="str">
        <x:v>Meia-armador</x:v>
      </x:c>
      <x:c r="F661" s="42" t="str">
        <x:v>Real Madrid CF</x:v>
      </x:c>
      <x:c r="G661" s="46"/>
      <x:c r="H661" s="46"/>
      <x:c r="I661" s="46"/>
      <x:c r="J661" s="46"/>
      <x:c r="K661" s="46" t="str">
        <x:f>IF(COUNT(G661,I661)=0,"",AVERAGE(G661,I661))</x:f>
      </x:c>
      <x:c r="L661" s="46" t="str">
        <x:f>IF(COUNT(H661,J661)=0,"",AVERAGE(H661,J661))</x:f>
      </x:c>
      <x:c r="M661" s="46" t="str">
        <x:f>IF(OR(K661="",L661=""),"",L661-K661)</x:f>
      </x:c>
      <x:c r="N661" s="46" t="str">
        <x:f>IF(OR(K661="",A660&lt;&gt;A661,K660=""),"",K661-K660)</x:f>
      </x:c>
      <x:c r="O661" s="42" t="str">
        <x:v>Sem informação</x:v>
      </x:c>
      <x:c r="P661" s="42"/>
      <x:c r="Q661" s="42" t="str"/>
      <x:c r="R661" s="42" t="str"/>
      <x:c r="S661" s="42" t="str"/>
      <x:c r="T661" s="42" t="str"/>
    </x:row>
    <x:row r="662">
      <x:c r="A662" s="42" t="str">
        <x:v>Vinicius Junior</x:v>
      </x:c>
      <x:c r="B662" s="42" t="n">
        <x:v>2026</x:v>
      </x:c>
      <x:c r="C662" s="42" t="str">
        <x:v>T1</x:v>
      </x:c>
      <x:c r="D662" s="44" t="n">
        <x:v>46112</x:v>
      </x:c>
      <x:c r="E662" s="42" t="str">
        <x:v>Ponta-esquerda</x:v>
      </x:c>
      <x:c r="F662" s="42" t="str">
        <x:v>Real Madrid CF</x:v>
      </x:c>
      <x:c r="G662" s="46"/>
      <x:c r="H662" s="46"/>
      <x:c r="I662" s="46"/>
      <x:c r="J662" s="46"/>
      <x:c r="K662" s="46" t="str">
        <x:f>IF(COUNT(G662,I662)=0,"",AVERAGE(G662,I662))</x:f>
      </x:c>
      <x:c r="L662" s="46" t="str">
        <x:f>IF(COUNT(H662,J662)=0,"",AVERAGE(H662,J662))</x:f>
      </x:c>
      <x:c r="M662" s="46" t="str">
        <x:f>IF(OR(K662="",L662=""),"",L662-K662)</x:f>
      </x:c>
      <x:c r="N662" s="46" t="str">
        <x:f>IF(OR(K662="",A661&lt;&gt;A662,K661=""),"",K662-K661)</x:f>
      </x:c>
      <x:c r="O662" s="42" t="str">
        <x:v>Sem informação</x:v>
      </x:c>
      <x:c r="P662" s="42"/>
      <x:c r="Q662" s="42" t="str"/>
      <x:c r="R662" s="42" t="str"/>
      <x:c r="S662" s="42" t="str"/>
      <x:c r="T662" s="42" t="str"/>
    </x:row>
    <x:row r="663">
      <x:c r="A663" s="42" t="str">
        <x:v>Vinicius Junior</x:v>
      </x:c>
      <x:c r="B663" s="42" t="n">
        <x:v>2026</x:v>
      </x:c>
      <x:c r="C663" s="42" t="str">
        <x:v>T2</x:v>
      </x:c>
      <x:c r="D663" s="44" t="n">
        <x:v>46203</x:v>
      </x:c>
      <x:c r="E663" s="42" t="str">
        <x:v>Ponta-esquerda</x:v>
      </x:c>
      <x:c r="F663" s="42" t="str">
        <x:v>Real Madrid CF</x:v>
      </x:c>
      <x:c r="G663" s="46" t="n">
        <x:v>9</x:v>
      </x:c>
      <x:c r="H663" s="46" t="n">
        <x:v>8.5</x:v>
      </x:c>
      <x:c r="I663" s="46" t="n">
        <x:v>10</x:v>
      </x:c>
      <x:c r="J663" s="46" t="n">
        <x:v>9</x:v>
      </x:c>
      <x:c r="K663" s="46" t="n">
        <x:f>IF(COUNT(G663,I663)=0,"",AVERAGE(G663,I663))</x:f>
        <x:v>9.5</x:v>
      </x:c>
      <x:c r="L663" s="46" t="n">
        <x:f>IF(COUNT(H663,J663)=0,"",AVERAGE(H663,J663))</x:f>
        <x:v>8.75</x:v>
      </x:c>
      <x:c r="M663" s="46" t="n">
        <x:f>IF(OR(K663="",L663=""),"",L663-K663)</x:f>
        <x:v>-0.75</x:v>
      </x:c>
      <x:c r="N663" s="46" t="str">
        <x:f>IF(OR(K663="",A662&lt;&gt;A663,K662=""),"",K663-K662)</x:f>
      </x:c>
      <x:c r="O663" s="42" t="str">
        <x:v>Sem informação</x:v>
      </x:c>
      <x:c r="P663" s="42"/>
      <x:c r="Q663" s="42" t="str">
        <x:v>Melhor jogador brasileiro hoje, mas depende muito do físico, o que sempre é um risco com o passar dos anos. Para ser um ponta completo, seria bom trabalhar mais a perna esquerda, mas não sei o quanto isso é complicado para ele.</x:v>
      </x:c>
      <x:c r="R663" s="42" t="str">
        <x:v>Depende muito do físico. A ver evolução dessa parte no ciclo.</x:v>
      </x:c>
      <x:c r="S663" s="42" t="str"/>
      <x:c r="T663" s="42" t="str"/>
    </x:row>
    <x:row r="664">
      <x:c r="A664" s="42" t="str">
        <x:v>Vinicius Junior</x:v>
      </x:c>
      <x:c r="B664" s="42" t="n">
        <x:v>2026</x:v>
      </x:c>
      <x:c r="C664" s="42" t="str">
        <x:v>T3</x:v>
      </x:c>
      <x:c r="D664" s="44" t="n">
        <x:v>46295</x:v>
      </x:c>
      <x:c r="E664" s="42" t="str">
        <x:v>Ponta-esquerda</x:v>
      </x:c>
      <x:c r="F664" s="42" t="str">
        <x:v>Real Madrid CF</x:v>
      </x:c>
      <x:c r="G664" s="46"/>
      <x:c r="H664" s="46"/>
      <x:c r="I664" s="46"/>
      <x:c r="J664" s="46"/>
      <x:c r="K664" s="46" t="str">
        <x:f>IF(COUNT(G664,I664)=0,"",AVERAGE(G664,I664))</x:f>
      </x:c>
      <x:c r="L664" s="46" t="str">
        <x:f>IF(COUNT(H664,J664)=0,"",AVERAGE(H664,J664))</x:f>
      </x:c>
      <x:c r="M664" s="46" t="str">
        <x:f>IF(OR(K664="",L664=""),"",L664-K664)</x:f>
      </x:c>
      <x:c r="N664" s="46" t="str">
        <x:f>IF(OR(K664="",A663&lt;&gt;A664,K663=""),"",K664-K663)</x:f>
      </x:c>
      <x:c r="O664" s="42" t="str">
        <x:v>Sem informação</x:v>
      </x:c>
      <x:c r="P664" s="42"/>
      <x:c r="Q664" s="42" t="str"/>
      <x:c r="R664" s="42" t="str"/>
      <x:c r="S664" s="42" t="str"/>
      <x:c r="T664" s="42" t="str"/>
    </x:row>
    <x:row r="665">
      <x:c r="A665" s="42" t="str">
        <x:v>Vinicius Junior</x:v>
      </x:c>
      <x:c r="B665" s="42" t="n">
        <x:v>2026</x:v>
      </x:c>
      <x:c r="C665" s="42" t="str">
        <x:v>T4</x:v>
      </x:c>
      <x:c r="D665" s="44" t="n">
        <x:v>46387</x:v>
      </x:c>
      <x:c r="E665" s="42" t="str">
        <x:v>Ponta-esquerda</x:v>
      </x:c>
      <x:c r="F665" s="42" t="str">
        <x:v>Real Madrid CF</x:v>
      </x:c>
      <x:c r="G665" s="46"/>
      <x:c r="H665" s="46"/>
      <x:c r="I665" s="46"/>
      <x:c r="J665" s="46"/>
      <x:c r="K665" s="46" t="str">
        <x:f>IF(COUNT(G665,I665)=0,"",AVERAGE(G665,I665))</x:f>
      </x:c>
      <x:c r="L665" s="46" t="str">
        <x:f>IF(COUNT(H665,J665)=0,"",AVERAGE(H665,J665))</x:f>
      </x:c>
      <x:c r="M665" s="46" t="str">
        <x:f>IF(OR(K665="",L665=""),"",L665-K665)</x:f>
      </x:c>
      <x:c r="N665" s="46" t="str">
        <x:f>IF(OR(K665="",A664&lt;&gt;A665,K664=""),"",K665-K664)</x:f>
      </x:c>
      <x:c r="O665" s="42" t="str">
        <x:v>Sem informação</x:v>
      </x:c>
      <x:c r="P665" s="42"/>
      <x:c r="Q665" s="42" t="str"/>
      <x:c r="R665" s="42" t="str"/>
      <x:c r="S665" s="42" t="str"/>
      <x:c r="T665" s="42" t="str"/>
    </x:row>
    <x:row r="666">
      <x:c r="A666" s="42" t="str">
        <x:v>Vinicius Junior</x:v>
      </x:c>
      <x:c r="B666" s="42" t="n">
        <x:v>2027</x:v>
      </x:c>
      <x:c r="C666" s="42" t="str">
        <x:v>T1</x:v>
      </x:c>
      <x:c r="D666" s="44" t="n">
        <x:v>46477</x:v>
      </x:c>
      <x:c r="E666" s="42" t="str">
        <x:v>Ponta-esquerda</x:v>
      </x:c>
      <x:c r="F666" s="42" t="str">
        <x:v>Real Madrid CF</x:v>
      </x:c>
      <x:c r="G666" s="46"/>
      <x:c r="H666" s="46"/>
      <x:c r="I666" s="46"/>
      <x:c r="J666" s="46"/>
      <x:c r="K666" s="46" t="str">
        <x:f>IF(COUNT(G666,I666)=0,"",AVERAGE(G666,I666))</x:f>
      </x:c>
      <x:c r="L666" s="46" t="str">
        <x:f>IF(COUNT(H666,J666)=0,"",AVERAGE(H666,J666))</x:f>
      </x:c>
      <x:c r="M666" s="46" t="str">
        <x:f>IF(OR(K666="",L666=""),"",L666-K666)</x:f>
      </x:c>
      <x:c r="N666" s="46" t="str">
        <x:f>IF(OR(K666="",A665&lt;&gt;A666,K665=""),"",K666-K665)</x:f>
      </x:c>
      <x:c r="O666" s="42" t="str">
        <x:v>Sem informação</x:v>
      </x:c>
      <x:c r="P666" s="42"/>
      <x:c r="Q666" s="42" t="str"/>
      <x:c r="R666" s="42" t="str"/>
      <x:c r="S666" s="42" t="str"/>
      <x:c r="T666" s="42" t="str"/>
    </x:row>
    <x:row r="667">
      <x:c r="A667" s="42" t="str">
        <x:v>Vinicius Junior</x:v>
      </x:c>
      <x:c r="B667" s="42" t="n">
        <x:v>2027</x:v>
      </x:c>
      <x:c r="C667" s="42" t="str">
        <x:v>T2</x:v>
      </x:c>
      <x:c r="D667" s="44" t="n">
        <x:v>46568</x:v>
      </x:c>
      <x:c r="E667" s="42" t="str">
        <x:v>Ponta-esquerda</x:v>
      </x:c>
      <x:c r="F667" s="42" t="str">
        <x:v>Real Madrid CF</x:v>
      </x:c>
      <x:c r="G667" s="46"/>
      <x:c r="H667" s="46"/>
      <x:c r="I667" s="46"/>
      <x:c r="J667" s="46"/>
      <x:c r="K667" s="46" t="str">
        <x:f>IF(COUNT(G667,I667)=0,"",AVERAGE(G667,I667))</x:f>
      </x:c>
      <x:c r="L667" s="46" t="str">
        <x:f>IF(COUNT(H667,J667)=0,"",AVERAGE(H667,J667))</x:f>
      </x:c>
      <x:c r="M667" s="46" t="str">
        <x:f>IF(OR(K667="",L667=""),"",L667-K667)</x:f>
      </x:c>
      <x:c r="N667" s="46" t="str">
        <x:f>IF(OR(K667="",A666&lt;&gt;A667,K666=""),"",K667-K666)</x:f>
      </x:c>
      <x:c r="O667" s="42" t="str">
        <x:v>Sem informação</x:v>
      </x:c>
      <x:c r="P667" s="42"/>
      <x:c r="Q667" s="42" t="str"/>
      <x:c r="R667" s="42" t="str"/>
      <x:c r="S667" s="42" t="str"/>
      <x:c r="T667" s="42" t="str"/>
    </x:row>
    <x:row r="668">
      <x:c r="A668" s="42" t="str">
        <x:v>Vinicius Junior</x:v>
      </x:c>
      <x:c r="B668" s="42" t="n">
        <x:v>2027</x:v>
      </x:c>
      <x:c r="C668" s="42" t="str">
        <x:v>T3</x:v>
      </x:c>
      <x:c r="D668" s="44" t="n">
        <x:v>46660</x:v>
      </x:c>
      <x:c r="E668" s="42" t="str">
        <x:v>Ponta-esquerda</x:v>
      </x:c>
      <x:c r="F668" s="42" t="str">
        <x:v>Real Madrid CF</x:v>
      </x:c>
      <x:c r="G668" s="46"/>
      <x:c r="H668" s="46"/>
      <x:c r="I668" s="46"/>
      <x:c r="J668" s="46"/>
      <x:c r="K668" s="46" t="str">
        <x:f>IF(COUNT(G668,I668)=0,"",AVERAGE(G668,I668))</x:f>
      </x:c>
      <x:c r="L668" s="46" t="str">
        <x:f>IF(COUNT(H668,J668)=0,"",AVERAGE(H668,J668))</x:f>
      </x:c>
      <x:c r="M668" s="46" t="str">
        <x:f>IF(OR(K668="",L668=""),"",L668-K668)</x:f>
      </x:c>
      <x:c r="N668" s="46" t="str">
        <x:f>IF(OR(K668="",A667&lt;&gt;A668,K667=""),"",K668-K667)</x:f>
      </x:c>
      <x:c r="O668" s="42" t="str">
        <x:v>Sem informação</x:v>
      </x:c>
      <x:c r="P668" s="42"/>
      <x:c r="Q668" s="42" t="str"/>
      <x:c r="R668" s="42" t="str"/>
      <x:c r="S668" s="42" t="str"/>
      <x:c r="T668" s="42" t="str"/>
    </x:row>
    <x:row r="669">
      <x:c r="A669" s="42" t="str">
        <x:v>Vinicius Junior</x:v>
      </x:c>
      <x:c r="B669" s="42" t="n">
        <x:v>2027</x:v>
      </x:c>
      <x:c r="C669" s="42" t="str">
        <x:v>T4</x:v>
      </x:c>
      <x:c r="D669" s="44" t="n">
        <x:v>46752</x:v>
      </x:c>
      <x:c r="E669" s="42" t="str">
        <x:v>Ponta-esquerda</x:v>
      </x:c>
      <x:c r="F669" s="42" t="str">
        <x:v>Real Madrid CF</x:v>
      </x:c>
      <x:c r="G669" s="46"/>
      <x:c r="H669" s="46"/>
      <x:c r="I669" s="46"/>
      <x:c r="J669" s="46"/>
      <x:c r="K669" s="46" t="str">
        <x:f>IF(COUNT(G669,I669)=0,"",AVERAGE(G669,I669))</x:f>
      </x:c>
      <x:c r="L669" s="46" t="str">
        <x:f>IF(COUNT(H669,J669)=0,"",AVERAGE(H669,J669))</x:f>
      </x:c>
      <x:c r="M669" s="46" t="str">
        <x:f>IF(OR(K669="",L669=""),"",L669-K669)</x:f>
      </x:c>
      <x:c r="N669" s="46" t="str">
        <x:f>IF(OR(K669="",A668&lt;&gt;A669,K668=""),"",K669-K668)</x:f>
      </x:c>
      <x:c r="O669" s="42" t="str">
        <x:v>Sem informação</x:v>
      </x:c>
      <x:c r="P669" s="42"/>
      <x:c r="Q669" s="42" t="str"/>
      <x:c r="R669" s="42" t="str"/>
      <x:c r="S669" s="42" t="str"/>
      <x:c r="T669" s="42" t="str"/>
    </x:row>
    <x:row r="670">
      <x:c r="A670" s="42" t="str">
        <x:v>Vinicius Junior</x:v>
      </x:c>
      <x:c r="B670" s="42" t="n">
        <x:v>2028</x:v>
      </x:c>
      <x:c r="C670" s="42" t="str">
        <x:v>T1</x:v>
      </x:c>
      <x:c r="D670" s="44" t="n">
        <x:v>46843</x:v>
      </x:c>
      <x:c r="E670" s="42" t="str">
        <x:v>Ponta-esquerda</x:v>
      </x:c>
      <x:c r="F670" s="42" t="str">
        <x:v>Real Madrid CF</x:v>
      </x:c>
      <x:c r="G670" s="46"/>
      <x:c r="H670" s="46"/>
      <x:c r="I670" s="46"/>
      <x:c r="J670" s="46"/>
      <x:c r="K670" s="46" t="str">
        <x:f>IF(COUNT(G670,I670)=0,"",AVERAGE(G670,I670))</x:f>
      </x:c>
      <x:c r="L670" s="46" t="str">
        <x:f>IF(COUNT(H670,J670)=0,"",AVERAGE(H670,J670))</x:f>
      </x:c>
      <x:c r="M670" s="46" t="str">
        <x:f>IF(OR(K670="",L670=""),"",L670-K670)</x:f>
      </x:c>
      <x:c r="N670" s="46" t="str">
        <x:f>IF(OR(K670="",A669&lt;&gt;A670,K669=""),"",K670-K669)</x:f>
      </x:c>
      <x:c r="O670" s="42" t="str">
        <x:v>Sem informação</x:v>
      </x:c>
      <x:c r="P670" s="42"/>
      <x:c r="Q670" s="42" t="str"/>
      <x:c r="R670" s="42" t="str"/>
      <x:c r="S670" s="42" t="str"/>
      <x:c r="T670" s="42" t="str"/>
    </x:row>
    <x:row r="671">
      <x:c r="A671" s="42" t="str">
        <x:v>Vinicius Junior</x:v>
      </x:c>
      <x:c r="B671" s="42" t="n">
        <x:v>2028</x:v>
      </x:c>
      <x:c r="C671" s="42" t="str">
        <x:v>T2</x:v>
      </x:c>
      <x:c r="D671" s="44" t="n">
        <x:v>46934</x:v>
      </x:c>
      <x:c r="E671" s="42" t="str">
        <x:v>Ponta-esquerda</x:v>
      </x:c>
      <x:c r="F671" s="42" t="str">
        <x:v>Real Madrid CF</x:v>
      </x:c>
      <x:c r="G671" s="46"/>
      <x:c r="H671" s="46"/>
      <x:c r="I671" s="46"/>
      <x:c r="J671" s="46"/>
      <x:c r="K671" s="46" t="str">
        <x:f>IF(COUNT(G671,I671)=0,"",AVERAGE(G671,I671))</x:f>
      </x:c>
      <x:c r="L671" s="46" t="str">
        <x:f>IF(COUNT(H671,J671)=0,"",AVERAGE(H671,J671))</x:f>
      </x:c>
      <x:c r="M671" s="46" t="str">
        <x:f>IF(OR(K671="",L671=""),"",L671-K671)</x:f>
      </x:c>
      <x:c r="N671" s="46" t="str">
        <x:f>IF(OR(K671="",A670&lt;&gt;A671,K670=""),"",K671-K670)</x:f>
      </x:c>
      <x:c r="O671" s="42" t="str">
        <x:v>Sem informação</x:v>
      </x:c>
      <x:c r="P671" s="42"/>
      <x:c r="Q671" s="42" t="str"/>
      <x:c r="R671" s="42" t="str"/>
      <x:c r="S671" s="42" t="str"/>
      <x:c r="T671" s="42" t="str"/>
    </x:row>
    <x:row r="672">
      <x:c r="A672" s="42" t="str">
        <x:v>Vinicius Junior</x:v>
      </x:c>
      <x:c r="B672" s="42" t="n">
        <x:v>2028</x:v>
      </x:c>
      <x:c r="C672" s="42" t="str">
        <x:v>T3</x:v>
      </x:c>
      <x:c r="D672" s="44" t="n">
        <x:v>47026</x:v>
      </x:c>
      <x:c r="E672" s="42" t="str">
        <x:v>Ponta-esquerda</x:v>
      </x:c>
      <x:c r="F672" s="42" t="str">
        <x:v>Real Madrid CF</x:v>
      </x:c>
      <x:c r="G672" s="46"/>
      <x:c r="H672" s="46"/>
      <x:c r="I672" s="46"/>
      <x:c r="J672" s="46"/>
      <x:c r="K672" s="46" t="str">
        <x:f>IF(COUNT(G672,I672)=0,"",AVERAGE(G672,I672))</x:f>
      </x:c>
      <x:c r="L672" s="46" t="str">
        <x:f>IF(COUNT(H672,J672)=0,"",AVERAGE(H672,J672))</x:f>
      </x:c>
      <x:c r="M672" s="46" t="str">
        <x:f>IF(OR(K672="",L672=""),"",L672-K672)</x:f>
      </x:c>
      <x:c r="N672" s="46" t="str">
        <x:f>IF(OR(K672="",A671&lt;&gt;A672,K671=""),"",K672-K671)</x:f>
      </x:c>
      <x:c r="O672" s="42" t="str">
        <x:v>Sem informação</x:v>
      </x:c>
      <x:c r="P672" s="42"/>
      <x:c r="Q672" s="42" t="str"/>
      <x:c r="R672" s="42" t="str"/>
      <x:c r="S672" s="42" t="str"/>
      <x:c r="T672" s="42" t="str"/>
    </x:row>
    <x:row r="673">
      <x:c r="A673" s="42" t="str">
        <x:v>Vinicius Junior</x:v>
      </x:c>
      <x:c r="B673" s="42" t="n">
        <x:v>2028</x:v>
      </x:c>
      <x:c r="C673" s="42" t="str">
        <x:v>T4</x:v>
      </x:c>
      <x:c r="D673" s="44" t="n">
        <x:v>47118</x:v>
      </x:c>
      <x:c r="E673" s="42" t="str">
        <x:v>Ponta-esquerda</x:v>
      </x:c>
      <x:c r="F673" s="42" t="str">
        <x:v>Real Madrid CF</x:v>
      </x:c>
      <x:c r="G673" s="46"/>
      <x:c r="H673" s="46"/>
      <x:c r="I673" s="46"/>
      <x:c r="J673" s="46"/>
      <x:c r="K673" s="46" t="str">
        <x:f>IF(COUNT(G673,I673)=0,"",AVERAGE(G673,I673))</x:f>
      </x:c>
      <x:c r="L673" s="46" t="str">
        <x:f>IF(COUNT(H673,J673)=0,"",AVERAGE(H673,J673))</x:f>
      </x:c>
      <x:c r="M673" s="46" t="str">
        <x:f>IF(OR(K673="",L673=""),"",L673-K673)</x:f>
      </x:c>
      <x:c r="N673" s="46" t="str">
        <x:f>IF(OR(K673="",A672&lt;&gt;A673,K672=""),"",K673-K672)</x:f>
      </x:c>
      <x:c r="O673" s="42" t="str">
        <x:v>Sem informação</x:v>
      </x:c>
      <x:c r="P673" s="42"/>
      <x:c r="Q673" s="42" t="str"/>
      <x:c r="R673" s="42" t="str"/>
      <x:c r="S673" s="42" t="str"/>
      <x:c r="T673" s="42" t="str"/>
    </x:row>
    <x:row r="674">
      <x:c r="A674" s="42" t="str">
        <x:v>Vinicius Junior</x:v>
      </x:c>
      <x:c r="B674" s="42" t="n">
        <x:v>2029</x:v>
      </x:c>
      <x:c r="C674" s="42" t="str">
        <x:v>T1</x:v>
      </x:c>
      <x:c r="D674" s="44" t="n">
        <x:v>47208</x:v>
      </x:c>
      <x:c r="E674" s="42" t="str">
        <x:v>Ponta-esquerda</x:v>
      </x:c>
      <x:c r="F674" s="42" t="str">
        <x:v>Real Madrid CF</x:v>
      </x:c>
      <x:c r="G674" s="46"/>
      <x:c r="H674" s="46"/>
      <x:c r="I674" s="46"/>
      <x:c r="J674" s="46"/>
      <x:c r="K674" s="46" t="str">
        <x:f>IF(COUNT(G674,I674)=0,"",AVERAGE(G674,I674))</x:f>
      </x:c>
      <x:c r="L674" s="46" t="str">
        <x:f>IF(COUNT(H674,J674)=0,"",AVERAGE(H674,J674))</x:f>
      </x:c>
      <x:c r="M674" s="46" t="str">
        <x:f>IF(OR(K674="",L674=""),"",L674-K674)</x:f>
      </x:c>
      <x:c r="N674" s="46" t="str">
        <x:f>IF(OR(K674="",A673&lt;&gt;A674,K673=""),"",K674-K673)</x:f>
      </x:c>
      <x:c r="O674" s="42" t="str">
        <x:v>Sem informação</x:v>
      </x:c>
      <x:c r="P674" s="42"/>
      <x:c r="Q674" s="42" t="str"/>
      <x:c r="R674" s="42" t="str"/>
      <x:c r="S674" s="42" t="str"/>
      <x:c r="T674" s="42" t="str"/>
    </x:row>
    <x:row r="675">
      <x:c r="A675" s="42" t="str">
        <x:v>Vinicius Junior</x:v>
      </x:c>
      <x:c r="B675" s="42" t="n">
        <x:v>2029</x:v>
      </x:c>
      <x:c r="C675" s="42" t="str">
        <x:v>T2</x:v>
      </x:c>
      <x:c r="D675" s="44" t="n">
        <x:v>47299</x:v>
      </x:c>
      <x:c r="E675" s="42" t="str">
        <x:v>Ponta-esquerda</x:v>
      </x:c>
      <x:c r="F675" s="42" t="str">
        <x:v>Real Madrid CF</x:v>
      </x:c>
      <x:c r="G675" s="46"/>
      <x:c r="H675" s="46"/>
      <x:c r="I675" s="46"/>
      <x:c r="J675" s="46"/>
      <x:c r="K675" s="46" t="str">
        <x:f>IF(COUNT(G675,I675)=0,"",AVERAGE(G675,I675))</x:f>
      </x:c>
      <x:c r="L675" s="46" t="str">
        <x:f>IF(COUNT(H675,J675)=0,"",AVERAGE(H675,J675))</x:f>
      </x:c>
      <x:c r="M675" s="46" t="str">
        <x:f>IF(OR(K675="",L675=""),"",L675-K675)</x:f>
      </x:c>
      <x:c r="N675" s="46" t="str">
        <x:f>IF(OR(K675="",A674&lt;&gt;A675,K674=""),"",K675-K674)</x:f>
      </x:c>
      <x:c r="O675" s="42" t="str">
        <x:v>Sem informação</x:v>
      </x:c>
      <x:c r="P675" s="42"/>
      <x:c r="Q675" s="42" t="str"/>
      <x:c r="R675" s="42" t="str"/>
      <x:c r="S675" s="42" t="str"/>
      <x:c r="T675" s="42" t="str"/>
    </x:row>
    <x:row r="676">
      <x:c r="A676" s="42" t="str">
        <x:v>Vinicius Junior</x:v>
      </x:c>
      <x:c r="B676" s="42" t="n">
        <x:v>2029</x:v>
      </x:c>
      <x:c r="C676" s="42" t="str">
        <x:v>T3</x:v>
      </x:c>
      <x:c r="D676" s="44" t="n">
        <x:v>47391</x:v>
      </x:c>
      <x:c r="E676" s="42" t="str">
        <x:v>Ponta-esquerda</x:v>
      </x:c>
      <x:c r="F676" s="42" t="str">
        <x:v>Real Madrid CF</x:v>
      </x:c>
      <x:c r="G676" s="46"/>
      <x:c r="H676" s="46"/>
      <x:c r="I676" s="46"/>
      <x:c r="J676" s="46"/>
      <x:c r="K676" s="46" t="str">
        <x:f>IF(COUNT(G676,I676)=0,"",AVERAGE(G676,I676))</x:f>
      </x:c>
      <x:c r="L676" s="46" t="str">
        <x:f>IF(COUNT(H676,J676)=0,"",AVERAGE(H676,J676))</x:f>
      </x:c>
      <x:c r="M676" s="46" t="str">
        <x:f>IF(OR(K676="",L676=""),"",L676-K676)</x:f>
      </x:c>
      <x:c r="N676" s="46" t="str">
        <x:f>IF(OR(K676="",A675&lt;&gt;A676,K675=""),"",K676-K675)</x:f>
      </x:c>
      <x:c r="O676" s="42" t="str">
        <x:v>Sem informação</x:v>
      </x:c>
      <x:c r="P676" s="42"/>
      <x:c r="Q676" s="42" t="str"/>
      <x:c r="R676" s="42" t="str"/>
      <x:c r="S676" s="42" t="str"/>
      <x:c r="T676" s="42" t="str"/>
    </x:row>
    <x:row r="677">
      <x:c r="A677" s="42" t="str">
        <x:v>Vinicius Junior</x:v>
      </x:c>
      <x:c r="B677" s="42" t="n">
        <x:v>2029</x:v>
      </x:c>
      <x:c r="C677" s="42" t="str">
        <x:v>T4</x:v>
      </x:c>
      <x:c r="D677" s="44" t="n">
        <x:v>47483</x:v>
      </x:c>
      <x:c r="E677" s="42" t="str">
        <x:v>Ponta-esquerda</x:v>
      </x:c>
      <x:c r="F677" s="42" t="str">
        <x:v>Real Madrid CF</x:v>
      </x:c>
      <x:c r="G677" s="46"/>
      <x:c r="H677" s="46"/>
      <x:c r="I677" s="46"/>
      <x:c r="J677" s="46"/>
      <x:c r="K677" s="46" t="str">
        <x:f>IF(COUNT(G677,I677)=0,"",AVERAGE(G677,I677))</x:f>
      </x:c>
      <x:c r="L677" s="46" t="str">
        <x:f>IF(COUNT(H677,J677)=0,"",AVERAGE(H677,J677))</x:f>
      </x:c>
      <x:c r="M677" s="46" t="str">
        <x:f>IF(OR(K677="",L677=""),"",L677-K677)</x:f>
      </x:c>
      <x:c r="N677" s="46" t="str">
        <x:f>IF(OR(K677="",A676&lt;&gt;A677,K676=""),"",K677-K676)</x:f>
      </x:c>
      <x:c r="O677" s="42" t="str">
        <x:v>Sem informação</x:v>
      </x:c>
      <x:c r="P677" s="42"/>
      <x:c r="Q677" s="42" t="str"/>
      <x:c r="R677" s="42" t="str"/>
      <x:c r="S677" s="42" t="str"/>
      <x:c r="T677" s="42" t="str"/>
    </x:row>
    <x:row r="678">
      <x:c r="A678" s="42" t="str">
        <x:v>Vinicius Junior</x:v>
      </x:c>
      <x:c r="B678" s="42" t="n">
        <x:v>2030</x:v>
      </x:c>
      <x:c r="C678" s="42" t="str">
        <x:v>T1</x:v>
      </x:c>
      <x:c r="D678" s="44" t="n">
        <x:v>47573</x:v>
      </x:c>
      <x:c r="E678" s="42" t="str">
        <x:v>Ponta-esquerda</x:v>
      </x:c>
      <x:c r="F678" s="42" t="str">
        <x:v>Real Madrid CF</x:v>
      </x:c>
      <x:c r="G678" s="46"/>
      <x:c r="H678" s="46"/>
      <x:c r="I678" s="46"/>
      <x:c r="J678" s="46"/>
      <x:c r="K678" s="46" t="str">
        <x:f>IF(COUNT(G678,I678)=0,"",AVERAGE(G678,I678))</x:f>
      </x:c>
      <x:c r="L678" s="46" t="str">
        <x:f>IF(COUNT(H678,J678)=0,"",AVERAGE(H678,J678))</x:f>
      </x:c>
      <x:c r="M678" s="46" t="str">
        <x:f>IF(OR(K678="",L678=""),"",L678-K678)</x:f>
      </x:c>
      <x:c r="N678" s="46" t="str">
        <x:f>IF(OR(K678="",A677&lt;&gt;A678,K677=""),"",K678-K677)</x:f>
      </x:c>
      <x:c r="O678" s="42" t="str">
        <x:v>Sem informação</x:v>
      </x:c>
      <x:c r="P678" s="42"/>
      <x:c r="Q678" s="42" t="str"/>
      <x:c r="R678" s="42" t="str"/>
      <x:c r="S678" s="42" t="str"/>
      <x:c r="T678" s="42" t="str"/>
    </x:row>
    <x:row r="679">
      <x:c r="A679" s="42" t="str">
        <x:v>Vinicius Junior</x:v>
      </x:c>
      <x:c r="B679" s="42" t="n">
        <x:v>2030</x:v>
      </x:c>
      <x:c r="C679" s="42" t="str">
        <x:v>T2</x:v>
      </x:c>
      <x:c r="D679" s="44" t="n">
        <x:v>47664</x:v>
      </x:c>
      <x:c r="E679" s="42" t="str">
        <x:v>Ponta-esquerda</x:v>
      </x:c>
      <x:c r="F679" s="42" t="str">
        <x:v>Real Madrid CF</x:v>
      </x:c>
      <x:c r="G679" s="46"/>
      <x:c r="H679" s="46"/>
      <x:c r="I679" s="46"/>
      <x:c r="J679" s="46"/>
      <x:c r="K679" s="46" t="str">
        <x:f>IF(COUNT(G679,I679)=0,"",AVERAGE(G679,I679))</x:f>
      </x:c>
      <x:c r="L679" s="46" t="str">
        <x:f>IF(COUNT(H679,J679)=0,"",AVERAGE(H679,J679))</x:f>
      </x:c>
      <x:c r="M679" s="46" t="str">
        <x:f>IF(OR(K679="",L679=""),"",L679-K679)</x:f>
      </x:c>
      <x:c r="N679" s="46" t="str">
        <x:f>IF(OR(K679="",A678&lt;&gt;A679,K678=""),"",K679-K678)</x:f>
      </x:c>
      <x:c r="O679" s="42" t="str">
        <x:v>Sem informação</x:v>
      </x:c>
      <x:c r="P679" s="42"/>
      <x:c r="Q679" s="42" t="str"/>
      <x:c r="R679" s="42" t="str"/>
      <x:c r="S679" s="42" t="str"/>
      <x:c r="T679" s="42" t="str"/>
    </x:row>
    <x:row r="680">
      <x:c r="A680" s="42" t="str">
        <x:v>Vinicius Junior</x:v>
      </x:c>
      <x:c r="B680" s="42" t="n">
        <x:v>2030</x:v>
      </x:c>
      <x:c r="C680" s="42" t="str">
        <x:v>T3</x:v>
      </x:c>
      <x:c r="D680" s="44" t="n">
        <x:v>47756</x:v>
      </x:c>
      <x:c r="E680" s="42" t="str">
        <x:v>Ponta-esquerda</x:v>
      </x:c>
      <x:c r="F680" s="42" t="str">
        <x:v>Real Madrid CF</x:v>
      </x:c>
      <x:c r="G680" s="46"/>
      <x:c r="H680" s="46"/>
      <x:c r="I680" s="46"/>
      <x:c r="J680" s="46"/>
      <x:c r="K680" s="46" t="str">
        <x:f>IF(COUNT(G680,I680)=0,"",AVERAGE(G680,I680))</x:f>
      </x:c>
      <x:c r="L680" s="46" t="str">
        <x:f>IF(COUNT(H680,J680)=0,"",AVERAGE(H680,J680))</x:f>
      </x:c>
      <x:c r="M680" s="46" t="str">
        <x:f>IF(OR(K680="",L680=""),"",L680-K680)</x:f>
      </x:c>
      <x:c r="N680" s="46" t="str">
        <x:f>IF(OR(K680="",A679&lt;&gt;A680,K679=""),"",K680-K679)</x:f>
      </x:c>
      <x:c r="O680" s="42" t="str">
        <x:v>Sem informação</x:v>
      </x:c>
      <x:c r="P680" s="42"/>
      <x:c r="Q680" s="42" t="str"/>
      <x:c r="R680" s="42" t="str"/>
      <x:c r="S680" s="42" t="str"/>
      <x:c r="T680" s="42" t="str"/>
    </x:row>
    <x:row r="681">
      <x:c r="A681" s="42" t="str">
        <x:v>Vinicius Junior</x:v>
      </x:c>
      <x:c r="B681" s="42" t="n">
        <x:v>2030</x:v>
      </x:c>
      <x:c r="C681" s="42" t="str">
        <x:v>T4</x:v>
      </x:c>
      <x:c r="D681" s="44" t="n">
        <x:v>47848</x:v>
      </x:c>
      <x:c r="E681" s="42" t="str">
        <x:v>Ponta-esquerda</x:v>
      </x:c>
      <x:c r="F681" s="42" t="str">
        <x:v>Real Madrid CF</x:v>
      </x:c>
      <x:c r="G681" s="46"/>
      <x:c r="H681" s="46"/>
      <x:c r="I681" s="46"/>
      <x:c r="J681" s="46"/>
      <x:c r="K681" s="46" t="str">
        <x:f>IF(COUNT(G681,I681)=0,"",AVERAGE(G681,I681))</x:f>
      </x:c>
      <x:c r="L681" s="46" t="str">
        <x:f>IF(COUNT(H681,J681)=0,"",AVERAGE(H681,J681))</x:f>
      </x:c>
      <x:c r="M681" s="46" t="str">
        <x:f>IF(OR(K681="",L681=""),"",L681-K681)</x:f>
      </x:c>
      <x:c r="N681" s="46" t="str">
        <x:f>IF(OR(K681="",A680&lt;&gt;A681,K680=""),"",K681-K680)</x:f>
      </x:c>
      <x:c r="O681" s="42" t="str">
        <x:v>Sem informação</x:v>
      </x:c>
      <x:c r="P681" s="42"/>
      <x:c r="Q681" s="42" t="str"/>
      <x:c r="R681" s="42" t="str"/>
      <x:c r="S681" s="42" t="str"/>
      <x:c r="T681" s="42" t="str"/>
    </x:row>
    <x:row r="682">
      <x:c r="A682" s="42" t="str">
        <x:v>Wesley França</x:v>
      </x:c>
      <x:c r="B682" s="42" t="n">
        <x:v>2026</x:v>
      </x:c>
      <x:c r="C682" s="42" t="str">
        <x:v>T1</x:v>
      </x:c>
      <x:c r="D682" s="44" t="n">
        <x:v>46112</x:v>
      </x:c>
      <x:c r="E682" s="42" t="str">
        <x:v>Lateral-direito</x:v>
      </x:c>
      <x:c r="F682" s="42" t="str">
        <x:v>AS Roma</x:v>
      </x:c>
      <x:c r="G682" s="46"/>
      <x:c r="H682" s="46"/>
      <x:c r="I682" s="46"/>
      <x:c r="J682" s="46"/>
      <x:c r="K682" s="46" t="str">
        <x:f>IF(COUNT(G682,I682)=0,"",AVERAGE(G682,I682))</x:f>
      </x:c>
      <x:c r="L682" s="46" t="str">
        <x:f>IF(COUNT(H682,J682)=0,"",AVERAGE(H682,J682))</x:f>
      </x:c>
      <x:c r="M682" s="46" t="str">
        <x:f>IF(OR(K682="",L682=""),"",L682-K682)</x:f>
      </x:c>
      <x:c r="N682" s="46" t="str">
        <x:f>IF(OR(K682="",A681&lt;&gt;A682,K681=""),"",K682-K681)</x:f>
      </x:c>
      <x:c r="O682" s="42" t="str">
        <x:v>Sem informação</x:v>
      </x:c>
      <x:c r="P682" s="42"/>
      <x:c r="Q682" s="42" t="str"/>
      <x:c r="R682" s="42" t="str"/>
      <x:c r="S682" s="42" t="str"/>
      <x:c r="T682" s="42" t="str"/>
    </x:row>
    <x:row r="683">
      <x:c r="A683" s="42" t="str">
        <x:v>Wesley França</x:v>
      </x:c>
      <x:c r="B683" s="42" t="n">
        <x:v>2026</x:v>
      </x:c>
      <x:c r="C683" s="42" t="str">
        <x:v>T2</x:v>
      </x:c>
      <x:c r="D683" s="44" t="n">
        <x:v>46203</x:v>
      </x:c>
      <x:c r="E683" s="42" t="str">
        <x:v>Lateral-direito</x:v>
      </x:c>
      <x:c r="F683" s="42" t="str">
        <x:v>AS Roma</x:v>
      </x:c>
      <x:c r="G683" s="46" t="n">
        <x:v>7</x:v>
      </x:c>
      <x:c r="H683" s="46" t="n">
        <x:v>8</x:v>
      </x:c>
      <x:c r="I683" s="46" t="n">
        <x:v>7.5</x:v>
      </x:c>
      <x:c r="J683" s="46" t="n">
        <x:v>8.5</x:v>
      </x:c>
      <x:c r="K683" s="46" t="n">
        <x:f>IF(COUNT(G683,I683)=0,"",AVERAGE(G683,I683))</x:f>
        <x:v>7.25</x:v>
      </x:c>
      <x:c r="L683" s="46" t="n">
        <x:f>IF(COUNT(H683,J683)=0,"",AVERAGE(H683,J683))</x:f>
        <x:v>8.25</x:v>
      </x:c>
      <x:c r="M683" s="46" t="n">
        <x:f>IF(OR(K683="",L683=""),"",L683-K683)</x:f>
        <x:v>1</x:v>
      </x:c>
      <x:c r="N683" s="46" t="str">
        <x:f>IF(OR(K683="",A682&lt;&gt;A683,K682=""),"",K683-K682)</x:f>
      </x:c>
      <x:c r="O683" s="42" t="str">
        <x:v>Sem informação</x:v>
      </x:c>
      <x:c r="P683" s="42"/>
      <x:c r="Q683" s="42" t="str"/>
      <x:c r="R683" s="42" t="str">
        <x:v>Potencial de ser uma dos melhores laterais do mundo ofensivamente.</x:v>
      </x:c>
      <x:c r="S683" s="42" t="str"/>
      <x:c r="T683" s="42" t="str"/>
    </x:row>
    <x:row r="684">
      <x:c r="A684" s="42" t="str">
        <x:v>Wesley França</x:v>
      </x:c>
      <x:c r="B684" s="42" t="n">
        <x:v>2026</x:v>
      </x:c>
      <x:c r="C684" s="42" t="str">
        <x:v>T3</x:v>
      </x:c>
      <x:c r="D684" s="44" t="n">
        <x:v>46295</x:v>
      </x:c>
      <x:c r="E684" s="42" t="str">
        <x:v>Lateral-direito</x:v>
      </x:c>
      <x:c r="F684" s="42" t="str">
        <x:v>AS Roma</x:v>
      </x:c>
      <x:c r="G684" s="46"/>
      <x:c r="H684" s="46"/>
      <x:c r="I684" s="46"/>
      <x:c r="J684" s="46"/>
      <x:c r="K684" s="46" t="str">
        <x:f>IF(COUNT(G684,I684)=0,"",AVERAGE(G684,I684))</x:f>
      </x:c>
      <x:c r="L684" s="46" t="str">
        <x:f>IF(COUNT(H684,J684)=0,"",AVERAGE(H684,J684))</x:f>
      </x:c>
      <x:c r="M684" s="46" t="str">
        <x:f>IF(OR(K684="",L684=""),"",L684-K684)</x:f>
      </x:c>
      <x:c r="N684" s="46" t="str">
        <x:f>IF(OR(K684="",A683&lt;&gt;A684,K683=""),"",K684-K683)</x:f>
      </x:c>
      <x:c r="O684" s="42" t="str">
        <x:v>Sem informação</x:v>
      </x:c>
      <x:c r="P684" s="42"/>
      <x:c r="Q684" s="42" t="str"/>
      <x:c r="R684" s="42" t="str"/>
      <x:c r="S684" s="42" t="str"/>
      <x:c r="T684" s="42" t="str"/>
    </x:row>
    <x:row r="685">
      <x:c r="A685" s="42" t="str">
        <x:v>Wesley França</x:v>
      </x:c>
      <x:c r="B685" s="42" t="n">
        <x:v>2026</x:v>
      </x:c>
      <x:c r="C685" s="42" t="str">
        <x:v>T4</x:v>
      </x:c>
      <x:c r="D685" s="44" t="n">
        <x:v>46387</x:v>
      </x:c>
      <x:c r="E685" s="42" t="str">
        <x:v>Lateral-direito</x:v>
      </x:c>
      <x:c r="F685" s="42" t="str">
        <x:v>AS Roma</x:v>
      </x:c>
      <x:c r="G685" s="46"/>
      <x:c r="H685" s="46"/>
      <x:c r="I685" s="46"/>
      <x:c r="J685" s="46"/>
      <x:c r="K685" s="46" t="str">
        <x:f>IF(COUNT(G685,I685)=0,"",AVERAGE(G685,I685))</x:f>
      </x:c>
      <x:c r="L685" s="46" t="str">
        <x:f>IF(COUNT(H685,J685)=0,"",AVERAGE(H685,J685))</x:f>
      </x:c>
      <x:c r="M685" s="46" t="str">
        <x:f>IF(OR(K685="",L685=""),"",L685-K685)</x:f>
      </x:c>
      <x:c r="N685" s="46" t="str">
        <x:f>IF(OR(K685="",A684&lt;&gt;A685,K684=""),"",K685-K684)</x:f>
      </x:c>
      <x:c r="O685" s="42" t="str">
        <x:v>Sem informação</x:v>
      </x:c>
      <x:c r="P685" s="42"/>
      <x:c r="Q685" s="42" t="str"/>
      <x:c r="R685" s="42" t="str"/>
      <x:c r="S685" s="42" t="str"/>
      <x:c r="T685" s="42" t="str"/>
    </x:row>
    <x:row r="686">
      <x:c r="A686" s="42" t="str">
        <x:v>Wesley França</x:v>
      </x:c>
      <x:c r="B686" s="42" t="n">
        <x:v>2027</x:v>
      </x:c>
      <x:c r="C686" s="42" t="str">
        <x:v>T1</x:v>
      </x:c>
      <x:c r="D686" s="44" t="n">
        <x:v>46477</x:v>
      </x:c>
      <x:c r="E686" s="42" t="str">
        <x:v>Lateral-direito</x:v>
      </x:c>
      <x:c r="F686" s="42" t="str">
        <x:v>AS Roma</x:v>
      </x:c>
      <x:c r="G686" s="46"/>
      <x:c r="H686" s="46"/>
      <x:c r="I686" s="46"/>
      <x:c r="J686" s="46"/>
      <x:c r="K686" s="46" t="str">
        <x:f>IF(COUNT(G686,I686)=0,"",AVERAGE(G686,I686))</x:f>
      </x:c>
      <x:c r="L686" s="46" t="str">
        <x:f>IF(COUNT(H686,J686)=0,"",AVERAGE(H686,J686))</x:f>
      </x:c>
      <x:c r="M686" s="46" t="str">
        <x:f>IF(OR(K686="",L686=""),"",L686-K686)</x:f>
      </x:c>
      <x:c r="N686" s="46" t="str">
        <x:f>IF(OR(K686="",A685&lt;&gt;A686,K685=""),"",K686-K685)</x:f>
      </x:c>
      <x:c r="O686" s="42" t="str">
        <x:v>Sem informação</x:v>
      </x:c>
      <x:c r="P686" s="42"/>
      <x:c r="Q686" s="42" t="str"/>
      <x:c r="R686" s="42" t="str"/>
      <x:c r="S686" s="42" t="str"/>
      <x:c r="T686" s="42" t="str"/>
    </x:row>
    <x:row r="687">
      <x:c r="A687" s="42" t="str">
        <x:v>Wesley França</x:v>
      </x:c>
      <x:c r="B687" s="42" t="n">
        <x:v>2027</x:v>
      </x:c>
      <x:c r="C687" s="42" t="str">
        <x:v>T2</x:v>
      </x:c>
      <x:c r="D687" s="44" t="n">
        <x:v>46568</x:v>
      </x:c>
      <x:c r="E687" s="42" t="str">
        <x:v>Lateral-direito</x:v>
      </x:c>
      <x:c r="F687" s="42" t="str">
        <x:v>AS Roma</x:v>
      </x:c>
      <x:c r="G687" s="46"/>
      <x:c r="H687" s="46"/>
      <x:c r="I687" s="46"/>
      <x:c r="J687" s="46"/>
      <x:c r="K687" s="46" t="str">
        <x:f>IF(COUNT(G687,I687)=0,"",AVERAGE(G687,I687))</x:f>
      </x:c>
      <x:c r="L687" s="46" t="str">
        <x:f>IF(COUNT(H687,J687)=0,"",AVERAGE(H687,J687))</x:f>
      </x:c>
      <x:c r="M687" s="46" t="str">
        <x:f>IF(OR(K687="",L687=""),"",L687-K687)</x:f>
      </x:c>
      <x:c r="N687" s="46" t="str">
        <x:f>IF(OR(K687="",A686&lt;&gt;A687,K686=""),"",K687-K686)</x:f>
      </x:c>
      <x:c r="O687" s="42" t="str">
        <x:v>Sem informação</x:v>
      </x:c>
      <x:c r="P687" s="42"/>
      <x:c r="Q687" s="42" t="str"/>
      <x:c r="R687" s="42" t="str"/>
      <x:c r="S687" s="42" t="str"/>
      <x:c r="T687" s="42" t="str"/>
    </x:row>
    <x:row r="688">
      <x:c r="A688" s="42" t="str">
        <x:v>Wesley França</x:v>
      </x:c>
      <x:c r="B688" s="42" t="n">
        <x:v>2027</x:v>
      </x:c>
      <x:c r="C688" s="42" t="str">
        <x:v>T3</x:v>
      </x:c>
      <x:c r="D688" s="44" t="n">
        <x:v>46660</x:v>
      </x:c>
      <x:c r="E688" s="42" t="str">
        <x:v>Lateral-direito</x:v>
      </x:c>
      <x:c r="F688" s="42" t="str">
        <x:v>AS Roma</x:v>
      </x:c>
      <x:c r="G688" s="46"/>
      <x:c r="H688" s="46"/>
      <x:c r="I688" s="46"/>
      <x:c r="J688" s="46"/>
      <x:c r="K688" s="46" t="str">
        <x:f>IF(COUNT(G688,I688)=0,"",AVERAGE(G688,I688))</x:f>
      </x:c>
      <x:c r="L688" s="46" t="str">
        <x:f>IF(COUNT(H688,J688)=0,"",AVERAGE(H688,J688))</x:f>
      </x:c>
      <x:c r="M688" s="46" t="str">
        <x:f>IF(OR(K688="",L688=""),"",L688-K688)</x:f>
      </x:c>
      <x:c r="N688" s="46" t="str">
        <x:f>IF(OR(K688="",A687&lt;&gt;A688,K687=""),"",K688-K687)</x:f>
      </x:c>
      <x:c r="O688" s="42" t="str">
        <x:v>Sem informação</x:v>
      </x:c>
      <x:c r="P688" s="42"/>
      <x:c r="Q688" s="42" t="str"/>
      <x:c r="R688" s="42" t="str"/>
      <x:c r="S688" s="42" t="str"/>
      <x:c r="T688" s="42" t="str"/>
    </x:row>
    <x:row r="689">
      <x:c r="A689" s="42" t="str">
        <x:v>Wesley França</x:v>
      </x:c>
      <x:c r="B689" s="42" t="n">
        <x:v>2027</x:v>
      </x:c>
      <x:c r="C689" s="42" t="str">
        <x:v>T4</x:v>
      </x:c>
      <x:c r="D689" s="44" t="n">
        <x:v>46752</x:v>
      </x:c>
      <x:c r="E689" s="42" t="str">
        <x:v>Lateral-direito</x:v>
      </x:c>
      <x:c r="F689" s="42" t="str">
        <x:v>AS Roma</x:v>
      </x:c>
      <x:c r="G689" s="46"/>
      <x:c r="H689" s="46"/>
      <x:c r="I689" s="46"/>
      <x:c r="J689" s="46"/>
      <x:c r="K689" s="46" t="str">
        <x:f>IF(COUNT(G689,I689)=0,"",AVERAGE(G689,I689))</x:f>
      </x:c>
      <x:c r="L689" s="46" t="str">
        <x:f>IF(COUNT(H689,J689)=0,"",AVERAGE(H689,J689))</x:f>
      </x:c>
      <x:c r="M689" s="46" t="str">
        <x:f>IF(OR(K689="",L689=""),"",L689-K689)</x:f>
      </x:c>
      <x:c r="N689" s="46" t="str">
        <x:f>IF(OR(K689="",A688&lt;&gt;A689,K688=""),"",K689-K688)</x:f>
      </x:c>
      <x:c r="O689" s="42" t="str">
        <x:v>Sem informação</x:v>
      </x:c>
      <x:c r="P689" s="42"/>
      <x:c r="Q689" s="42" t="str"/>
      <x:c r="R689" s="42" t="str"/>
      <x:c r="S689" s="42" t="str"/>
      <x:c r="T689" s="42" t="str"/>
    </x:row>
    <x:row r="690">
      <x:c r="A690" s="42" t="str">
        <x:v>Wesley França</x:v>
      </x:c>
      <x:c r="B690" s="42" t="n">
        <x:v>2028</x:v>
      </x:c>
      <x:c r="C690" s="42" t="str">
        <x:v>T1</x:v>
      </x:c>
      <x:c r="D690" s="44" t="n">
        <x:v>46843</x:v>
      </x:c>
      <x:c r="E690" s="42" t="str">
        <x:v>Lateral-direito</x:v>
      </x:c>
      <x:c r="F690" s="42" t="str">
        <x:v>AS Roma</x:v>
      </x:c>
      <x:c r="G690" s="46"/>
      <x:c r="H690" s="46"/>
      <x:c r="I690" s="46"/>
      <x:c r="J690" s="46"/>
      <x:c r="K690" s="46" t="str">
        <x:f>IF(COUNT(G690,I690)=0,"",AVERAGE(G690,I690))</x:f>
      </x:c>
      <x:c r="L690" s="46" t="str">
        <x:f>IF(COUNT(H690,J690)=0,"",AVERAGE(H690,J690))</x:f>
      </x:c>
      <x:c r="M690" s="46" t="str">
        <x:f>IF(OR(K690="",L690=""),"",L690-K690)</x:f>
      </x:c>
      <x:c r="N690" s="46" t="str">
        <x:f>IF(OR(K690="",A689&lt;&gt;A690,K689=""),"",K690-K689)</x:f>
      </x:c>
      <x:c r="O690" s="42" t="str">
        <x:v>Sem informação</x:v>
      </x:c>
      <x:c r="P690" s="42"/>
      <x:c r="Q690" s="42" t="str"/>
      <x:c r="R690" s="42" t="str"/>
      <x:c r="S690" s="42" t="str"/>
      <x:c r="T690" s="42" t="str"/>
    </x:row>
    <x:row r="691">
      <x:c r="A691" s="42" t="str">
        <x:v>Wesley França</x:v>
      </x:c>
      <x:c r="B691" s="42" t="n">
        <x:v>2028</x:v>
      </x:c>
      <x:c r="C691" s="42" t="str">
        <x:v>T2</x:v>
      </x:c>
      <x:c r="D691" s="44" t="n">
        <x:v>46934</x:v>
      </x:c>
      <x:c r="E691" s="42" t="str">
        <x:v>Lateral-direito</x:v>
      </x:c>
      <x:c r="F691" s="42" t="str">
        <x:v>AS Roma</x:v>
      </x:c>
      <x:c r="G691" s="46"/>
      <x:c r="H691" s="46"/>
      <x:c r="I691" s="46"/>
      <x:c r="J691" s="46"/>
      <x:c r="K691" s="46" t="str">
        <x:f>IF(COUNT(G691,I691)=0,"",AVERAGE(G691,I691))</x:f>
      </x:c>
      <x:c r="L691" s="46" t="str">
        <x:f>IF(COUNT(H691,J691)=0,"",AVERAGE(H691,J691))</x:f>
      </x:c>
      <x:c r="M691" s="46" t="str">
        <x:f>IF(OR(K691="",L691=""),"",L691-K691)</x:f>
      </x:c>
      <x:c r="N691" s="46" t="str">
        <x:f>IF(OR(K691="",A690&lt;&gt;A691,K690=""),"",K691-K690)</x:f>
      </x:c>
      <x:c r="O691" s="42" t="str">
        <x:v>Sem informação</x:v>
      </x:c>
      <x:c r="P691" s="42"/>
      <x:c r="Q691" s="42" t="str"/>
      <x:c r="R691" s="42" t="str"/>
      <x:c r="S691" s="42" t="str"/>
      <x:c r="T691" s="42" t="str"/>
    </x:row>
    <x:row r="692">
      <x:c r="A692" s="42" t="str">
        <x:v>Wesley França</x:v>
      </x:c>
      <x:c r="B692" s="42" t="n">
        <x:v>2028</x:v>
      </x:c>
      <x:c r="C692" s="42" t="str">
        <x:v>T3</x:v>
      </x:c>
      <x:c r="D692" s="44" t="n">
        <x:v>47026</x:v>
      </x:c>
      <x:c r="E692" s="42" t="str">
        <x:v>Lateral-direito</x:v>
      </x:c>
      <x:c r="F692" s="42" t="str">
        <x:v>AS Roma</x:v>
      </x:c>
      <x:c r="G692" s="46"/>
      <x:c r="H692" s="46"/>
      <x:c r="I692" s="46"/>
      <x:c r="J692" s="46"/>
      <x:c r="K692" s="46" t="str">
        <x:f>IF(COUNT(G692,I692)=0,"",AVERAGE(G692,I692))</x:f>
      </x:c>
      <x:c r="L692" s="46" t="str">
        <x:f>IF(COUNT(H692,J692)=0,"",AVERAGE(H692,J692))</x:f>
      </x:c>
      <x:c r="M692" s="46" t="str">
        <x:f>IF(OR(K692="",L692=""),"",L692-K692)</x:f>
      </x:c>
      <x:c r="N692" s="46" t="str">
        <x:f>IF(OR(K692="",A691&lt;&gt;A692,K691=""),"",K692-K691)</x:f>
      </x:c>
      <x:c r="O692" s="42" t="str">
        <x:v>Sem informação</x:v>
      </x:c>
      <x:c r="P692" s="42"/>
      <x:c r="Q692" s="42" t="str"/>
      <x:c r="R692" s="42" t="str"/>
      <x:c r="S692" s="42" t="str"/>
      <x:c r="T692" s="42" t="str"/>
    </x:row>
    <x:row r="693">
      <x:c r="A693" s="42" t="str">
        <x:v>Wesley França</x:v>
      </x:c>
      <x:c r="B693" s="42" t="n">
        <x:v>2028</x:v>
      </x:c>
      <x:c r="C693" s="42" t="str">
        <x:v>T4</x:v>
      </x:c>
      <x:c r="D693" s="44" t="n">
        <x:v>47118</x:v>
      </x:c>
      <x:c r="E693" s="42" t="str">
        <x:v>Lateral-direito</x:v>
      </x:c>
      <x:c r="F693" s="42" t="str">
        <x:v>AS Roma</x:v>
      </x:c>
      <x:c r="G693" s="46"/>
      <x:c r="H693" s="46"/>
      <x:c r="I693" s="46"/>
      <x:c r="J693" s="46"/>
      <x:c r="K693" s="46" t="str">
        <x:f>IF(COUNT(G693,I693)=0,"",AVERAGE(G693,I693))</x:f>
      </x:c>
      <x:c r="L693" s="46" t="str">
        <x:f>IF(COUNT(H693,J693)=0,"",AVERAGE(H693,J693))</x:f>
      </x:c>
      <x:c r="M693" s="46" t="str">
        <x:f>IF(OR(K693="",L693=""),"",L693-K693)</x:f>
      </x:c>
      <x:c r="N693" s="46" t="str">
        <x:f>IF(OR(K693="",A692&lt;&gt;A693,K692=""),"",K693-K692)</x:f>
      </x:c>
      <x:c r="O693" s="42" t="str">
        <x:v>Sem informação</x:v>
      </x:c>
      <x:c r="P693" s="42"/>
      <x:c r="Q693" s="42" t="str"/>
      <x:c r="R693" s="42" t="str"/>
      <x:c r="S693" s="42" t="str"/>
      <x:c r="T693" s="42" t="str"/>
    </x:row>
    <x:row r="694">
      <x:c r="A694" s="42" t="str">
        <x:v>Wesley França</x:v>
      </x:c>
      <x:c r="B694" s="42" t="n">
        <x:v>2029</x:v>
      </x:c>
      <x:c r="C694" s="42" t="str">
        <x:v>T1</x:v>
      </x:c>
      <x:c r="D694" s="44" t="n">
        <x:v>47208</x:v>
      </x:c>
      <x:c r="E694" s="42" t="str">
        <x:v>Lateral-direito</x:v>
      </x:c>
      <x:c r="F694" s="42" t="str">
        <x:v>AS Roma</x:v>
      </x:c>
      <x:c r="G694" s="46"/>
      <x:c r="H694" s="46"/>
      <x:c r="I694" s="46"/>
      <x:c r="J694" s="46"/>
      <x:c r="K694" s="46" t="str">
        <x:f>IF(COUNT(G694,I694)=0,"",AVERAGE(G694,I694))</x:f>
      </x:c>
      <x:c r="L694" s="46" t="str">
        <x:f>IF(COUNT(H694,J694)=0,"",AVERAGE(H694,J694))</x:f>
      </x:c>
      <x:c r="M694" s="46" t="str">
        <x:f>IF(OR(K694="",L694=""),"",L694-K694)</x:f>
      </x:c>
      <x:c r="N694" s="46" t="str">
        <x:f>IF(OR(K694="",A693&lt;&gt;A694,K693=""),"",K694-K693)</x:f>
      </x:c>
      <x:c r="O694" s="42" t="str">
        <x:v>Sem informação</x:v>
      </x:c>
      <x:c r="P694" s="42"/>
      <x:c r="Q694" s="42" t="str"/>
      <x:c r="R694" s="42" t="str"/>
      <x:c r="S694" s="42" t="str"/>
      <x:c r="T694" s="42" t="str"/>
    </x:row>
    <x:row r="695">
      <x:c r="A695" s="42" t="str">
        <x:v>Wesley França</x:v>
      </x:c>
      <x:c r="B695" s="42" t="n">
        <x:v>2029</x:v>
      </x:c>
      <x:c r="C695" s="42" t="str">
        <x:v>T2</x:v>
      </x:c>
      <x:c r="D695" s="44" t="n">
        <x:v>47299</x:v>
      </x:c>
      <x:c r="E695" s="42" t="str">
        <x:v>Lateral-direito</x:v>
      </x:c>
      <x:c r="F695" s="42" t="str">
        <x:v>AS Roma</x:v>
      </x:c>
      <x:c r="G695" s="46"/>
      <x:c r="H695" s="46"/>
      <x:c r="I695" s="46"/>
      <x:c r="J695" s="46"/>
      <x:c r="K695" s="46" t="str">
        <x:f>IF(COUNT(G695,I695)=0,"",AVERAGE(G695,I695))</x:f>
      </x:c>
      <x:c r="L695" s="46" t="str">
        <x:f>IF(COUNT(H695,J695)=0,"",AVERAGE(H695,J695))</x:f>
      </x:c>
      <x:c r="M695" s="46" t="str">
        <x:f>IF(OR(K695="",L695=""),"",L695-K695)</x:f>
      </x:c>
      <x:c r="N695" s="46" t="str">
        <x:f>IF(OR(K695="",A694&lt;&gt;A695,K694=""),"",K695-K694)</x:f>
      </x:c>
      <x:c r="O695" s="42" t="str">
        <x:v>Sem informação</x:v>
      </x:c>
      <x:c r="P695" s="42"/>
      <x:c r="Q695" s="42" t="str"/>
      <x:c r="R695" s="42" t="str"/>
      <x:c r="S695" s="42" t="str"/>
      <x:c r="T695" s="42" t="str"/>
    </x:row>
    <x:row r="696">
      <x:c r="A696" s="42" t="str">
        <x:v>Wesley França</x:v>
      </x:c>
      <x:c r="B696" s="42" t="n">
        <x:v>2029</x:v>
      </x:c>
      <x:c r="C696" s="42" t="str">
        <x:v>T3</x:v>
      </x:c>
      <x:c r="D696" s="44" t="n">
        <x:v>47391</x:v>
      </x:c>
      <x:c r="E696" s="42" t="str">
        <x:v>Lateral-direito</x:v>
      </x:c>
      <x:c r="F696" s="42" t="str">
        <x:v>AS Roma</x:v>
      </x:c>
      <x:c r="G696" s="46"/>
      <x:c r="H696" s="46"/>
      <x:c r="I696" s="46"/>
      <x:c r="J696" s="46"/>
      <x:c r="K696" s="46" t="str">
        <x:f>IF(COUNT(G696,I696)=0,"",AVERAGE(G696,I696))</x:f>
      </x:c>
      <x:c r="L696" s="46" t="str">
        <x:f>IF(COUNT(H696,J696)=0,"",AVERAGE(H696,J696))</x:f>
      </x:c>
      <x:c r="M696" s="46" t="str">
        <x:f>IF(OR(K696="",L696=""),"",L696-K696)</x:f>
      </x:c>
      <x:c r="N696" s="46" t="str">
        <x:f>IF(OR(K696="",A695&lt;&gt;A696,K695=""),"",K696-K695)</x:f>
      </x:c>
      <x:c r="O696" s="42" t="str">
        <x:v>Sem informação</x:v>
      </x:c>
      <x:c r="P696" s="42"/>
      <x:c r="Q696" s="42" t="str"/>
      <x:c r="R696" s="42" t="str"/>
      <x:c r="S696" s="42" t="str"/>
      <x:c r="T696" s="42" t="str"/>
    </x:row>
    <x:row r="697">
      <x:c r="A697" s="42" t="str">
        <x:v>Wesley França</x:v>
      </x:c>
      <x:c r="B697" s="42" t="n">
        <x:v>2029</x:v>
      </x:c>
      <x:c r="C697" s="42" t="str">
        <x:v>T4</x:v>
      </x:c>
      <x:c r="D697" s="44" t="n">
        <x:v>47483</x:v>
      </x:c>
      <x:c r="E697" s="42" t="str">
        <x:v>Lateral-direito</x:v>
      </x:c>
      <x:c r="F697" s="42" t="str">
        <x:v>AS Roma</x:v>
      </x:c>
      <x:c r="G697" s="46"/>
      <x:c r="H697" s="46"/>
      <x:c r="I697" s="46"/>
      <x:c r="J697" s="46"/>
      <x:c r="K697" s="46" t="str">
        <x:f>IF(COUNT(G697,I697)=0,"",AVERAGE(G697,I697))</x:f>
      </x:c>
      <x:c r="L697" s="46" t="str">
        <x:f>IF(COUNT(H697,J697)=0,"",AVERAGE(H697,J697))</x:f>
      </x:c>
      <x:c r="M697" s="46" t="str">
        <x:f>IF(OR(K697="",L697=""),"",L697-K697)</x:f>
      </x:c>
      <x:c r="N697" s="46" t="str">
        <x:f>IF(OR(K697="",A696&lt;&gt;A697,K696=""),"",K697-K696)</x:f>
      </x:c>
      <x:c r="O697" s="42" t="str">
        <x:v>Sem informação</x:v>
      </x:c>
      <x:c r="P697" s="42"/>
      <x:c r="Q697" s="42" t="str"/>
      <x:c r="R697" s="42" t="str"/>
      <x:c r="S697" s="42" t="str"/>
      <x:c r="T697" s="42" t="str"/>
    </x:row>
    <x:row r="698">
      <x:c r="A698" s="42" t="str">
        <x:v>Wesley França</x:v>
      </x:c>
      <x:c r="B698" s="42" t="n">
        <x:v>2030</x:v>
      </x:c>
      <x:c r="C698" s="42" t="str">
        <x:v>T1</x:v>
      </x:c>
      <x:c r="D698" s="44" t="n">
        <x:v>47573</x:v>
      </x:c>
      <x:c r="E698" s="42" t="str">
        <x:v>Lateral-direito</x:v>
      </x:c>
      <x:c r="F698" s="42" t="str">
        <x:v>AS Roma</x:v>
      </x:c>
      <x:c r="G698" s="46"/>
      <x:c r="H698" s="46"/>
      <x:c r="I698" s="46"/>
      <x:c r="J698" s="46"/>
      <x:c r="K698" s="46" t="str">
        <x:f>IF(COUNT(G698,I698)=0,"",AVERAGE(G698,I698))</x:f>
      </x:c>
      <x:c r="L698" s="46" t="str">
        <x:f>IF(COUNT(H698,J698)=0,"",AVERAGE(H698,J698))</x:f>
      </x:c>
      <x:c r="M698" s="46" t="str">
        <x:f>IF(OR(K698="",L698=""),"",L698-K698)</x:f>
      </x:c>
      <x:c r="N698" s="46" t="str">
        <x:f>IF(OR(K698="",A697&lt;&gt;A698,K697=""),"",K698-K697)</x:f>
      </x:c>
      <x:c r="O698" s="42" t="str">
        <x:v>Sem informação</x:v>
      </x:c>
      <x:c r="P698" s="42"/>
      <x:c r="Q698" s="42" t="str"/>
      <x:c r="R698" s="42" t="str"/>
      <x:c r="S698" s="42" t="str"/>
      <x:c r="T698" s="42" t="str"/>
    </x:row>
    <x:row r="699">
      <x:c r="A699" s="42" t="str">
        <x:v>Wesley França</x:v>
      </x:c>
      <x:c r="B699" s="42" t="n">
        <x:v>2030</x:v>
      </x:c>
      <x:c r="C699" s="42" t="str">
        <x:v>T2</x:v>
      </x:c>
      <x:c r="D699" s="44" t="n">
        <x:v>47664</x:v>
      </x:c>
      <x:c r="E699" s="42" t="str">
        <x:v>Lateral-direito</x:v>
      </x:c>
      <x:c r="F699" s="42" t="str">
        <x:v>AS Roma</x:v>
      </x:c>
      <x:c r="G699" s="46"/>
      <x:c r="H699" s="46"/>
      <x:c r="I699" s="46"/>
      <x:c r="J699" s="46"/>
      <x:c r="K699" s="46" t="str">
        <x:f>IF(COUNT(G699,I699)=0,"",AVERAGE(G699,I699))</x:f>
      </x:c>
      <x:c r="L699" s="46" t="str">
        <x:f>IF(COUNT(H699,J699)=0,"",AVERAGE(H699,J699))</x:f>
      </x:c>
      <x:c r="M699" s="46" t="str">
        <x:f>IF(OR(K699="",L699=""),"",L699-K699)</x:f>
      </x:c>
      <x:c r="N699" s="46" t="str">
        <x:f>IF(OR(K699="",A698&lt;&gt;A699,K698=""),"",K699-K698)</x:f>
      </x:c>
      <x:c r="O699" s="42" t="str">
        <x:v>Sem informação</x:v>
      </x:c>
      <x:c r="P699" s="42"/>
      <x:c r="Q699" s="42" t="str"/>
      <x:c r="R699" s="42" t="str"/>
      <x:c r="S699" s="42" t="str"/>
      <x:c r="T699" s="42" t="str"/>
    </x:row>
    <x:row r="700">
      <x:c r="A700" s="42" t="str">
        <x:v>Wesley França</x:v>
      </x:c>
      <x:c r="B700" s="42" t="n">
        <x:v>2030</x:v>
      </x:c>
      <x:c r="C700" s="42" t="str">
        <x:v>T3</x:v>
      </x:c>
      <x:c r="D700" s="44" t="n">
        <x:v>47756</x:v>
      </x:c>
      <x:c r="E700" s="42" t="str">
        <x:v>Lateral-direito</x:v>
      </x:c>
      <x:c r="F700" s="42" t="str">
        <x:v>AS Roma</x:v>
      </x:c>
      <x:c r="G700" s="46"/>
      <x:c r="H700" s="46"/>
      <x:c r="I700" s="46"/>
      <x:c r="J700" s="46"/>
      <x:c r="K700" s="46" t="str">
        <x:f>IF(COUNT(G700,I700)=0,"",AVERAGE(G700,I700))</x:f>
      </x:c>
      <x:c r="L700" s="46" t="str">
        <x:f>IF(COUNT(H700,J700)=0,"",AVERAGE(H700,J700))</x:f>
      </x:c>
      <x:c r="M700" s="46" t="str">
        <x:f>IF(OR(K700="",L700=""),"",L700-K700)</x:f>
      </x:c>
      <x:c r="N700" s="46" t="str">
        <x:f>IF(OR(K700="",A699&lt;&gt;A700,K699=""),"",K700-K699)</x:f>
      </x:c>
      <x:c r="O700" s="42" t="str">
        <x:v>Sem informação</x:v>
      </x:c>
      <x:c r="P700" s="42"/>
      <x:c r="Q700" s="42" t="str"/>
      <x:c r="R700" s="42" t="str"/>
      <x:c r="S700" s="42" t="str"/>
      <x:c r="T700" s="42" t="str"/>
    </x:row>
    <x:row r="701">
      <x:c r="A701" s="42" t="str">
        <x:v>Wesley França</x:v>
      </x:c>
      <x:c r="B701" s="42" t="n">
        <x:v>2030</x:v>
      </x:c>
      <x:c r="C701" s="42" t="str">
        <x:v>T4</x:v>
      </x:c>
      <x:c r="D701" s="44" t="n">
        <x:v>47848</x:v>
      </x:c>
      <x:c r="E701" s="42" t="str">
        <x:v>Lateral-direito</x:v>
      </x:c>
      <x:c r="F701" s="42" t="str">
        <x:v>AS Roma</x:v>
      </x:c>
      <x:c r="G701" s="46"/>
      <x:c r="H701" s="46"/>
      <x:c r="I701" s="46"/>
      <x:c r="J701" s="46"/>
      <x:c r="K701" s="46" t="str">
        <x:f>IF(COUNT(G701,I701)=0,"",AVERAGE(G701,I701))</x:f>
      </x:c>
      <x:c r="L701" s="46" t="str">
        <x:f>IF(COUNT(H701,J701)=0,"",AVERAGE(H701,J701))</x:f>
      </x:c>
      <x:c r="M701" s="46" t="str">
        <x:f>IF(OR(K701="",L701=""),"",L701-K701)</x:f>
      </x:c>
      <x:c r="N701" s="46" t="str">
        <x:f>IF(OR(K701="",A700&lt;&gt;A701,K700=""),"",K701-K700)</x:f>
      </x:c>
      <x:c r="O701" s="42" t="str">
        <x:v>Sem informação</x:v>
      </x:c>
      <x:c r="P701" s="42"/>
      <x:c r="Q701" s="42" t="str"/>
      <x:c r="R701" s="42" t="str"/>
      <x:c r="S701" s="42" t="str"/>
      <x:c r="T701" s="42" t="str"/>
    </x:row>
    <x:row r="702">
      <x:c r="A702" s="42" t="str">
        <x:v>Yan Couto</x:v>
      </x:c>
      <x:c r="B702" s="42" t="n">
        <x:v>2026</x:v>
      </x:c>
      <x:c r="C702" s="42" t="str">
        <x:v>T1</x:v>
      </x:c>
      <x:c r="D702" s="44" t="n">
        <x:v>46112</x:v>
      </x:c>
      <x:c r="E702" s="42" t="str">
        <x:v>Lateral-direito</x:v>
      </x:c>
      <x:c r="F702" s="42" t="str">
        <x:v>Borussia Dortmund</x:v>
      </x:c>
      <x:c r="G702" s="46"/>
      <x:c r="H702" s="46"/>
      <x:c r="I702" s="46"/>
      <x:c r="J702" s="46"/>
      <x:c r="K702" s="46" t="str">
        <x:f>IF(COUNT(G702,I702)=0,"",AVERAGE(G702,I702))</x:f>
      </x:c>
      <x:c r="L702" s="46" t="str">
        <x:f>IF(COUNT(H702,J702)=0,"",AVERAGE(H702,J702))</x:f>
      </x:c>
      <x:c r="M702" s="46" t="str">
        <x:f>IF(OR(K702="",L702=""),"",L702-K702)</x:f>
      </x:c>
      <x:c r="N702" s="46" t="str">
        <x:f>IF(OR(K702="",A701&lt;&gt;A702,K701=""),"",K702-K701)</x:f>
      </x:c>
      <x:c r="O702" s="42" t="str">
        <x:v>Sem informação</x:v>
      </x:c>
      <x:c r="P702" s="42"/>
      <x:c r="Q702" s="42" t="str"/>
      <x:c r="R702" s="42" t="str"/>
      <x:c r="S702" s="42" t="str"/>
      <x:c r="T702" s="42" t="str"/>
    </x:row>
    <x:row r="703">
      <x:c r="A703" s="42" t="str">
        <x:v>Yan Couto</x:v>
      </x:c>
      <x:c r="B703" s="42" t="n">
        <x:v>2026</x:v>
      </x:c>
      <x:c r="C703" s="42" t="str">
        <x:v>T2</x:v>
      </x:c>
      <x:c r="D703" s="44" t="n">
        <x:v>46203</x:v>
      </x:c>
      <x:c r="E703" s="42" t="str">
        <x:v>Lateral-direito</x:v>
      </x:c>
      <x:c r="F703" s="42" t="str">
        <x:v>Borussia Dortmund</x:v>
      </x:c>
      <x:c r="G703" s="46" t="n">
        <x:v>7</x:v>
      </x:c>
      <x:c r="H703" s="46" t="n">
        <x:v>8</x:v>
      </x:c>
      <x:c r="I703" s="46" t="n">
        <x:v>7.5</x:v>
      </x:c>
      <x:c r="J703" s="46" t="n">
        <x:v>8</x:v>
      </x:c>
      <x:c r="K703" s="46" t="n">
        <x:f>IF(COUNT(G703,I703)=0,"",AVERAGE(G703,I703))</x:f>
        <x:v>7.25</x:v>
      </x:c>
      <x:c r="L703" s="46" t="n">
        <x:f>IF(COUNT(H703,J703)=0,"",AVERAGE(H703,J703))</x:f>
        <x:v>8</x:v>
      </x:c>
      <x:c r="M703" s="46" t="n">
        <x:f>IF(OR(K703="",L703=""),"",L703-K703)</x:f>
        <x:v>0.75</x:v>
      </x:c>
      <x:c r="N703" s="46" t="str">
        <x:f>IF(OR(K703="",A702&lt;&gt;A703,K702=""),"",K703-K702)</x:f>
      </x:c>
      <x:c r="O703" s="42" t="str">
        <x:v>Sem informação</x:v>
      </x:c>
      <x:c r="P703" s="42"/>
      <x:c r="Q703" s="42" t="str"/>
      <x:c r="R703" s="42" t="str">
        <x:v>Lateral equilibrado.</x:v>
      </x:c>
      <x:c r="S703" s="42" t="str"/>
      <x:c r="T703" s="42" t="str"/>
    </x:row>
    <x:row r="704">
      <x:c r="A704" s="42" t="str">
        <x:v>Yan Couto</x:v>
      </x:c>
      <x:c r="B704" s="42" t="n">
        <x:v>2026</x:v>
      </x:c>
      <x:c r="C704" s="42" t="str">
        <x:v>T3</x:v>
      </x:c>
      <x:c r="D704" s="44" t="n">
        <x:v>46295</x:v>
      </x:c>
      <x:c r="E704" s="42" t="str">
        <x:v>Lateral-direito</x:v>
      </x:c>
      <x:c r="F704" s="42" t="str">
        <x:v>Borussia Dortmund</x:v>
      </x:c>
      <x:c r="G704" s="46"/>
      <x:c r="H704" s="46"/>
      <x:c r="I704" s="46"/>
      <x:c r="J704" s="46"/>
      <x:c r="K704" s="46" t="str">
        <x:f>IF(COUNT(G704,I704)=0,"",AVERAGE(G704,I704))</x:f>
      </x:c>
      <x:c r="L704" s="46" t="str">
        <x:f>IF(COUNT(H704,J704)=0,"",AVERAGE(H704,J704))</x:f>
      </x:c>
      <x:c r="M704" s="46" t="str">
        <x:f>IF(OR(K704="",L704=""),"",L704-K704)</x:f>
      </x:c>
      <x:c r="N704" s="46" t="str">
        <x:f>IF(OR(K704="",A703&lt;&gt;A704,K703=""),"",K704-K703)</x:f>
      </x:c>
      <x:c r="O704" s="42" t="str">
        <x:v>Sem informação</x:v>
      </x:c>
      <x:c r="P704" s="42"/>
      <x:c r="Q704" s="42" t="str"/>
      <x:c r="R704" s="42" t="str"/>
      <x:c r="S704" s="42" t="str"/>
      <x:c r="T704" s="42" t="str"/>
    </x:row>
    <x:row r="705">
      <x:c r="A705" s="42" t="str">
        <x:v>Yan Couto</x:v>
      </x:c>
      <x:c r="B705" s="42" t="n">
        <x:v>2026</x:v>
      </x:c>
      <x:c r="C705" s="42" t="str">
        <x:v>T4</x:v>
      </x:c>
      <x:c r="D705" s="44" t="n">
        <x:v>46387</x:v>
      </x:c>
      <x:c r="E705" s="42" t="str">
        <x:v>Lateral-direito</x:v>
      </x:c>
      <x:c r="F705" s="42" t="str">
        <x:v>Borussia Dortmund</x:v>
      </x:c>
      <x:c r="G705" s="46"/>
      <x:c r="H705" s="46"/>
      <x:c r="I705" s="46"/>
      <x:c r="J705" s="46"/>
      <x:c r="K705" s="46" t="str">
        <x:f>IF(COUNT(G705,I705)=0,"",AVERAGE(G705,I705))</x:f>
      </x:c>
      <x:c r="L705" s="46" t="str">
        <x:f>IF(COUNT(H705,J705)=0,"",AVERAGE(H705,J705))</x:f>
      </x:c>
      <x:c r="M705" s="46" t="str">
        <x:f>IF(OR(K705="",L705=""),"",L705-K705)</x:f>
      </x:c>
      <x:c r="N705" s="46" t="str">
        <x:f>IF(OR(K705="",A704&lt;&gt;A705,K704=""),"",K705-K704)</x:f>
      </x:c>
      <x:c r="O705" s="42" t="str">
        <x:v>Sem informação</x:v>
      </x:c>
      <x:c r="P705" s="42"/>
      <x:c r="Q705" s="42" t="str"/>
      <x:c r="R705" s="42" t="str"/>
      <x:c r="S705" s="42" t="str"/>
      <x:c r="T705" s="42" t="str"/>
    </x:row>
    <x:row r="706">
      <x:c r="A706" s="42" t="str">
        <x:v>Yan Couto</x:v>
      </x:c>
      <x:c r="B706" s="42" t="n">
        <x:v>2027</x:v>
      </x:c>
      <x:c r="C706" s="42" t="str">
        <x:v>T1</x:v>
      </x:c>
      <x:c r="D706" s="44" t="n">
        <x:v>46477</x:v>
      </x:c>
      <x:c r="E706" s="42" t="str">
        <x:v>Lateral-direito</x:v>
      </x:c>
      <x:c r="F706" s="42" t="str">
        <x:v>Borussia Dortmund</x:v>
      </x:c>
      <x:c r="G706" s="46"/>
      <x:c r="H706" s="46"/>
      <x:c r="I706" s="46"/>
      <x:c r="J706" s="46"/>
      <x:c r="K706" s="46" t="str">
        <x:f>IF(COUNT(G706,I706)=0,"",AVERAGE(G706,I706))</x:f>
      </x:c>
      <x:c r="L706" s="46" t="str">
        <x:f>IF(COUNT(H706,J706)=0,"",AVERAGE(H706,J706))</x:f>
      </x:c>
      <x:c r="M706" s="46" t="str">
        <x:f>IF(OR(K706="",L706=""),"",L706-K706)</x:f>
      </x:c>
      <x:c r="N706" s="46" t="str">
        <x:f>IF(OR(K706="",A705&lt;&gt;A706,K705=""),"",K706-K705)</x:f>
      </x:c>
      <x:c r="O706" s="42" t="str">
        <x:v>Sem informação</x:v>
      </x:c>
      <x:c r="P706" s="42"/>
      <x:c r="Q706" s="42" t="str"/>
      <x:c r="R706" s="42" t="str"/>
      <x:c r="S706" s="42" t="str"/>
      <x:c r="T706" s="42" t="str"/>
    </x:row>
    <x:row r="707">
      <x:c r="A707" s="42" t="str">
        <x:v>Yan Couto</x:v>
      </x:c>
      <x:c r="B707" s="42" t="n">
        <x:v>2027</x:v>
      </x:c>
      <x:c r="C707" s="42" t="str">
        <x:v>T2</x:v>
      </x:c>
      <x:c r="D707" s="44" t="n">
        <x:v>46568</x:v>
      </x:c>
      <x:c r="E707" s="42" t="str">
        <x:v>Lateral-direito</x:v>
      </x:c>
      <x:c r="F707" s="42" t="str">
        <x:v>Borussia Dortmund</x:v>
      </x:c>
      <x:c r="G707" s="46"/>
      <x:c r="H707" s="46"/>
      <x:c r="I707" s="46"/>
      <x:c r="J707" s="46"/>
      <x:c r="K707" s="46" t="str">
        <x:f>IF(COUNT(G707,I707)=0,"",AVERAGE(G707,I707))</x:f>
      </x:c>
      <x:c r="L707" s="46" t="str">
        <x:f>IF(COUNT(H707,J707)=0,"",AVERAGE(H707,J707))</x:f>
      </x:c>
      <x:c r="M707" s="46" t="str">
        <x:f>IF(OR(K707="",L707=""),"",L707-K707)</x:f>
      </x:c>
      <x:c r="N707" s="46" t="str">
        <x:f>IF(OR(K707="",A706&lt;&gt;A707,K706=""),"",K707-K706)</x:f>
      </x:c>
      <x:c r="O707" s="42" t="str">
        <x:v>Sem informação</x:v>
      </x:c>
      <x:c r="P707" s="42"/>
      <x:c r="Q707" s="42" t="str"/>
      <x:c r="R707" s="42" t="str"/>
      <x:c r="S707" s="42" t="str"/>
      <x:c r="T707" s="42" t="str"/>
    </x:row>
    <x:row r="708">
      <x:c r="A708" s="42" t="str">
        <x:v>Yan Couto</x:v>
      </x:c>
      <x:c r="B708" s="42" t="n">
        <x:v>2027</x:v>
      </x:c>
      <x:c r="C708" s="42" t="str">
        <x:v>T3</x:v>
      </x:c>
      <x:c r="D708" s="44" t="n">
        <x:v>46660</x:v>
      </x:c>
      <x:c r="E708" s="42" t="str">
        <x:v>Lateral-direito</x:v>
      </x:c>
      <x:c r="F708" s="42" t="str">
        <x:v>Borussia Dortmund</x:v>
      </x:c>
      <x:c r="G708" s="46"/>
      <x:c r="H708" s="46"/>
      <x:c r="I708" s="46"/>
      <x:c r="J708" s="46"/>
      <x:c r="K708" s="46" t="str">
        <x:f>IF(COUNT(G708,I708)=0,"",AVERAGE(G708,I708))</x:f>
      </x:c>
      <x:c r="L708" s="46" t="str">
        <x:f>IF(COUNT(H708,J708)=0,"",AVERAGE(H708,J708))</x:f>
      </x:c>
      <x:c r="M708" s="46" t="str">
        <x:f>IF(OR(K708="",L708=""),"",L708-K708)</x:f>
      </x:c>
      <x:c r="N708" s="46" t="str">
        <x:f>IF(OR(K708="",A707&lt;&gt;A708,K707=""),"",K708-K707)</x:f>
      </x:c>
      <x:c r="O708" s="42" t="str">
        <x:v>Sem informação</x:v>
      </x:c>
      <x:c r="P708" s="42"/>
      <x:c r="Q708" s="42" t="str"/>
      <x:c r="R708" s="42" t="str"/>
      <x:c r="S708" s="42" t="str"/>
      <x:c r="T708" s="42" t="str"/>
    </x:row>
    <x:row r="709">
      <x:c r="A709" s="42" t="str">
        <x:v>Yan Couto</x:v>
      </x:c>
      <x:c r="B709" s="42" t="n">
        <x:v>2027</x:v>
      </x:c>
      <x:c r="C709" s="42" t="str">
        <x:v>T4</x:v>
      </x:c>
      <x:c r="D709" s="44" t="n">
        <x:v>46752</x:v>
      </x:c>
      <x:c r="E709" s="42" t="str">
        <x:v>Lateral-direito</x:v>
      </x:c>
      <x:c r="F709" s="42" t="str">
        <x:v>Borussia Dortmund</x:v>
      </x:c>
      <x:c r="G709" s="46"/>
      <x:c r="H709" s="46"/>
      <x:c r="I709" s="46"/>
      <x:c r="J709" s="46"/>
      <x:c r="K709" s="46" t="str">
        <x:f>IF(COUNT(G709,I709)=0,"",AVERAGE(G709,I709))</x:f>
      </x:c>
      <x:c r="L709" s="46" t="str">
        <x:f>IF(COUNT(H709,J709)=0,"",AVERAGE(H709,J709))</x:f>
      </x:c>
      <x:c r="M709" s="46" t="str">
        <x:f>IF(OR(K709="",L709=""),"",L709-K709)</x:f>
      </x:c>
      <x:c r="N709" s="46" t="str">
        <x:f>IF(OR(K709="",A708&lt;&gt;A709,K708=""),"",K709-K708)</x:f>
      </x:c>
      <x:c r="O709" s="42" t="str">
        <x:v>Sem informação</x:v>
      </x:c>
      <x:c r="P709" s="42"/>
      <x:c r="Q709" s="42" t="str"/>
      <x:c r="R709" s="42" t="str"/>
      <x:c r="S709" s="42" t="str"/>
      <x:c r="T709" s="42" t="str"/>
    </x:row>
    <x:row r="710">
      <x:c r="A710" s="42" t="str">
        <x:v>Yan Couto</x:v>
      </x:c>
      <x:c r="B710" s="42" t="n">
        <x:v>2028</x:v>
      </x:c>
      <x:c r="C710" s="42" t="str">
        <x:v>T1</x:v>
      </x:c>
      <x:c r="D710" s="44" t="n">
        <x:v>46843</x:v>
      </x:c>
      <x:c r="E710" s="42" t="str">
        <x:v>Lateral-direito</x:v>
      </x:c>
      <x:c r="F710" s="42" t="str">
        <x:v>Borussia Dortmund</x:v>
      </x:c>
      <x:c r="G710" s="46"/>
      <x:c r="H710" s="46"/>
      <x:c r="I710" s="46"/>
      <x:c r="J710" s="46"/>
      <x:c r="K710" s="46" t="str">
        <x:f>IF(COUNT(G710,I710)=0,"",AVERAGE(G710,I710))</x:f>
      </x:c>
      <x:c r="L710" s="46" t="str">
        <x:f>IF(COUNT(H710,J710)=0,"",AVERAGE(H710,J710))</x:f>
      </x:c>
      <x:c r="M710" s="46" t="str">
        <x:f>IF(OR(K710="",L710=""),"",L710-K710)</x:f>
      </x:c>
      <x:c r="N710" s="46" t="str">
        <x:f>IF(OR(K710="",A709&lt;&gt;A710,K709=""),"",K710-K709)</x:f>
      </x:c>
      <x:c r="O710" s="42" t="str">
        <x:v>Sem informação</x:v>
      </x:c>
      <x:c r="P710" s="42"/>
      <x:c r="Q710" s="42" t="str"/>
      <x:c r="R710" s="42" t="str"/>
      <x:c r="S710" s="42" t="str"/>
      <x:c r="T710" s="42" t="str"/>
    </x:row>
    <x:row r="711">
      <x:c r="A711" s="42" t="str">
        <x:v>Yan Couto</x:v>
      </x:c>
      <x:c r="B711" s="42" t="n">
        <x:v>2028</x:v>
      </x:c>
      <x:c r="C711" s="42" t="str">
        <x:v>T2</x:v>
      </x:c>
      <x:c r="D711" s="44" t="n">
        <x:v>46934</x:v>
      </x:c>
      <x:c r="E711" s="42" t="str">
        <x:v>Lateral-direito</x:v>
      </x:c>
      <x:c r="F711" s="42" t="str">
        <x:v>Borussia Dortmund</x:v>
      </x:c>
      <x:c r="G711" s="46"/>
      <x:c r="H711" s="46"/>
      <x:c r="I711" s="46"/>
      <x:c r="J711" s="46"/>
      <x:c r="K711" s="46" t="str">
        <x:f>IF(COUNT(G711,I711)=0,"",AVERAGE(G711,I711))</x:f>
      </x:c>
      <x:c r="L711" s="46" t="str">
        <x:f>IF(COUNT(H711,J711)=0,"",AVERAGE(H711,J711))</x:f>
      </x:c>
      <x:c r="M711" s="46" t="str">
        <x:f>IF(OR(K711="",L711=""),"",L711-K711)</x:f>
      </x:c>
      <x:c r="N711" s="46" t="str">
        <x:f>IF(OR(K711="",A710&lt;&gt;A711,K710=""),"",K711-K710)</x:f>
      </x:c>
      <x:c r="O711" s="42" t="str">
        <x:v>Sem informação</x:v>
      </x:c>
      <x:c r="P711" s="42"/>
      <x:c r="Q711" s="42" t="str"/>
      <x:c r="R711" s="42" t="str"/>
      <x:c r="S711" s="42" t="str"/>
      <x:c r="T711" s="42" t="str"/>
    </x:row>
    <x:row r="712">
      <x:c r="A712" s="42" t="str">
        <x:v>Yan Couto</x:v>
      </x:c>
      <x:c r="B712" s="42" t="n">
        <x:v>2028</x:v>
      </x:c>
      <x:c r="C712" s="42" t="str">
        <x:v>T3</x:v>
      </x:c>
      <x:c r="D712" s="44" t="n">
        <x:v>47026</x:v>
      </x:c>
      <x:c r="E712" s="42" t="str">
        <x:v>Lateral-direito</x:v>
      </x:c>
      <x:c r="F712" s="42" t="str">
        <x:v>Borussia Dortmund</x:v>
      </x:c>
      <x:c r="G712" s="46"/>
      <x:c r="H712" s="46"/>
      <x:c r="I712" s="46"/>
      <x:c r="J712" s="46"/>
      <x:c r="K712" s="46" t="str">
        <x:f>IF(COUNT(G712,I712)=0,"",AVERAGE(G712,I712))</x:f>
      </x:c>
      <x:c r="L712" s="46" t="str">
        <x:f>IF(COUNT(H712,J712)=0,"",AVERAGE(H712,J712))</x:f>
      </x:c>
      <x:c r="M712" s="46" t="str">
        <x:f>IF(OR(K712="",L712=""),"",L712-K712)</x:f>
      </x:c>
      <x:c r="N712" s="46" t="str">
        <x:f>IF(OR(K712="",A711&lt;&gt;A712,K711=""),"",K712-K711)</x:f>
      </x:c>
      <x:c r="O712" s="42" t="str">
        <x:v>Sem informação</x:v>
      </x:c>
      <x:c r="P712" s="42"/>
      <x:c r="Q712" s="42" t="str"/>
      <x:c r="R712" s="42" t="str"/>
      <x:c r="S712" s="42" t="str"/>
      <x:c r="T712" s="42" t="str"/>
    </x:row>
    <x:row r="713">
      <x:c r="A713" s="42" t="str">
        <x:v>Yan Couto</x:v>
      </x:c>
      <x:c r="B713" s="42" t="n">
        <x:v>2028</x:v>
      </x:c>
      <x:c r="C713" s="42" t="str">
        <x:v>T4</x:v>
      </x:c>
      <x:c r="D713" s="44" t="n">
        <x:v>47118</x:v>
      </x:c>
      <x:c r="E713" s="42" t="str">
        <x:v>Lateral-direito</x:v>
      </x:c>
      <x:c r="F713" s="42" t="str">
        <x:v>Borussia Dortmund</x:v>
      </x:c>
      <x:c r="G713" s="46"/>
      <x:c r="H713" s="46"/>
      <x:c r="I713" s="46"/>
      <x:c r="J713" s="46"/>
      <x:c r="K713" s="46" t="str">
        <x:f>IF(COUNT(G713,I713)=0,"",AVERAGE(G713,I713))</x:f>
      </x:c>
      <x:c r="L713" s="46" t="str">
        <x:f>IF(COUNT(H713,J713)=0,"",AVERAGE(H713,J713))</x:f>
      </x:c>
      <x:c r="M713" s="46" t="str">
        <x:f>IF(OR(K713="",L713=""),"",L713-K713)</x:f>
      </x:c>
      <x:c r="N713" s="46" t="str">
        <x:f>IF(OR(K713="",A712&lt;&gt;A713,K712=""),"",K713-K712)</x:f>
      </x:c>
      <x:c r="O713" s="42" t="str">
        <x:v>Sem informação</x:v>
      </x:c>
      <x:c r="P713" s="42"/>
      <x:c r="Q713" s="42" t="str"/>
      <x:c r="R713" s="42" t="str"/>
      <x:c r="S713" s="42" t="str"/>
      <x:c r="T713" s="42" t="str"/>
    </x:row>
    <x:row r="714">
      <x:c r="A714" s="42" t="str">
        <x:v>Yan Couto</x:v>
      </x:c>
      <x:c r="B714" s="42" t="n">
        <x:v>2029</x:v>
      </x:c>
      <x:c r="C714" s="42" t="str">
        <x:v>T1</x:v>
      </x:c>
      <x:c r="D714" s="44" t="n">
        <x:v>47208</x:v>
      </x:c>
      <x:c r="E714" s="42" t="str">
        <x:v>Lateral-direito</x:v>
      </x:c>
      <x:c r="F714" s="42" t="str">
        <x:v>Borussia Dortmund</x:v>
      </x:c>
      <x:c r="G714" s="46"/>
      <x:c r="H714" s="46"/>
      <x:c r="I714" s="46"/>
      <x:c r="J714" s="46"/>
      <x:c r="K714" s="46" t="str">
        <x:f>IF(COUNT(G714,I714)=0,"",AVERAGE(G714,I714))</x:f>
      </x:c>
      <x:c r="L714" s="46" t="str">
        <x:f>IF(COUNT(H714,J714)=0,"",AVERAGE(H714,J714))</x:f>
      </x:c>
      <x:c r="M714" s="46" t="str">
        <x:f>IF(OR(K714="",L714=""),"",L714-K714)</x:f>
      </x:c>
      <x:c r="N714" s="46" t="str">
        <x:f>IF(OR(K714="",A713&lt;&gt;A714,K713=""),"",K714-K713)</x:f>
      </x:c>
      <x:c r="O714" s="42" t="str">
        <x:v>Sem informação</x:v>
      </x:c>
      <x:c r="P714" s="42"/>
      <x:c r="Q714" s="42" t="str"/>
      <x:c r="R714" s="42" t="str"/>
      <x:c r="S714" s="42" t="str"/>
      <x:c r="T714" s="42" t="str"/>
    </x:row>
    <x:row r="715">
      <x:c r="A715" s="42" t="str">
        <x:v>Yan Couto</x:v>
      </x:c>
      <x:c r="B715" s="42" t="n">
        <x:v>2029</x:v>
      </x:c>
      <x:c r="C715" s="42" t="str">
        <x:v>T2</x:v>
      </x:c>
      <x:c r="D715" s="44" t="n">
        <x:v>47299</x:v>
      </x:c>
      <x:c r="E715" s="42" t="str">
        <x:v>Lateral-direito</x:v>
      </x:c>
      <x:c r="F715" s="42" t="str">
        <x:v>Borussia Dortmund</x:v>
      </x:c>
      <x:c r="G715" s="46"/>
      <x:c r="H715" s="46"/>
      <x:c r="I715" s="46"/>
      <x:c r="J715" s="46"/>
      <x:c r="K715" s="46" t="str">
        <x:f>IF(COUNT(G715,I715)=0,"",AVERAGE(G715,I715))</x:f>
      </x:c>
      <x:c r="L715" s="46" t="str">
        <x:f>IF(COUNT(H715,J715)=0,"",AVERAGE(H715,J715))</x:f>
      </x:c>
      <x:c r="M715" s="46" t="str">
        <x:f>IF(OR(K715="",L715=""),"",L715-K715)</x:f>
      </x:c>
      <x:c r="N715" s="46" t="str">
        <x:f>IF(OR(K715="",A714&lt;&gt;A715,K714=""),"",K715-K714)</x:f>
      </x:c>
      <x:c r="O715" s="42" t="str">
        <x:v>Sem informação</x:v>
      </x:c>
      <x:c r="P715" s="42"/>
      <x:c r="Q715" s="42" t="str"/>
      <x:c r="R715" s="42" t="str"/>
      <x:c r="S715" s="42" t="str"/>
      <x:c r="T715" s="42" t="str"/>
    </x:row>
    <x:row r="716">
      <x:c r="A716" s="42" t="str">
        <x:v>Yan Couto</x:v>
      </x:c>
      <x:c r="B716" s="42" t="n">
        <x:v>2029</x:v>
      </x:c>
      <x:c r="C716" s="42" t="str">
        <x:v>T3</x:v>
      </x:c>
      <x:c r="D716" s="44" t="n">
        <x:v>47391</x:v>
      </x:c>
      <x:c r="E716" s="42" t="str">
        <x:v>Lateral-direito</x:v>
      </x:c>
      <x:c r="F716" s="42" t="str">
        <x:v>Borussia Dortmund</x:v>
      </x:c>
      <x:c r="G716" s="46"/>
      <x:c r="H716" s="46"/>
      <x:c r="I716" s="46"/>
      <x:c r="J716" s="46"/>
      <x:c r="K716" s="46" t="str">
        <x:f>IF(COUNT(G716,I716)=0,"",AVERAGE(G716,I716))</x:f>
      </x:c>
      <x:c r="L716" s="46" t="str">
        <x:f>IF(COUNT(H716,J716)=0,"",AVERAGE(H716,J716))</x:f>
      </x:c>
      <x:c r="M716" s="46" t="str">
        <x:f>IF(OR(K716="",L716=""),"",L716-K716)</x:f>
      </x:c>
      <x:c r="N716" s="46" t="str">
        <x:f>IF(OR(K716="",A715&lt;&gt;A716,K715=""),"",K716-K715)</x:f>
      </x:c>
      <x:c r="O716" s="42" t="str">
        <x:v>Sem informação</x:v>
      </x:c>
      <x:c r="P716" s="42"/>
      <x:c r="Q716" s="42" t="str"/>
      <x:c r="R716" s="42" t="str"/>
      <x:c r="S716" s="42" t="str"/>
      <x:c r="T716" s="42" t="str"/>
    </x:row>
    <x:row r="717">
      <x:c r="A717" s="42" t="str">
        <x:v>Yan Couto</x:v>
      </x:c>
      <x:c r="B717" s="42" t="n">
        <x:v>2029</x:v>
      </x:c>
      <x:c r="C717" s="42" t="str">
        <x:v>T4</x:v>
      </x:c>
      <x:c r="D717" s="44" t="n">
        <x:v>47483</x:v>
      </x:c>
      <x:c r="E717" s="42" t="str">
        <x:v>Lateral-direito</x:v>
      </x:c>
      <x:c r="F717" s="42" t="str">
        <x:v>Borussia Dortmund</x:v>
      </x:c>
      <x:c r="G717" s="46"/>
      <x:c r="H717" s="46"/>
      <x:c r="I717" s="46"/>
      <x:c r="J717" s="46"/>
      <x:c r="K717" s="46" t="str">
        <x:f>IF(COUNT(G717,I717)=0,"",AVERAGE(G717,I717))</x:f>
      </x:c>
      <x:c r="L717" s="46" t="str">
        <x:f>IF(COUNT(H717,J717)=0,"",AVERAGE(H717,J717))</x:f>
      </x:c>
      <x:c r="M717" s="46" t="str">
        <x:f>IF(OR(K717="",L717=""),"",L717-K717)</x:f>
      </x:c>
      <x:c r="N717" s="46" t="str">
        <x:f>IF(OR(K717="",A716&lt;&gt;A717,K716=""),"",K717-K716)</x:f>
      </x:c>
      <x:c r="O717" s="42" t="str">
        <x:v>Sem informação</x:v>
      </x:c>
      <x:c r="P717" s="42"/>
      <x:c r="Q717" s="42" t="str"/>
      <x:c r="R717" s="42" t="str"/>
      <x:c r="S717" s="42" t="str"/>
      <x:c r="T717" s="42" t="str"/>
    </x:row>
    <x:row r="718">
      <x:c r="A718" s="42" t="str">
        <x:v>Yan Couto</x:v>
      </x:c>
      <x:c r="B718" s="42" t="n">
        <x:v>2030</x:v>
      </x:c>
      <x:c r="C718" s="42" t="str">
        <x:v>T1</x:v>
      </x:c>
      <x:c r="D718" s="44" t="n">
        <x:v>47573</x:v>
      </x:c>
      <x:c r="E718" s="42" t="str">
        <x:v>Lateral-direito</x:v>
      </x:c>
      <x:c r="F718" s="42" t="str">
        <x:v>Borussia Dortmund</x:v>
      </x:c>
      <x:c r="G718" s="46"/>
      <x:c r="H718" s="46"/>
      <x:c r="I718" s="46"/>
      <x:c r="J718" s="46"/>
      <x:c r="K718" s="46" t="str">
        <x:f>IF(COUNT(G718,I718)=0,"",AVERAGE(G718,I718))</x:f>
      </x:c>
      <x:c r="L718" s="46" t="str">
        <x:f>IF(COUNT(H718,J718)=0,"",AVERAGE(H718,J718))</x:f>
      </x:c>
      <x:c r="M718" s="46" t="str">
        <x:f>IF(OR(K718="",L718=""),"",L718-K718)</x:f>
      </x:c>
      <x:c r="N718" s="46" t="str">
        <x:f>IF(OR(K718="",A717&lt;&gt;A718,K717=""),"",K718-K717)</x:f>
      </x:c>
      <x:c r="O718" s="42" t="str">
        <x:v>Sem informação</x:v>
      </x:c>
      <x:c r="P718" s="42"/>
      <x:c r="Q718" s="42" t="str"/>
      <x:c r="R718" s="42" t="str"/>
      <x:c r="S718" s="42" t="str"/>
      <x:c r="T718" s="42" t="str"/>
    </x:row>
    <x:row r="719">
      <x:c r="A719" s="42" t="str">
        <x:v>Yan Couto</x:v>
      </x:c>
      <x:c r="B719" s="42" t="n">
        <x:v>2030</x:v>
      </x:c>
      <x:c r="C719" s="42" t="str">
        <x:v>T2</x:v>
      </x:c>
      <x:c r="D719" s="44" t="n">
        <x:v>47664</x:v>
      </x:c>
      <x:c r="E719" s="42" t="str">
        <x:v>Lateral-direito</x:v>
      </x:c>
      <x:c r="F719" s="42" t="str">
        <x:v>Borussia Dortmund</x:v>
      </x:c>
      <x:c r="G719" s="46"/>
      <x:c r="H719" s="46"/>
      <x:c r="I719" s="46"/>
      <x:c r="J719" s="46"/>
      <x:c r="K719" s="46" t="str">
        <x:f>IF(COUNT(G719,I719)=0,"",AVERAGE(G719,I719))</x:f>
      </x:c>
      <x:c r="L719" s="46" t="str">
        <x:f>IF(COUNT(H719,J719)=0,"",AVERAGE(H719,J719))</x:f>
      </x:c>
      <x:c r="M719" s="46" t="str">
        <x:f>IF(OR(K719="",L719=""),"",L719-K719)</x:f>
      </x:c>
      <x:c r="N719" s="46" t="str">
        <x:f>IF(OR(K719="",A718&lt;&gt;A719,K718=""),"",K719-K718)</x:f>
      </x:c>
      <x:c r="O719" s="42" t="str">
        <x:v>Sem informação</x:v>
      </x:c>
      <x:c r="P719" s="42"/>
      <x:c r="Q719" s="42" t="str"/>
      <x:c r="R719" s="42" t="str"/>
      <x:c r="S719" s="42" t="str"/>
      <x:c r="T719" s="42" t="str"/>
    </x:row>
    <x:row r="720">
      <x:c r="A720" s="42" t="str">
        <x:v>Yan Couto</x:v>
      </x:c>
      <x:c r="B720" s="42" t="n">
        <x:v>2030</x:v>
      </x:c>
      <x:c r="C720" s="42" t="str">
        <x:v>T3</x:v>
      </x:c>
      <x:c r="D720" s="44" t="n">
        <x:v>47756</x:v>
      </x:c>
      <x:c r="E720" s="42" t="str">
        <x:v>Lateral-direito</x:v>
      </x:c>
      <x:c r="F720" s="42" t="str">
        <x:v>Borussia Dortmund</x:v>
      </x:c>
      <x:c r="G720" s="46"/>
      <x:c r="H720" s="46"/>
      <x:c r="I720" s="46"/>
      <x:c r="J720" s="46"/>
      <x:c r="K720" s="46" t="str">
        <x:f>IF(COUNT(G720,I720)=0,"",AVERAGE(G720,I720))</x:f>
      </x:c>
      <x:c r="L720" s="46" t="str">
        <x:f>IF(COUNT(H720,J720)=0,"",AVERAGE(H720,J720))</x:f>
      </x:c>
      <x:c r="M720" s="46" t="str">
        <x:f>IF(OR(K720="",L720=""),"",L720-K720)</x:f>
      </x:c>
      <x:c r="N720" s="46" t="str">
        <x:f>IF(OR(K720="",A719&lt;&gt;A720,K719=""),"",K720-K719)</x:f>
      </x:c>
      <x:c r="O720" s="42" t="str">
        <x:v>Sem informação</x:v>
      </x:c>
      <x:c r="P720" s="42"/>
      <x:c r="Q720" s="42" t="str"/>
      <x:c r="R720" s="42" t="str"/>
      <x:c r="S720" s="42" t="str"/>
      <x:c r="T720" s="42" t="str"/>
    </x:row>
    <x:row r="721">
      <x:c r="A721" s="42" t="str">
        <x:v>Yan Couto</x:v>
      </x:c>
      <x:c r="B721" s="42" t="n">
        <x:v>2030</x:v>
      </x:c>
      <x:c r="C721" s="42" t="str">
        <x:v>T4</x:v>
      </x:c>
      <x:c r="D721" s="44" t="n">
        <x:v>47848</x:v>
      </x:c>
      <x:c r="E721" s="42" t="str">
        <x:v>Lateral-direito</x:v>
      </x:c>
      <x:c r="F721" s="42" t="str">
        <x:v>Borussia Dortmund</x:v>
      </x:c>
      <x:c r="G721" s="46"/>
      <x:c r="H721" s="46"/>
      <x:c r="I721" s="46"/>
      <x:c r="J721" s="46"/>
      <x:c r="K721" s="46" t="str">
        <x:f>IF(COUNT(G721,I721)=0,"",AVERAGE(G721,I721))</x:f>
      </x:c>
      <x:c r="L721" s="46" t="str">
        <x:f>IF(COUNT(H721,J721)=0,"",AVERAGE(H721,J721))</x:f>
      </x:c>
      <x:c r="M721" s="46" t="str">
        <x:f>IF(OR(K721="",L721=""),"",L721-K721)</x:f>
      </x:c>
      <x:c r="N721" s="46" t="str">
        <x:f>IF(OR(K721="",A720&lt;&gt;A721,K720=""),"",K721-K720)</x:f>
      </x:c>
      <x:c r="O721" s="42" t="str">
        <x:v>Sem informação</x:v>
      </x:c>
      <x:c r="P721" s="42"/>
      <x:c r="Q721" s="42" t="str"/>
      <x:c r="R721" s="42" t="str"/>
      <x:c r="S721" s="42" t="str"/>
      <x:c r="T721" s="42" t="str"/>
    </x:row>
    <x:row r="722">
      <x:c r="A722" s="42" t="str">
        <x:v>Alexsandro</x:v>
      </x:c>
      <x:c r="B722" s="42" t="n">
        <x:v>2026</x:v>
      </x:c>
      <x:c r="C722" s="42" t="str">
        <x:v>T1</x:v>
      </x:c>
      <x:c r="D722" s="44" t="n">
        <x:v>46112</x:v>
      </x:c>
      <x:c r="E722" s="42" t="str">
        <x:v>Zagueiro</x:v>
      </x:c>
      <x:c r="F722" s="42" t="str">
        <x:v>LOSC Lille</x:v>
      </x:c>
      <x:c r="G722" s="46"/>
      <x:c r="H722" s="46"/>
      <x:c r="I722" s="46"/>
      <x:c r="J722" s="46"/>
      <x:c r="K722" s="46" t="str">
        <x:f>IF(COUNT(G722,I722)=0,"",AVERAGE(G722,I722))</x:f>
      </x:c>
      <x:c r="L722" s="46" t="str">
        <x:f>IF(COUNT(H722,J722)=0,"",AVERAGE(H722,J722))</x:f>
      </x:c>
      <x:c r="M722" s="46" t="str">
        <x:f>IF(OR(K722="",L722=""),"",L722-K722)</x:f>
      </x:c>
      <x:c r="N722" s="46" t="str">
        <x:f>IF(OR(K722="",A721&lt;&gt;A722,K721=""),"",K722-K721)</x:f>
      </x:c>
      <x:c r="O722" s="42" t="str">
        <x:v>Sem informação</x:v>
      </x:c>
      <x:c r="P722" s="42"/>
      <x:c r="Q722" s="42" t="str"/>
      <x:c r="R722" s="42" t="str"/>
      <x:c r="S722" s="42" t="str"/>
      <x:c r="T722" s="42" t="str"/>
    </x:row>
    <x:row r="723">
      <x:c r="A723" s="42" t="str">
        <x:v>Alexsandro</x:v>
      </x:c>
      <x:c r="B723" s="42" t="n">
        <x:v>2026</x:v>
      </x:c>
      <x:c r="C723" s="42" t="str">
        <x:v>T2</x:v>
      </x:c>
      <x:c r="D723" s="44" t="n">
        <x:v>46203</x:v>
      </x:c>
      <x:c r="E723" s="42" t="str">
        <x:v>Zagueiro</x:v>
      </x:c>
      <x:c r="F723" s="42" t="str">
        <x:v>LOSC Lille</x:v>
      </x:c>
      <x:c r="G723" s="46" t="n">
        <x:v>7</x:v>
      </x:c>
      <x:c r="H723" s="46" t="n">
        <x:v>7</x:v>
      </x:c>
      <x:c r="I723" s="46" t="n">
        <x:v>7</x:v>
      </x:c>
      <x:c r="J723" s="46" t="n">
        <x:v>7.5</x:v>
      </x:c>
      <x:c r="K723" s="46" t="n">
        <x:f>IF(COUNT(G723,I723)=0,"",AVERAGE(G723,I723))</x:f>
        <x:v>7</x:v>
      </x:c>
      <x:c r="L723" s="46" t="n">
        <x:f>IF(COUNT(H723,J723)=0,"",AVERAGE(H723,J723))</x:f>
        <x:v>7.25</x:v>
      </x:c>
      <x:c r="M723" s="46" t="n">
        <x:f>IF(OR(K723="",L723=""),"",L723-K723)</x:f>
        <x:v>0.25</x:v>
      </x:c>
      <x:c r="N723" s="46" t="str">
        <x:f>IF(OR(K723="",A722&lt;&gt;A723,K722=""),"",K723-K722)</x:f>
      </x:c>
      <x:c r="O723" s="42" t="str">
        <x:v>Sem informação</x:v>
      </x:c>
      <x:c r="P723" s="42"/>
      <x:c r="Q723" s="42" t="str"/>
      <x:c r="R723" s="42" t="str"/>
      <x:c r="S723" s="42" t="str"/>
      <x:c r="T723" s="42" t="str"/>
    </x:row>
    <x:row r="724">
      <x:c r="A724" s="42" t="str">
        <x:v>Alexsandro</x:v>
      </x:c>
      <x:c r="B724" s="42" t="n">
        <x:v>2026</x:v>
      </x:c>
      <x:c r="C724" s="42" t="str">
        <x:v>T3</x:v>
      </x:c>
      <x:c r="D724" s="44" t="n">
        <x:v>46295</x:v>
      </x:c>
      <x:c r="E724" s="42" t="str">
        <x:v>Zagueiro</x:v>
      </x:c>
      <x:c r="F724" s="42" t="str">
        <x:v>LOSC Lille</x:v>
      </x:c>
      <x:c r="G724" s="46"/>
      <x:c r="H724" s="46"/>
      <x:c r="I724" s="46"/>
      <x:c r="J724" s="46"/>
      <x:c r="K724" s="46" t="str">
        <x:f>IF(COUNT(G724,I724)=0,"",AVERAGE(G724,I724))</x:f>
      </x:c>
      <x:c r="L724" s="46" t="str">
        <x:f>IF(COUNT(H724,J724)=0,"",AVERAGE(H724,J724))</x:f>
      </x:c>
      <x:c r="M724" s="46" t="str">
        <x:f>IF(OR(K724="",L724=""),"",L724-K724)</x:f>
      </x:c>
      <x:c r="N724" s="46" t="str">
        <x:f>IF(OR(K724="",A723&lt;&gt;A724,K723=""),"",K724-K723)</x:f>
      </x:c>
      <x:c r="O724" s="42" t="str">
        <x:v>Sem informação</x:v>
      </x:c>
      <x:c r="P724" s="42"/>
      <x:c r="Q724" s="42" t="str"/>
      <x:c r="R724" s="42" t="str"/>
      <x:c r="S724" s="42" t="str"/>
      <x:c r="T724" s="42" t="str"/>
    </x:row>
    <x:row r="725">
      <x:c r="A725" s="42" t="str">
        <x:v>Alexsandro</x:v>
      </x:c>
      <x:c r="B725" s="42" t="n">
        <x:v>2026</x:v>
      </x:c>
      <x:c r="C725" s="42" t="str">
        <x:v>T4</x:v>
      </x:c>
      <x:c r="D725" s="44" t="n">
        <x:v>46387</x:v>
      </x:c>
      <x:c r="E725" s="42" t="str">
        <x:v>Zagueiro</x:v>
      </x:c>
      <x:c r="F725" s="42" t="str">
        <x:v>LOSC Lille</x:v>
      </x:c>
      <x:c r="G725" s="46"/>
      <x:c r="H725" s="46"/>
      <x:c r="I725" s="46"/>
      <x:c r="J725" s="46"/>
      <x:c r="K725" s="46" t="str">
        <x:f>IF(COUNT(G725,I725)=0,"",AVERAGE(G725,I725))</x:f>
      </x:c>
      <x:c r="L725" s="46" t="str">
        <x:f>IF(COUNT(H725,J725)=0,"",AVERAGE(H725,J725))</x:f>
      </x:c>
      <x:c r="M725" s="46" t="str">
        <x:f>IF(OR(K725="",L725=""),"",L725-K725)</x:f>
      </x:c>
      <x:c r="N725" s="46" t="str">
        <x:f>IF(OR(K725="",A724&lt;&gt;A725,K724=""),"",K725-K724)</x:f>
      </x:c>
      <x:c r="O725" s="42" t="str">
        <x:v>Sem informação</x:v>
      </x:c>
      <x:c r="P725" s="42"/>
      <x:c r="Q725" s="42" t="str"/>
      <x:c r="R725" s="42" t="str"/>
      <x:c r="S725" s="42" t="str"/>
      <x:c r="T725" s="42" t="str"/>
    </x:row>
    <x:row r="726">
      <x:c r="A726" s="42" t="str">
        <x:v>Alexsandro</x:v>
      </x:c>
      <x:c r="B726" s="42" t="n">
        <x:v>2027</x:v>
      </x:c>
      <x:c r="C726" s="42" t="str">
        <x:v>T1</x:v>
      </x:c>
      <x:c r="D726" s="44" t="n">
        <x:v>46477</x:v>
      </x:c>
      <x:c r="E726" s="42" t="str">
        <x:v>Zagueiro</x:v>
      </x:c>
      <x:c r="F726" s="42" t="str">
        <x:v>LOSC Lille</x:v>
      </x:c>
      <x:c r="G726" s="46"/>
      <x:c r="H726" s="46"/>
      <x:c r="I726" s="46"/>
      <x:c r="J726" s="46"/>
      <x:c r="K726" s="46" t="str">
        <x:f>IF(COUNT(G726,I726)=0,"",AVERAGE(G726,I726))</x:f>
      </x:c>
      <x:c r="L726" s="46" t="str">
        <x:f>IF(COUNT(H726,J726)=0,"",AVERAGE(H726,J726))</x:f>
      </x:c>
      <x:c r="M726" s="46" t="str">
        <x:f>IF(OR(K726="",L726=""),"",L726-K726)</x:f>
      </x:c>
      <x:c r="N726" s="46" t="str">
        <x:f>IF(OR(K726="",A725&lt;&gt;A726,K725=""),"",K726-K725)</x:f>
      </x:c>
      <x:c r="O726" s="42" t="str">
        <x:v>Sem informação</x:v>
      </x:c>
      <x:c r="P726" s="42"/>
      <x:c r="Q726" s="42" t="str"/>
      <x:c r="R726" s="42" t="str"/>
      <x:c r="S726" s="42" t="str"/>
      <x:c r="T726" s="42" t="str"/>
    </x:row>
    <x:row r="727">
      <x:c r="A727" s="42" t="str">
        <x:v>Alexsandro</x:v>
      </x:c>
      <x:c r="B727" s="42" t="n">
        <x:v>2027</x:v>
      </x:c>
      <x:c r="C727" s="42" t="str">
        <x:v>T2</x:v>
      </x:c>
      <x:c r="D727" s="44" t="n">
        <x:v>46568</x:v>
      </x:c>
      <x:c r="E727" s="42" t="str">
        <x:v>Zagueiro</x:v>
      </x:c>
      <x:c r="F727" s="42" t="str">
        <x:v>LOSC Lille</x:v>
      </x:c>
      <x:c r="G727" s="46"/>
      <x:c r="H727" s="46"/>
      <x:c r="I727" s="46"/>
      <x:c r="J727" s="46"/>
      <x:c r="K727" s="46" t="str">
        <x:f>IF(COUNT(G727,I727)=0,"",AVERAGE(G727,I727))</x:f>
      </x:c>
      <x:c r="L727" s="46" t="str">
        <x:f>IF(COUNT(H727,J727)=0,"",AVERAGE(H727,J727))</x:f>
      </x:c>
      <x:c r="M727" s="46" t="str">
        <x:f>IF(OR(K727="",L727=""),"",L727-K727)</x:f>
      </x:c>
      <x:c r="N727" s="46" t="str">
        <x:f>IF(OR(K727="",A726&lt;&gt;A727,K726=""),"",K727-K726)</x:f>
      </x:c>
      <x:c r="O727" s="42" t="str">
        <x:v>Sem informação</x:v>
      </x:c>
      <x:c r="P727" s="42"/>
      <x:c r="Q727" s="42" t="str"/>
      <x:c r="R727" s="42" t="str"/>
      <x:c r="S727" s="42" t="str"/>
      <x:c r="T727" s="42" t="str"/>
    </x:row>
    <x:row r="728">
      <x:c r="A728" s="42" t="str">
        <x:v>Alexsandro</x:v>
      </x:c>
      <x:c r="B728" s="42" t="n">
        <x:v>2027</x:v>
      </x:c>
      <x:c r="C728" s="42" t="str">
        <x:v>T3</x:v>
      </x:c>
      <x:c r="D728" s="44" t="n">
        <x:v>46660</x:v>
      </x:c>
      <x:c r="E728" s="42" t="str">
        <x:v>Zagueiro</x:v>
      </x:c>
      <x:c r="F728" s="42" t="str">
        <x:v>LOSC Lille</x:v>
      </x:c>
      <x:c r="G728" s="46"/>
      <x:c r="H728" s="46"/>
      <x:c r="I728" s="46"/>
      <x:c r="J728" s="46"/>
      <x:c r="K728" s="46" t="str">
        <x:f>IF(COUNT(G728,I728)=0,"",AVERAGE(G728,I728))</x:f>
      </x:c>
      <x:c r="L728" s="46" t="str">
        <x:f>IF(COUNT(H728,J728)=0,"",AVERAGE(H728,J728))</x:f>
      </x:c>
      <x:c r="M728" s="46" t="str">
        <x:f>IF(OR(K728="",L728=""),"",L728-K728)</x:f>
      </x:c>
      <x:c r="N728" s="46" t="str">
        <x:f>IF(OR(K728="",A727&lt;&gt;A728,K727=""),"",K728-K727)</x:f>
      </x:c>
      <x:c r="O728" s="42" t="str">
        <x:v>Sem informação</x:v>
      </x:c>
      <x:c r="P728" s="42"/>
      <x:c r="Q728" s="42" t="str"/>
      <x:c r="R728" s="42" t="str"/>
      <x:c r="S728" s="42" t="str"/>
      <x:c r="T728" s="42" t="str"/>
    </x:row>
    <x:row r="729">
      <x:c r="A729" s="42" t="str">
        <x:v>Alexsandro</x:v>
      </x:c>
      <x:c r="B729" s="42" t="n">
        <x:v>2027</x:v>
      </x:c>
      <x:c r="C729" s="42" t="str">
        <x:v>T4</x:v>
      </x:c>
      <x:c r="D729" s="44" t="n">
        <x:v>46752</x:v>
      </x:c>
      <x:c r="E729" s="42" t="str">
        <x:v>Zagueiro</x:v>
      </x:c>
      <x:c r="F729" s="42" t="str">
        <x:v>LOSC Lille</x:v>
      </x:c>
      <x:c r="G729" s="46"/>
      <x:c r="H729" s="46"/>
      <x:c r="I729" s="46"/>
      <x:c r="J729" s="46"/>
      <x:c r="K729" s="46" t="str">
        <x:f>IF(COUNT(G729,I729)=0,"",AVERAGE(G729,I729))</x:f>
      </x:c>
      <x:c r="L729" s="46" t="str">
        <x:f>IF(COUNT(H729,J729)=0,"",AVERAGE(H729,J729))</x:f>
      </x:c>
      <x:c r="M729" s="46" t="str">
        <x:f>IF(OR(K729="",L729=""),"",L729-K729)</x:f>
      </x:c>
      <x:c r="N729" s="46" t="str">
        <x:f>IF(OR(K729="",A728&lt;&gt;A729,K728=""),"",K729-K728)</x:f>
      </x:c>
      <x:c r="O729" s="42" t="str">
        <x:v>Sem informação</x:v>
      </x:c>
      <x:c r="P729" s="42"/>
      <x:c r="Q729" s="42" t="str"/>
      <x:c r="R729" s="42" t="str"/>
      <x:c r="S729" s="42" t="str"/>
      <x:c r="T729" s="42" t="str"/>
    </x:row>
    <x:row r="730">
      <x:c r="A730" s="42" t="str">
        <x:v>Alexsandro</x:v>
      </x:c>
      <x:c r="B730" s="42" t="n">
        <x:v>2028</x:v>
      </x:c>
      <x:c r="C730" s="42" t="str">
        <x:v>T1</x:v>
      </x:c>
      <x:c r="D730" s="44" t="n">
        <x:v>46843</x:v>
      </x:c>
      <x:c r="E730" s="42" t="str">
        <x:v>Zagueiro</x:v>
      </x:c>
      <x:c r="F730" s="42" t="str">
        <x:v>LOSC Lille</x:v>
      </x:c>
      <x:c r="G730" s="46"/>
      <x:c r="H730" s="46"/>
      <x:c r="I730" s="46"/>
      <x:c r="J730" s="46"/>
      <x:c r="K730" s="46" t="str">
        <x:f>IF(COUNT(G730,I730)=0,"",AVERAGE(G730,I730))</x:f>
      </x:c>
      <x:c r="L730" s="46" t="str">
        <x:f>IF(COUNT(H730,J730)=0,"",AVERAGE(H730,J730))</x:f>
      </x:c>
      <x:c r="M730" s="46" t="str">
        <x:f>IF(OR(K730="",L730=""),"",L730-K730)</x:f>
      </x:c>
      <x:c r="N730" s="46" t="str">
        <x:f>IF(OR(K730="",A729&lt;&gt;A730,K729=""),"",K730-K729)</x:f>
      </x:c>
      <x:c r="O730" s="42" t="str">
        <x:v>Sem informação</x:v>
      </x:c>
      <x:c r="P730" s="42"/>
      <x:c r="Q730" s="42" t="str"/>
      <x:c r="R730" s="42" t="str"/>
      <x:c r="S730" s="42" t="str"/>
      <x:c r="T730" s="42" t="str"/>
    </x:row>
    <x:row r="731">
      <x:c r="A731" s="42" t="str">
        <x:v>Alexsandro</x:v>
      </x:c>
      <x:c r="B731" s="42" t="n">
        <x:v>2028</x:v>
      </x:c>
      <x:c r="C731" s="42" t="str">
        <x:v>T2</x:v>
      </x:c>
      <x:c r="D731" s="44" t="n">
        <x:v>46934</x:v>
      </x:c>
      <x:c r="E731" s="42" t="str">
        <x:v>Zagueiro</x:v>
      </x:c>
      <x:c r="F731" s="42" t="str">
        <x:v>LOSC Lille</x:v>
      </x:c>
      <x:c r="G731" s="46"/>
      <x:c r="H731" s="46"/>
      <x:c r="I731" s="46"/>
      <x:c r="J731" s="46"/>
      <x:c r="K731" s="46" t="str">
        <x:f>IF(COUNT(G731,I731)=0,"",AVERAGE(G731,I731))</x:f>
      </x:c>
      <x:c r="L731" s="46" t="str">
        <x:f>IF(COUNT(H731,J731)=0,"",AVERAGE(H731,J731))</x:f>
      </x:c>
      <x:c r="M731" s="46" t="str">
        <x:f>IF(OR(K731="",L731=""),"",L731-K731)</x:f>
      </x:c>
      <x:c r="N731" s="46" t="str">
        <x:f>IF(OR(K731="",A730&lt;&gt;A731,K730=""),"",K731-K730)</x:f>
      </x:c>
      <x:c r="O731" s="42" t="str">
        <x:v>Sem informação</x:v>
      </x:c>
      <x:c r="P731" s="42"/>
      <x:c r="Q731" s="42" t="str"/>
      <x:c r="R731" s="42" t="str"/>
      <x:c r="S731" s="42" t="str"/>
      <x:c r="T731" s="42" t="str"/>
    </x:row>
    <x:row r="732">
      <x:c r="A732" s="42" t="str">
        <x:v>Alexsandro</x:v>
      </x:c>
      <x:c r="B732" s="42" t="n">
        <x:v>2028</x:v>
      </x:c>
      <x:c r="C732" s="42" t="str">
        <x:v>T3</x:v>
      </x:c>
      <x:c r="D732" s="44" t="n">
        <x:v>47026</x:v>
      </x:c>
      <x:c r="E732" s="42" t="str">
        <x:v>Zagueiro</x:v>
      </x:c>
      <x:c r="F732" s="42" t="str">
        <x:v>LOSC Lille</x:v>
      </x:c>
      <x:c r="G732" s="46"/>
      <x:c r="H732" s="46"/>
      <x:c r="I732" s="46"/>
      <x:c r="J732" s="46"/>
      <x:c r="K732" s="46" t="str">
        <x:f>IF(COUNT(G732,I732)=0,"",AVERAGE(G732,I732))</x:f>
      </x:c>
      <x:c r="L732" s="46" t="str">
        <x:f>IF(COUNT(H732,J732)=0,"",AVERAGE(H732,J732))</x:f>
      </x:c>
      <x:c r="M732" s="46" t="str">
        <x:f>IF(OR(K732="",L732=""),"",L732-K732)</x:f>
      </x:c>
      <x:c r="N732" s="46" t="str">
        <x:f>IF(OR(K732="",A731&lt;&gt;A732,K731=""),"",K732-K731)</x:f>
      </x:c>
      <x:c r="O732" s="42" t="str">
        <x:v>Sem informação</x:v>
      </x:c>
      <x:c r="P732" s="42"/>
      <x:c r="Q732" s="42" t="str"/>
      <x:c r="R732" s="42" t="str"/>
      <x:c r="S732" s="42" t="str"/>
      <x:c r="T732" s="42" t="str"/>
    </x:row>
    <x:row r="733">
      <x:c r="A733" s="42" t="str">
        <x:v>Alexsandro</x:v>
      </x:c>
      <x:c r="B733" s="42" t="n">
        <x:v>2028</x:v>
      </x:c>
      <x:c r="C733" s="42" t="str">
        <x:v>T4</x:v>
      </x:c>
      <x:c r="D733" s="44" t="n">
        <x:v>47118</x:v>
      </x:c>
      <x:c r="E733" s="42" t="str">
        <x:v>Zagueiro</x:v>
      </x:c>
      <x:c r="F733" s="42" t="str">
        <x:v>LOSC Lille</x:v>
      </x:c>
      <x:c r="G733" s="46"/>
      <x:c r="H733" s="46"/>
      <x:c r="I733" s="46"/>
      <x:c r="J733" s="46"/>
      <x:c r="K733" s="46" t="str">
        <x:f>IF(COUNT(G733,I733)=0,"",AVERAGE(G733,I733))</x:f>
      </x:c>
      <x:c r="L733" s="46" t="str">
        <x:f>IF(COUNT(H733,J733)=0,"",AVERAGE(H733,J733))</x:f>
      </x:c>
      <x:c r="M733" s="46" t="str">
        <x:f>IF(OR(K733="",L733=""),"",L733-K733)</x:f>
      </x:c>
      <x:c r="N733" s="46" t="str">
        <x:f>IF(OR(K733="",A732&lt;&gt;A733,K732=""),"",K733-K732)</x:f>
      </x:c>
      <x:c r="O733" s="42" t="str">
        <x:v>Sem informação</x:v>
      </x:c>
      <x:c r="P733" s="42"/>
      <x:c r="Q733" s="42" t="str"/>
      <x:c r="R733" s="42" t="str"/>
      <x:c r="S733" s="42" t="str"/>
      <x:c r="T733" s="42" t="str"/>
    </x:row>
    <x:row r="734">
      <x:c r="A734" s="42" t="str">
        <x:v>Alexsandro</x:v>
      </x:c>
      <x:c r="B734" s="42" t="n">
        <x:v>2029</x:v>
      </x:c>
      <x:c r="C734" s="42" t="str">
        <x:v>T1</x:v>
      </x:c>
      <x:c r="D734" s="44" t="n">
        <x:v>47208</x:v>
      </x:c>
      <x:c r="E734" s="42" t="str">
        <x:v>Zagueiro</x:v>
      </x:c>
      <x:c r="F734" s="42" t="str">
        <x:v>LOSC Lille</x:v>
      </x:c>
      <x:c r="G734" s="46"/>
      <x:c r="H734" s="46"/>
      <x:c r="I734" s="46"/>
      <x:c r="J734" s="46"/>
      <x:c r="K734" s="46" t="str">
        <x:f>IF(COUNT(G734,I734)=0,"",AVERAGE(G734,I734))</x:f>
      </x:c>
      <x:c r="L734" s="46" t="str">
        <x:f>IF(COUNT(H734,J734)=0,"",AVERAGE(H734,J734))</x:f>
      </x:c>
      <x:c r="M734" s="46" t="str">
        <x:f>IF(OR(K734="",L734=""),"",L734-K734)</x:f>
      </x:c>
      <x:c r="N734" s="46" t="str">
        <x:f>IF(OR(K734="",A733&lt;&gt;A734,K733=""),"",K734-K733)</x:f>
      </x:c>
      <x:c r="O734" s="42" t="str">
        <x:v>Sem informação</x:v>
      </x:c>
      <x:c r="P734" s="42"/>
      <x:c r="Q734" s="42" t="str"/>
      <x:c r="R734" s="42" t="str"/>
      <x:c r="S734" s="42" t="str"/>
      <x:c r="T734" s="42" t="str"/>
    </x:row>
    <x:row r="735">
      <x:c r="A735" s="42" t="str">
        <x:v>Alexsandro</x:v>
      </x:c>
      <x:c r="B735" s="42" t="n">
        <x:v>2029</x:v>
      </x:c>
      <x:c r="C735" s="42" t="str">
        <x:v>T2</x:v>
      </x:c>
      <x:c r="D735" s="44" t="n">
        <x:v>47299</x:v>
      </x:c>
      <x:c r="E735" s="42" t="str">
        <x:v>Zagueiro</x:v>
      </x:c>
      <x:c r="F735" s="42" t="str">
        <x:v>LOSC Lille</x:v>
      </x:c>
      <x:c r="G735" s="46"/>
      <x:c r="H735" s="46"/>
      <x:c r="I735" s="46"/>
      <x:c r="J735" s="46"/>
      <x:c r="K735" s="46" t="str">
        <x:f>IF(COUNT(G735,I735)=0,"",AVERAGE(G735,I735))</x:f>
      </x:c>
      <x:c r="L735" s="46" t="str">
        <x:f>IF(COUNT(H735,J735)=0,"",AVERAGE(H735,J735))</x:f>
      </x:c>
      <x:c r="M735" s="46" t="str">
        <x:f>IF(OR(K735="",L735=""),"",L735-K735)</x:f>
      </x:c>
      <x:c r="N735" s="46" t="str">
        <x:f>IF(OR(K735="",A734&lt;&gt;A735,K734=""),"",K735-K734)</x:f>
      </x:c>
      <x:c r="O735" s="42" t="str">
        <x:v>Sem informação</x:v>
      </x:c>
      <x:c r="P735" s="42"/>
      <x:c r="Q735" s="42" t="str"/>
      <x:c r="R735" s="42" t="str"/>
      <x:c r="S735" s="42" t="str"/>
      <x:c r="T735" s="42" t="str"/>
    </x:row>
    <x:row r="736">
      <x:c r="A736" s="42" t="str">
        <x:v>Alexsandro</x:v>
      </x:c>
      <x:c r="B736" s="42" t="n">
        <x:v>2029</x:v>
      </x:c>
      <x:c r="C736" s="42" t="str">
        <x:v>T3</x:v>
      </x:c>
      <x:c r="D736" s="44" t="n">
        <x:v>47391</x:v>
      </x:c>
      <x:c r="E736" s="42" t="str">
        <x:v>Zagueiro</x:v>
      </x:c>
      <x:c r="F736" s="42" t="str">
        <x:v>LOSC Lille</x:v>
      </x:c>
      <x:c r="G736" s="46"/>
      <x:c r="H736" s="46"/>
      <x:c r="I736" s="46"/>
      <x:c r="J736" s="46"/>
      <x:c r="K736" s="46" t="str">
        <x:f>IF(COUNT(G736,I736)=0,"",AVERAGE(G736,I736))</x:f>
      </x:c>
      <x:c r="L736" s="46" t="str">
        <x:f>IF(COUNT(H736,J736)=0,"",AVERAGE(H736,J736))</x:f>
      </x:c>
      <x:c r="M736" s="46" t="str">
        <x:f>IF(OR(K736="",L736=""),"",L736-K736)</x:f>
      </x:c>
      <x:c r="N736" s="46" t="str">
        <x:f>IF(OR(K736="",A735&lt;&gt;A736,K735=""),"",K736-K735)</x:f>
      </x:c>
      <x:c r="O736" s="42" t="str">
        <x:v>Sem informação</x:v>
      </x:c>
      <x:c r="P736" s="42"/>
      <x:c r="Q736" s="42" t="str"/>
      <x:c r="R736" s="42" t="str"/>
      <x:c r="S736" s="42" t="str"/>
      <x:c r="T736" s="42" t="str"/>
    </x:row>
    <x:row r="737">
      <x:c r="A737" s="42" t="str">
        <x:v>Alexsandro</x:v>
      </x:c>
      <x:c r="B737" s="42" t="n">
        <x:v>2029</x:v>
      </x:c>
      <x:c r="C737" s="42" t="str">
        <x:v>T4</x:v>
      </x:c>
      <x:c r="D737" s="44" t="n">
        <x:v>47483</x:v>
      </x:c>
      <x:c r="E737" s="42" t="str">
        <x:v>Zagueiro</x:v>
      </x:c>
      <x:c r="F737" s="42" t="str">
        <x:v>LOSC Lille</x:v>
      </x:c>
      <x:c r="G737" s="46"/>
      <x:c r="H737" s="46"/>
      <x:c r="I737" s="46"/>
      <x:c r="J737" s="46"/>
      <x:c r="K737" s="46" t="str">
        <x:f>IF(COUNT(G737,I737)=0,"",AVERAGE(G737,I737))</x:f>
      </x:c>
      <x:c r="L737" s="46" t="str">
        <x:f>IF(COUNT(H737,J737)=0,"",AVERAGE(H737,J737))</x:f>
      </x:c>
      <x:c r="M737" s="46" t="str">
        <x:f>IF(OR(K737="",L737=""),"",L737-K737)</x:f>
      </x:c>
      <x:c r="N737" s="46" t="str">
        <x:f>IF(OR(K737="",A736&lt;&gt;A737,K736=""),"",K737-K736)</x:f>
      </x:c>
      <x:c r="O737" s="42" t="str">
        <x:v>Sem informação</x:v>
      </x:c>
      <x:c r="P737" s="42"/>
      <x:c r="Q737" s="42" t="str"/>
      <x:c r="R737" s="42" t="str"/>
      <x:c r="S737" s="42" t="str"/>
      <x:c r="T737" s="42" t="str"/>
    </x:row>
    <x:row r="738">
      <x:c r="A738" s="42" t="str">
        <x:v>Alexsandro</x:v>
      </x:c>
      <x:c r="B738" s="42" t="n">
        <x:v>2030</x:v>
      </x:c>
      <x:c r="C738" s="42" t="str">
        <x:v>T1</x:v>
      </x:c>
      <x:c r="D738" s="44" t="n">
        <x:v>47573</x:v>
      </x:c>
      <x:c r="E738" s="42" t="str">
        <x:v>Zagueiro</x:v>
      </x:c>
      <x:c r="F738" s="42" t="str">
        <x:v>LOSC Lille</x:v>
      </x:c>
      <x:c r="G738" s="46"/>
      <x:c r="H738" s="46"/>
      <x:c r="I738" s="46"/>
      <x:c r="J738" s="46"/>
      <x:c r="K738" s="46" t="str">
        <x:f>IF(COUNT(G738,I738)=0,"",AVERAGE(G738,I738))</x:f>
      </x:c>
      <x:c r="L738" s="46" t="str">
        <x:f>IF(COUNT(H738,J738)=0,"",AVERAGE(H738,J738))</x:f>
      </x:c>
      <x:c r="M738" s="46" t="str">
        <x:f>IF(OR(K738="",L738=""),"",L738-K738)</x:f>
      </x:c>
      <x:c r="N738" s="46" t="str">
        <x:f>IF(OR(K738="",A737&lt;&gt;A738,K737=""),"",K738-K737)</x:f>
      </x:c>
      <x:c r="O738" s="42" t="str">
        <x:v>Sem informação</x:v>
      </x:c>
      <x:c r="P738" s="42"/>
      <x:c r="Q738" s="42" t="str"/>
      <x:c r="R738" s="42" t="str"/>
      <x:c r="S738" s="42" t="str"/>
      <x:c r="T738" s="42" t="str"/>
    </x:row>
    <x:row r="739">
      <x:c r="A739" s="42" t="str">
        <x:v>Alexsandro</x:v>
      </x:c>
      <x:c r="B739" s="42" t="n">
        <x:v>2030</x:v>
      </x:c>
      <x:c r="C739" s="42" t="str">
        <x:v>T2</x:v>
      </x:c>
      <x:c r="D739" s="44" t="n">
        <x:v>47664</x:v>
      </x:c>
      <x:c r="E739" s="42" t="str">
        <x:v>Zagueiro</x:v>
      </x:c>
      <x:c r="F739" s="42" t="str">
        <x:v>LOSC Lille</x:v>
      </x:c>
      <x:c r="G739" s="46"/>
      <x:c r="H739" s="46"/>
      <x:c r="I739" s="46"/>
      <x:c r="J739" s="46"/>
      <x:c r="K739" s="46" t="str">
        <x:f>IF(COUNT(G739,I739)=0,"",AVERAGE(G739,I739))</x:f>
      </x:c>
      <x:c r="L739" s="46" t="str">
        <x:f>IF(COUNT(H739,J739)=0,"",AVERAGE(H739,J739))</x:f>
      </x:c>
      <x:c r="M739" s="46" t="str">
        <x:f>IF(OR(K739="",L739=""),"",L739-K739)</x:f>
      </x:c>
      <x:c r="N739" s="46" t="str">
        <x:f>IF(OR(K739="",A738&lt;&gt;A739,K738=""),"",K739-K738)</x:f>
      </x:c>
      <x:c r="O739" s="42" t="str">
        <x:v>Sem informação</x:v>
      </x:c>
      <x:c r="P739" s="42"/>
      <x:c r="Q739" s="42" t="str"/>
      <x:c r="R739" s="42" t="str"/>
      <x:c r="S739" s="42" t="str"/>
      <x:c r="T739" s="42" t="str"/>
    </x:row>
    <x:row r="740">
      <x:c r="A740" s="42" t="str">
        <x:v>Alexsandro</x:v>
      </x:c>
      <x:c r="B740" s="42" t="n">
        <x:v>2030</x:v>
      </x:c>
      <x:c r="C740" s="42" t="str">
        <x:v>T3</x:v>
      </x:c>
      <x:c r="D740" s="44" t="n">
        <x:v>47756</x:v>
      </x:c>
      <x:c r="E740" s="42" t="str">
        <x:v>Zagueiro</x:v>
      </x:c>
      <x:c r="F740" s="42" t="str">
        <x:v>LOSC Lille</x:v>
      </x:c>
      <x:c r="G740" s="46"/>
      <x:c r="H740" s="46"/>
      <x:c r="I740" s="46"/>
      <x:c r="J740" s="46"/>
      <x:c r="K740" s="46" t="str">
        <x:f>IF(COUNT(G740,I740)=0,"",AVERAGE(G740,I740))</x:f>
      </x:c>
      <x:c r="L740" s="46" t="str">
        <x:f>IF(COUNT(H740,J740)=0,"",AVERAGE(H740,J740))</x:f>
      </x:c>
      <x:c r="M740" s="46" t="str">
        <x:f>IF(OR(K740="",L740=""),"",L740-K740)</x:f>
      </x:c>
      <x:c r="N740" s="46" t="str">
        <x:f>IF(OR(K740="",A739&lt;&gt;A740,K739=""),"",K740-K739)</x:f>
      </x:c>
      <x:c r="O740" s="42" t="str">
        <x:v>Sem informação</x:v>
      </x:c>
      <x:c r="P740" s="42"/>
      <x:c r="Q740" s="42" t="str"/>
      <x:c r="R740" s="42" t="str"/>
      <x:c r="S740" s="42" t="str"/>
      <x:c r="T740" s="42" t="str"/>
    </x:row>
    <x:row r="741">
      <x:c r="A741" s="42" t="str">
        <x:v>Alexsandro</x:v>
      </x:c>
      <x:c r="B741" s="42" t="n">
        <x:v>2030</x:v>
      </x:c>
      <x:c r="C741" s="42" t="str">
        <x:v>T4</x:v>
      </x:c>
      <x:c r="D741" s="44" t="n">
        <x:v>47848</x:v>
      </x:c>
      <x:c r="E741" s="42" t="str">
        <x:v>Zagueiro</x:v>
      </x:c>
      <x:c r="F741" s="42" t="str">
        <x:v>LOSC Lille</x:v>
      </x:c>
      <x:c r="G741" s="46"/>
      <x:c r="H741" s="46"/>
      <x:c r="I741" s="46"/>
      <x:c r="J741" s="46"/>
      <x:c r="K741" s="46" t="str">
        <x:f>IF(COUNT(G741,I741)=0,"",AVERAGE(G741,I741))</x:f>
      </x:c>
      <x:c r="L741" s="46" t="str">
        <x:f>IF(COUNT(H741,J741)=0,"",AVERAGE(H741,J741))</x:f>
      </x:c>
      <x:c r="M741" s="46" t="str">
        <x:f>IF(OR(K741="",L741=""),"",L741-K741)</x:f>
      </x:c>
      <x:c r="N741" s="46" t="str">
        <x:f>IF(OR(K741="",A740&lt;&gt;A741,K740=""),"",K741-K740)</x:f>
      </x:c>
      <x:c r="O741" s="42" t="str">
        <x:v>Sem informação</x:v>
      </x:c>
      <x:c r="P741" s="42"/>
      <x:c r="Q741" s="42" t="str"/>
      <x:c r="R741" s="42" t="str"/>
      <x:c r="S741" s="42" t="str"/>
      <x:c r="T741" s="42" t="str"/>
    </x:row>
    <x:row r="742">
      <x:c r="A742" s="42" t="str">
        <x:v>Arthur</x:v>
      </x:c>
      <x:c r="B742" s="42" t="n">
        <x:v>2026</x:v>
      </x:c>
      <x:c r="C742" s="42" t="str">
        <x:v>T1</x:v>
      </x:c>
      <x:c r="D742" s="44" t="n">
        <x:v>46112</x:v>
      </x:c>
      <x:c r="E742" s="42" t="str">
        <x:v>Lateral-direito</x:v>
      </x:c>
      <x:c r="F742" s="42" t="str">
        <x:v>Bayer Leverkusen</x:v>
      </x:c>
      <x:c r="G742" s="46"/>
      <x:c r="H742" s="46"/>
      <x:c r="I742" s="46"/>
      <x:c r="J742" s="46"/>
      <x:c r="K742" s="46" t="str">
        <x:f>IF(COUNT(G742,I742)=0,"",AVERAGE(G742,I742))</x:f>
      </x:c>
      <x:c r="L742" s="46" t="str">
        <x:f>IF(COUNT(H742,J742)=0,"",AVERAGE(H742,J742))</x:f>
      </x:c>
      <x:c r="M742" s="46" t="str">
        <x:f>IF(OR(K742="",L742=""),"",L742-K742)</x:f>
      </x:c>
      <x:c r="N742" s="46" t="str">
        <x:f>IF(OR(K742="",A741&lt;&gt;A742,K741=""),"",K742-K741)</x:f>
      </x:c>
      <x:c r="O742" s="42" t="str">
        <x:v>Sem informação</x:v>
      </x:c>
      <x:c r="P742" s="42"/>
      <x:c r="Q742" s="42" t="str"/>
      <x:c r="R742" s="42" t="str"/>
      <x:c r="S742" s="42" t="str"/>
      <x:c r="T742" s="42" t="str"/>
    </x:row>
    <x:row r="743">
      <x:c r="A743" s="42" t="str">
        <x:v>Arthur</x:v>
      </x:c>
      <x:c r="B743" s="42" t="n">
        <x:v>2026</x:v>
      </x:c>
      <x:c r="C743" s="42" t="str">
        <x:v>T2</x:v>
      </x:c>
      <x:c r="D743" s="44" t="n">
        <x:v>46203</x:v>
      </x:c>
      <x:c r="E743" s="42" t="str">
        <x:v>Lateral-direito</x:v>
      </x:c>
      <x:c r="F743" s="42" t="str">
        <x:v>Bayer Leverkusen</x:v>
      </x:c>
      <x:c r="G743" s="46"/>
      <x:c r="H743" s="46"/>
      <x:c r="I743" s="46" t="n">
        <x:v>6.5</x:v>
      </x:c>
      <x:c r="J743" s="46" t="n">
        <x:v>7</x:v>
      </x:c>
      <x:c r="K743" s="46" t="n">
        <x:f>IF(COUNT(G743,I743)=0,"",AVERAGE(G743,I743))</x:f>
        <x:v>6.5</x:v>
      </x:c>
      <x:c r="L743" s="46" t="n">
        <x:f>IF(COUNT(H743,J743)=0,"",AVERAGE(H743,J743))</x:f>
        <x:v>7</x:v>
      </x:c>
      <x:c r="M743" s="46" t="n">
        <x:f>IF(OR(K743="",L743=""),"",L743-K743)</x:f>
        <x:v>0.5</x:v>
      </x:c>
      <x:c r="N743" s="46" t="str">
        <x:f>IF(OR(K743="",A742&lt;&gt;A743,K742=""),"",K743-K742)</x:f>
      </x:c>
      <x:c r="O743" s="42" t="str">
        <x:v>Sem informação</x:v>
      </x:c>
      <x:c r="P743" s="42"/>
      <x:c r="Q743" s="42" t="str"/>
      <x:c r="R743" s="42" t="str"/>
      <x:c r="S743" s="42" t="str"/>
      <x:c r="T743" s="42" t="str"/>
    </x:row>
    <x:row r="744">
      <x:c r="A744" s="42" t="str">
        <x:v>Arthur</x:v>
      </x:c>
      <x:c r="B744" s="42" t="n">
        <x:v>2026</x:v>
      </x:c>
      <x:c r="C744" s="42" t="str">
        <x:v>T3</x:v>
      </x:c>
      <x:c r="D744" s="44" t="n">
        <x:v>46295</x:v>
      </x:c>
      <x:c r="E744" s="42" t="str">
        <x:v>Lateral-direito</x:v>
      </x:c>
      <x:c r="F744" s="42" t="str">
        <x:v>Bayer Leverkusen</x:v>
      </x:c>
      <x:c r="G744" s="46"/>
      <x:c r="H744" s="46"/>
      <x:c r="I744" s="46"/>
      <x:c r="J744" s="46"/>
      <x:c r="K744" s="46" t="str">
        <x:f>IF(COUNT(G744,I744)=0,"",AVERAGE(G744,I744))</x:f>
      </x:c>
      <x:c r="L744" s="46" t="str">
        <x:f>IF(COUNT(H744,J744)=0,"",AVERAGE(H744,J744))</x:f>
      </x:c>
      <x:c r="M744" s="46" t="str">
        <x:f>IF(OR(K744="",L744=""),"",L744-K744)</x:f>
      </x:c>
      <x:c r="N744" s="46" t="str">
        <x:f>IF(OR(K744="",A743&lt;&gt;A744,K743=""),"",K744-K743)</x:f>
      </x:c>
      <x:c r="O744" s="42" t="str">
        <x:v>Sem informação</x:v>
      </x:c>
      <x:c r="P744" s="42"/>
      <x:c r="Q744" s="42" t="str"/>
      <x:c r="R744" s="42" t="str"/>
      <x:c r="S744" s="42" t="str"/>
      <x:c r="T744" s="42" t="str"/>
    </x:row>
    <x:row r="745">
      <x:c r="A745" s="42" t="str">
        <x:v>Arthur</x:v>
      </x:c>
      <x:c r="B745" s="42" t="n">
        <x:v>2026</x:v>
      </x:c>
      <x:c r="C745" s="42" t="str">
        <x:v>T4</x:v>
      </x:c>
      <x:c r="D745" s="44" t="n">
        <x:v>46387</x:v>
      </x:c>
      <x:c r="E745" s="42" t="str">
        <x:v>Lateral-direito</x:v>
      </x:c>
      <x:c r="F745" s="42" t="str">
        <x:v>Bayer Leverkusen</x:v>
      </x:c>
      <x:c r="G745" s="46"/>
      <x:c r="H745" s="46"/>
      <x:c r="I745" s="46"/>
      <x:c r="J745" s="46"/>
      <x:c r="K745" s="46" t="str">
        <x:f>IF(COUNT(G745,I745)=0,"",AVERAGE(G745,I745))</x:f>
      </x:c>
      <x:c r="L745" s="46" t="str">
        <x:f>IF(COUNT(H745,J745)=0,"",AVERAGE(H745,J745))</x:f>
      </x:c>
      <x:c r="M745" s="46" t="str">
        <x:f>IF(OR(K745="",L745=""),"",L745-K745)</x:f>
      </x:c>
      <x:c r="N745" s="46" t="str">
        <x:f>IF(OR(K745="",A744&lt;&gt;A745,K744=""),"",K745-K744)</x:f>
      </x:c>
      <x:c r="O745" s="42" t="str">
        <x:v>Sem informação</x:v>
      </x:c>
      <x:c r="P745" s="42"/>
      <x:c r="Q745" s="42" t="str"/>
      <x:c r="R745" s="42" t="str"/>
      <x:c r="S745" s="42" t="str"/>
      <x:c r="T745" s="42" t="str"/>
    </x:row>
    <x:row r="746">
      <x:c r="A746" s="42" t="str">
        <x:v>Arthur</x:v>
      </x:c>
      <x:c r="B746" s="42" t="n">
        <x:v>2027</x:v>
      </x:c>
      <x:c r="C746" s="42" t="str">
        <x:v>T1</x:v>
      </x:c>
      <x:c r="D746" s="44" t="n">
        <x:v>46477</x:v>
      </x:c>
      <x:c r="E746" s="42" t="str">
        <x:v>Lateral-direito</x:v>
      </x:c>
      <x:c r="F746" s="42" t="str">
        <x:v>Bayer Leverkusen</x:v>
      </x:c>
      <x:c r="G746" s="46"/>
      <x:c r="H746" s="46"/>
      <x:c r="I746" s="46"/>
      <x:c r="J746" s="46"/>
      <x:c r="K746" s="46" t="str">
        <x:f>IF(COUNT(G746,I746)=0,"",AVERAGE(G746,I746))</x:f>
      </x:c>
      <x:c r="L746" s="46" t="str">
        <x:f>IF(COUNT(H746,J746)=0,"",AVERAGE(H746,J746))</x:f>
      </x:c>
      <x:c r="M746" s="46" t="str">
        <x:f>IF(OR(K746="",L746=""),"",L746-K746)</x:f>
      </x:c>
      <x:c r="N746" s="46" t="str">
        <x:f>IF(OR(K746="",A745&lt;&gt;A746,K745=""),"",K746-K745)</x:f>
      </x:c>
      <x:c r="O746" s="42" t="str">
        <x:v>Sem informação</x:v>
      </x:c>
      <x:c r="P746" s="42"/>
      <x:c r="Q746" s="42" t="str"/>
      <x:c r="R746" s="42" t="str"/>
      <x:c r="S746" s="42" t="str"/>
      <x:c r="T746" s="42" t="str"/>
    </x:row>
    <x:row r="747">
      <x:c r="A747" s="42" t="str">
        <x:v>Arthur</x:v>
      </x:c>
      <x:c r="B747" s="42" t="n">
        <x:v>2027</x:v>
      </x:c>
      <x:c r="C747" s="42" t="str">
        <x:v>T2</x:v>
      </x:c>
      <x:c r="D747" s="44" t="n">
        <x:v>46568</x:v>
      </x:c>
      <x:c r="E747" s="42" t="str">
        <x:v>Lateral-direito</x:v>
      </x:c>
      <x:c r="F747" s="42" t="str">
        <x:v>Bayer Leverkusen</x:v>
      </x:c>
      <x:c r="G747" s="46"/>
      <x:c r="H747" s="46"/>
      <x:c r="I747" s="46"/>
      <x:c r="J747" s="46"/>
      <x:c r="K747" s="46" t="str">
        <x:f>IF(COUNT(G747,I747)=0,"",AVERAGE(G747,I747))</x:f>
      </x:c>
      <x:c r="L747" s="46" t="str">
        <x:f>IF(COUNT(H747,J747)=0,"",AVERAGE(H747,J747))</x:f>
      </x:c>
      <x:c r="M747" s="46" t="str">
        <x:f>IF(OR(K747="",L747=""),"",L747-K747)</x:f>
      </x:c>
      <x:c r="N747" s="46" t="str">
        <x:f>IF(OR(K747="",A746&lt;&gt;A747,K746=""),"",K747-K746)</x:f>
      </x:c>
      <x:c r="O747" s="42" t="str">
        <x:v>Sem informação</x:v>
      </x:c>
      <x:c r="P747" s="42"/>
      <x:c r="Q747" s="42" t="str"/>
      <x:c r="R747" s="42" t="str"/>
      <x:c r="S747" s="42" t="str"/>
      <x:c r="T747" s="42" t="str"/>
    </x:row>
    <x:row r="748">
      <x:c r="A748" s="42" t="str">
        <x:v>Arthur</x:v>
      </x:c>
      <x:c r="B748" s="42" t="n">
        <x:v>2027</x:v>
      </x:c>
      <x:c r="C748" s="42" t="str">
        <x:v>T3</x:v>
      </x:c>
      <x:c r="D748" s="44" t="n">
        <x:v>46660</x:v>
      </x:c>
      <x:c r="E748" s="42" t="str">
        <x:v>Lateral-direito</x:v>
      </x:c>
      <x:c r="F748" s="42" t="str">
        <x:v>Bayer Leverkusen</x:v>
      </x:c>
      <x:c r="G748" s="46"/>
      <x:c r="H748" s="46"/>
      <x:c r="I748" s="46"/>
      <x:c r="J748" s="46"/>
      <x:c r="K748" s="46" t="str">
        <x:f>IF(COUNT(G748,I748)=0,"",AVERAGE(G748,I748))</x:f>
      </x:c>
      <x:c r="L748" s="46" t="str">
        <x:f>IF(COUNT(H748,J748)=0,"",AVERAGE(H748,J748))</x:f>
      </x:c>
      <x:c r="M748" s="46" t="str">
        <x:f>IF(OR(K748="",L748=""),"",L748-K748)</x:f>
      </x:c>
      <x:c r="N748" s="46" t="str">
        <x:f>IF(OR(K748="",A747&lt;&gt;A748,K747=""),"",K748-K747)</x:f>
      </x:c>
      <x:c r="O748" s="42" t="str">
        <x:v>Sem informação</x:v>
      </x:c>
      <x:c r="P748" s="42"/>
      <x:c r="Q748" s="42" t="str"/>
      <x:c r="R748" s="42" t="str"/>
      <x:c r="S748" s="42" t="str"/>
      <x:c r="T748" s="42" t="str"/>
    </x:row>
    <x:row r="749">
      <x:c r="A749" s="42" t="str">
        <x:v>Arthur</x:v>
      </x:c>
      <x:c r="B749" s="42" t="n">
        <x:v>2027</x:v>
      </x:c>
      <x:c r="C749" s="42" t="str">
        <x:v>T4</x:v>
      </x:c>
      <x:c r="D749" s="44" t="n">
        <x:v>46752</x:v>
      </x:c>
      <x:c r="E749" s="42" t="str">
        <x:v>Lateral-direito</x:v>
      </x:c>
      <x:c r="F749" s="42" t="str">
        <x:v>Bayer Leverkusen</x:v>
      </x:c>
      <x:c r="G749" s="46"/>
      <x:c r="H749" s="46"/>
      <x:c r="I749" s="46"/>
      <x:c r="J749" s="46"/>
      <x:c r="K749" s="46" t="str">
        <x:f>IF(COUNT(G749,I749)=0,"",AVERAGE(G749,I749))</x:f>
      </x:c>
      <x:c r="L749" s="46" t="str">
        <x:f>IF(COUNT(H749,J749)=0,"",AVERAGE(H749,J749))</x:f>
      </x:c>
      <x:c r="M749" s="46" t="str">
        <x:f>IF(OR(K749="",L749=""),"",L749-K749)</x:f>
      </x:c>
      <x:c r="N749" s="46" t="str">
        <x:f>IF(OR(K749="",A748&lt;&gt;A749,K748=""),"",K749-K748)</x:f>
      </x:c>
      <x:c r="O749" s="42" t="str">
        <x:v>Sem informação</x:v>
      </x:c>
      <x:c r="P749" s="42"/>
      <x:c r="Q749" s="42" t="str"/>
      <x:c r="R749" s="42" t="str"/>
      <x:c r="S749" s="42" t="str"/>
      <x:c r="T749" s="42" t="str"/>
    </x:row>
    <x:row r="750">
      <x:c r="A750" s="42" t="str">
        <x:v>Arthur</x:v>
      </x:c>
      <x:c r="B750" s="42" t="n">
        <x:v>2028</x:v>
      </x:c>
      <x:c r="C750" s="42" t="str">
        <x:v>T1</x:v>
      </x:c>
      <x:c r="D750" s="44" t="n">
        <x:v>46843</x:v>
      </x:c>
      <x:c r="E750" s="42" t="str">
        <x:v>Lateral-direito</x:v>
      </x:c>
      <x:c r="F750" s="42" t="str">
        <x:v>Bayer Leverkusen</x:v>
      </x:c>
      <x:c r="G750" s="46"/>
      <x:c r="H750" s="46"/>
      <x:c r="I750" s="46"/>
      <x:c r="J750" s="46"/>
      <x:c r="K750" s="46" t="str">
        <x:f>IF(COUNT(G750,I750)=0,"",AVERAGE(G750,I750))</x:f>
      </x:c>
      <x:c r="L750" s="46" t="str">
        <x:f>IF(COUNT(H750,J750)=0,"",AVERAGE(H750,J750))</x:f>
      </x:c>
      <x:c r="M750" s="46" t="str">
        <x:f>IF(OR(K750="",L750=""),"",L750-K750)</x:f>
      </x:c>
      <x:c r="N750" s="46" t="str">
        <x:f>IF(OR(K750="",A749&lt;&gt;A750,K749=""),"",K750-K749)</x:f>
      </x:c>
      <x:c r="O750" s="42" t="str">
        <x:v>Sem informação</x:v>
      </x:c>
      <x:c r="P750" s="42"/>
      <x:c r="Q750" s="42" t="str"/>
      <x:c r="R750" s="42" t="str"/>
      <x:c r="S750" s="42" t="str"/>
      <x:c r="T750" s="42" t="str"/>
    </x:row>
    <x:row r="751">
      <x:c r="A751" s="42" t="str">
        <x:v>Arthur</x:v>
      </x:c>
      <x:c r="B751" s="42" t="n">
        <x:v>2028</x:v>
      </x:c>
      <x:c r="C751" s="42" t="str">
        <x:v>T2</x:v>
      </x:c>
      <x:c r="D751" s="44" t="n">
        <x:v>46934</x:v>
      </x:c>
      <x:c r="E751" s="42" t="str">
        <x:v>Lateral-direito</x:v>
      </x:c>
      <x:c r="F751" s="42" t="str">
        <x:v>Bayer Leverkusen</x:v>
      </x:c>
      <x:c r="G751" s="46"/>
      <x:c r="H751" s="46"/>
      <x:c r="I751" s="46"/>
      <x:c r="J751" s="46"/>
      <x:c r="K751" s="46" t="str">
        <x:f>IF(COUNT(G751,I751)=0,"",AVERAGE(G751,I751))</x:f>
      </x:c>
      <x:c r="L751" s="46" t="str">
        <x:f>IF(COUNT(H751,J751)=0,"",AVERAGE(H751,J751))</x:f>
      </x:c>
      <x:c r="M751" s="46" t="str">
        <x:f>IF(OR(K751="",L751=""),"",L751-K751)</x:f>
      </x:c>
      <x:c r="N751" s="46" t="str">
        <x:f>IF(OR(K751="",A750&lt;&gt;A751,K750=""),"",K751-K750)</x:f>
      </x:c>
      <x:c r="O751" s="42" t="str">
        <x:v>Sem informação</x:v>
      </x:c>
      <x:c r="P751" s="42"/>
      <x:c r="Q751" s="42" t="str"/>
      <x:c r="R751" s="42" t="str"/>
      <x:c r="S751" s="42" t="str"/>
      <x:c r="T751" s="42" t="str"/>
    </x:row>
    <x:row r="752">
      <x:c r="A752" s="42" t="str">
        <x:v>Arthur</x:v>
      </x:c>
      <x:c r="B752" s="42" t="n">
        <x:v>2028</x:v>
      </x:c>
      <x:c r="C752" s="42" t="str">
        <x:v>T3</x:v>
      </x:c>
      <x:c r="D752" s="44" t="n">
        <x:v>47026</x:v>
      </x:c>
      <x:c r="E752" s="42" t="str">
        <x:v>Lateral-direito</x:v>
      </x:c>
      <x:c r="F752" s="42" t="str">
        <x:v>Bayer Leverkusen</x:v>
      </x:c>
      <x:c r="G752" s="46"/>
      <x:c r="H752" s="46"/>
      <x:c r="I752" s="46"/>
      <x:c r="J752" s="46"/>
      <x:c r="K752" s="46" t="str">
        <x:f>IF(COUNT(G752,I752)=0,"",AVERAGE(G752,I752))</x:f>
      </x:c>
      <x:c r="L752" s="46" t="str">
        <x:f>IF(COUNT(H752,J752)=0,"",AVERAGE(H752,J752))</x:f>
      </x:c>
      <x:c r="M752" s="46" t="str">
        <x:f>IF(OR(K752="",L752=""),"",L752-K752)</x:f>
      </x:c>
      <x:c r="N752" s="46" t="str">
        <x:f>IF(OR(K752="",A751&lt;&gt;A752,K751=""),"",K752-K751)</x:f>
      </x:c>
      <x:c r="O752" s="42" t="str">
        <x:v>Sem informação</x:v>
      </x:c>
      <x:c r="P752" s="42"/>
      <x:c r="Q752" s="42" t="str"/>
      <x:c r="R752" s="42" t="str"/>
      <x:c r="S752" s="42" t="str"/>
      <x:c r="T752" s="42" t="str"/>
    </x:row>
    <x:row r="753">
      <x:c r="A753" s="42" t="str">
        <x:v>Arthur</x:v>
      </x:c>
      <x:c r="B753" s="42" t="n">
        <x:v>2028</x:v>
      </x:c>
      <x:c r="C753" s="42" t="str">
        <x:v>T4</x:v>
      </x:c>
      <x:c r="D753" s="44" t="n">
        <x:v>47118</x:v>
      </x:c>
      <x:c r="E753" s="42" t="str">
        <x:v>Lateral-direito</x:v>
      </x:c>
      <x:c r="F753" s="42" t="str">
        <x:v>Bayer Leverkusen</x:v>
      </x:c>
      <x:c r="G753" s="46"/>
      <x:c r="H753" s="46"/>
      <x:c r="I753" s="46"/>
      <x:c r="J753" s="46"/>
      <x:c r="K753" s="46" t="str">
        <x:f>IF(COUNT(G753,I753)=0,"",AVERAGE(G753,I753))</x:f>
      </x:c>
      <x:c r="L753" s="46" t="str">
        <x:f>IF(COUNT(H753,J753)=0,"",AVERAGE(H753,J753))</x:f>
      </x:c>
      <x:c r="M753" s="46" t="str">
        <x:f>IF(OR(K753="",L753=""),"",L753-K753)</x:f>
      </x:c>
      <x:c r="N753" s="46" t="str">
        <x:f>IF(OR(K753="",A752&lt;&gt;A753,K752=""),"",K753-K752)</x:f>
      </x:c>
      <x:c r="O753" s="42" t="str">
        <x:v>Sem informação</x:v>
      </x:c>
      <x:c r="P753" s="42"/>
      <x:c r="Q753" s="42" t="str"/>
      <x:c r="R753" s="42" t="str"/>
      <x:c r="S753" s="42" t="str"/>
      <x:c r="T753" s="42" t="str"/>
    </x:row>
    <x:row r="754">
      <x:c r="A754" s="42" t="str">
        <x:v>Arthur</x:v>
      </x:c>
      <x:c r="B754" s="42" t="n">
        <x:v>2029</x:v>
      </x:c>
      <x:c r="C754" s="42" t="str">
        <x:v>T1</x:v>
      </x:c>
      <x:c r="D754" s="44" t="n">
        <x:v>47208</x:v>
      </x:c>
      <x:c r="E754" s="42" t="str">
        <x:v>Lateral-direito</x:v>
      </x:c>
      <x:c r="F754" s="42" t="str">
        <x:v>Bayer Leverkusen</x:v>
      </x:c>
      <x:c r="G754" s="46"/>
      <x:c r="H754" s="46"/>
      <x:c r="I754" s="46"/>
      <x:c r="J754" s="46"/>
      <x:c r="K754" s="46" t="str">
        <x:f>IF(COUNT(G754,I754)=0,"",AVERAGE(G754,I754))</x:f>
      </x:c>
      <x:c r="L754" s="46" t="str">
        <x:f>IF(COUNT(H754,J754)=0,"",AVERAGE(H754,J754))</x:f>
      </x:c>
      <x:c r="M754" s="46" t="str">
        <x:f>IF(OR(K754="",L754=""),"",L754-K754)</x:f>
      </x:c>
      <x:c r="N754" s="46" t="str">
        <x:f>IF(OR(K754="",A753&lt;&gt;A754,K753=""),"",K754-K753)</x:f>
      </x:c>
      <x:c r="O754" s="42" t="str">
        <x:v>Sem informação</x:v>
      </x:c>
      <x:c r="P754" s="42"/>
      <x:c r="Q754" s="42" t="str"/>
      <x:c r="R754" s="42" t="str"/>
      <x:c r="S754" s="42" t="str"/>
      <x:c r="T754" s="42" t="str"/>
    </x:row>
    <x:row r="755">
      <x:c r="A755" s="42" t="str">
        <x:v>Arthur</x:v>
      </x:c>
      <x:c r="B755" s="42" t="n">
        <x:v>2029</x:v>
      </x:c>
      <x:c r="C755" s="42" t="str">
        <x:v>T2</x:v>
      </x:c>
      <x:c r="D755" s="44" t="n">
        <x:v>47299</x:v>
      </x:c>
      <x:c r="E755" s="42" t="str">
        <x:v>Lateral-direito</x:v>
      </x:c>
      <x:c r="F755" s="42" t="str">
        <x:v>Bayer Leverkusen</x:v>
      </x:c>
      <x:c r="G755" s="46"/>
      <x:c r="H755" s="46"/>
      <x:c r="I755" s="46"/>
      <x:c r="J755" s="46"/>
      <x:c r="K755" s="46" t="str">
        <x:f>IF(COUNT(G755,I755)=0,"",AVERAGE(G755,I755))</x:f>
      </x:c>
      <x:c r="L755" s="46" t="str">
        <x:f>IF(COUNT(H755,J755)=0,"",AVERAGE(H755,J755))</x:f>
      </x:c>
      <x:c r="M755" s="46" t="str">
        <x:f>IF(OR(K755="",L755=""),"",L755-K755)</x:f>
      </x:c>
      <x:c r="N755" s="46" t="str">
        <x:f>IF(OR(K755="",A754&lt;&gt;A755,K754=""),"",K755-K754)</x:f>
      </x:c>
      <x:c r="O755" s="42" t="str">
        <x:v>Sem informação</x:v>
      </x:c>
      <x:c r="P755" s="42"/>
      <x:c r="Q755" s="42" t="str"/>
      <x:c r="R755" s="42" t="str"/>
      <x:c r="S755" s="42" t="str"/>
      <x:c r="T755" s="42" t="str"/>
    </x:row>
    <x:row r="756">
      <x:c r="A756" s="42" t="str">
        <x:v>Arthur</x:v>
      </x:c>
      <x:c r="B756" s="42" t="n">
        <x:v>2029</x:v>
      </x:c>
      <x:c r="C756" s="42" t="str">
        <x:v>T3</x:v>
      </x:c>
      <x:c r="D756" s="44" t="n">
        <x:v>47391</x:v>
      </x:c>
      <x:c r="E756" s="42" t="str">
        <x:v>Lateral-direito</x:v>
      </x:c>
      <x:c r="F756" s="42" t="str">
        <x:v>Bayer Leverkusen</x:v>
      </x:c>
      <x:c r="G756" s="46"/>
      <x:c r="H756" s="46"/>
      <x:c r="I756" s="46"/>
      <x:c r="J756" s="46"/>
      <x:c r="K756" s="46" t="str">
        <x:f>IF(COUNT(G756,I756)=0,"",AVERAGE(G756,I756))</x:f>
      </x:c>
      <x:c r="L756" s="46" t="str">
        <x:f>IF(COUNT(H756,J756)=0,"",AVERAGE(H756,J756))</x:f>
      </x:c>
      <x:c r="M756" s="46" t="str">
        <x:f>IF(OR(K756="",L756=""),"",L756-K756)</x:f>
      </x:c>
      <x:c r="N756" s="46" t="str">
        <x:f>IF(OR(K756="",A755&lt;&gt;A756,K755=""),"",K756-K755)</x:f>
      </x:c>
      <x:c r="O756" s="42" t="str">
        <x:v>Sem informação</x:v>
      </x:c>
      <x:c r="P756" s="42"/>
      <x:c r="Q756" s="42" t="str"/>
      <x:c r="R756" s="42" t="str"/>
      <x:c r="S756" s="42" t="str"/>
      <x:c r="T756" s="42" t="str"/>
    </x:row>
    <x:row r="757">
      <x:c r="A757" s="42" t="str">
        <x:v>Arthur</x:v>
      </x:c>
      <x:c r="B757" s="42" t="n">
        <x:v>2029</x:v>
      </x:c>
      <x:c r="C757" s="42" t="str">
        <x:v>T4</x:v>
      </x:c>
      <x:c r="D757" s="44" t="n">
        <x:v>47483</x:v>
      </x:c>
      <x:c r="E757" s="42" t="str">
        <x:v>Lateral-direito</x:v>
      </x:c>
      <x:c r="F757" s="42" t="str">
        <x:v>Bayer Leverkusen</x:v>
      </x:c>
      <x:c r="G757" s="46"/>
      <x:c r="H757" s="46"/>
      <x:c r="I757" s="46"/>
      <x:c r="J757" s="46"/>
      <x:c r="K757" s="46" t="str">
        <x:f>IF(COUNT(G757,I757)=0,"",AVERAGE(G757,I757))</x:f>
      </x:c>
      <x:c r="L757" s="46" t="str">
        <x:f>IF(COUNT(H757,J757)=0,"",AVERAGE(H757,J757))</x:f>
      </x:c>
      <x:c r="M757" s="46" t="str">
        <x:f>IF(OR(K757="",L757=""),"",L757-K757)</x:f>
      </x:c>
      <x:c r="N757" s="46" t="str">
        <x:f>IF(OR(K757="",A756&lt;&gt;A757,K756=""),"",K757-K756)</x:f>
      </x:c>
      <x:c r="O757" s="42" t="str">
        <x:v>Sem informação</x:v>
      </x:c>
      <x:c r="P757" s="42"/>
      <x:c r="Q757" s="42" t="str"/>
      <x:c r="R757" s="42" t="str"/>
      <x:c r="S757" s="42" t="str"/>
      <x:c r="T757" s="42" t="str"/>
    </x:row>
    <x:row r="758">
      <x:c r="A758" s="42" t="str">
        <x:v>Arthur</x:v>
      </x:c>
      <x:c r="B758" s="42" t="n">
        <x:v>2030</x:v>
      </x:c>
      <x:c r="C758" s="42" t="str">
        <x:v>T1</x:v>
      </x:c>
      <x:c r="D758" s="44" t="n">
        <x:v>47573</x:v>
      </x:c>
      <x:c r="E758" s="42" t="str">
        <x:v>Lateral-direito</x:v>
      </x:c>
      <x:c r="F758" s="42" t="str">
        <x:v>Bayer Leverkusen</x:v>
      </x:c>
      <x:c r="G758" s="46"/>
      <x:c r="H758" s="46"/>
      <x:c r="I758" s="46"/>
      <x:c r="J758" s="46"/>
      <x:c r="K758" s="46" t="str">
        <x:f>IF(COUNT(G758,I758)=0,"",AVERAGE(G758,I758))</x:f>
      </x:c>
      <x:c r="L758" s="46" t="str">
        <x:f>IF(COUNT(H758,J758)=0,"",AVERAGE(H758,J758))</x:f>
      </x:c>
      <x:c r="M758" s="46" t="str">
        <x:f>IF(OR(K758="",L758=""),"",L758-K758)</x:f>
      </x:c>
      <x:c r="N758" s="46" t="str">
        <x:f>IF(OR(K758="",A757&lt;&gt;A758,K757=""),"",K758-K757)</x:f>
      </x:c>
      <x:c r="O758" s="42" t="str">
        <x:v>Sem informação</x:v>
      </x:c>
      <x:c r="P758" s="42"/>
      <x:c r="Q758" s="42" t="str"/>
      <x:c r="R758" s="42" t="str"/>
      <x:c r="S758" s="42" t="str"/>
      <x:c r="T758" s="42" t="str"/>
    </x:row>
    <x:row r="759">
      <x:c r="A759" s="42" t="str">
        <x:v>Arthur</x:v>
      </x:c>
      <x:c r="B759" s="42" t="n">
        <x:v>2030</x:v>
      </x:c>
      <x:c r="C759" s="42" t="str">
        <x:v>T2</x:v>
      </x:c>
      <x:c r="D759" s="44" t="n">
        <x:v>47664</x:v>
      </x:c>
      <x:c r="E759" s="42" t="str">
        <x:v>Lateral-direito</x:v>
      </x:c>
      <x:c r="F759" s="42" t="str">
        <x:v>Bayer Leverkusen</x:v>
      </x:c>
      <x:c r="G759" s="46"/>
      <x:c r="H759" s="46"/>
      <x:c r="I759" s="46"/>
      <x:c r="J759" s="46"/>
      <x:c r="K759" s="46" t="str">
        <x:f>IF(COUNT(G759,I759)=0,"",AVERAGE(G759,I759))</x:f>
      </x:c>
      <x:c r="L759" s="46" t="str">
        <x:f>IF(COUNT(H759,J759)=0,"",AVERAGE(H759,J759))</x:f>
      </x:c>
      <x:c r="M759" s="46" t="str">
        <x:f>IF(OR(K759="",L759=""),"",L759-K759)</x:f>
      </x:c>
      <x:c r="N759" s="46" t="str">
        <x:f>IF(OR(K759="",A758&lt;&gt;A759,K758=""),"",K759-K758)</x:f>
      </x:c>
      <x:c r="O759" s="42" t="str">
        <x:v>Sem informação</x:v>
      </x:c>
      <x:c r="P759" s="42"/>
      <x:c r="Q759" s="42" t="str"/>
      <x:c r="R759" s="42" t="str"/>
      <x:c r="S759" s="42" t="str"/>
      <x:c r="T759" s="42" t="str"/>
    </x:row>
    <x:row r="760">
      <x:c r="A760" s="42" t="str">
        <x:v>Arthur</x:v>
      </x:c>
      <x:c r="B760" s="42" t="n">
        <x:v>2030</x:v>
      </x:c>
      <x:c r="C760" s="42" t="str">
        <x:v>T3</x:v>
      </x:c>
      <x:c r="D760" s="44" t="n">
        <x:v>47756</x:v>
      </x:c>
      <x:c r="E760" s="42" t="str">
        <x:v>Lateral-direito</x:v>
      </x:c>
      <x:c r="F760" s="42" t="str">
        <x:v>Bayer Leverkusen</x:v>
      </x:c>
      <x:c r="G760" s="46"/>
      <x:c r="H760" s="46"/>
      <x:c r="I760" s="46"/>
      <x:c r="J760" s="46"/>
      <x:c r="K760" s="46" t="str">
        <x:f>IF(COUNT(G760,I760)=0,"",AVERAGE(G760,I760))</x:f>
      </x:c>
      <x:c r="L760" s="46" t="str">
        <x:f>IF(COUNT(H760,J760)=0,"",AVERAGE(H760,J760))</x:f>
      </x:c>
      <x:c r="M760" s="46" t="str">
        <x:f>IF(OR(K760="",L760=""),"",L760-K760)</x:f>
      </x:c>
      <x:c r="N760" s="46" t="str">
        <x:f>IF(OR(K760="",A759&lt;&gt;A760,K759=""),"",K760-K759)</x:f>
      </x:c>
      <x:c r="O760" s="42" t="str">
        <x:v>Sem informação</x:v>
      </x:c>
      <x:c r="P760" s="42"/>
      <x:c r="Q760" s="42" t="str"/>
      <x:c r="R760" s="42" t="str"/>
      <x:c r="S760" s="42" t="str"/>
      <x:c r="T760" s="42" t="str"/>
    </x:row>
    <x:row r="761">
      <x:c r="A761" s="42" t="str">
        <x:v>Arthur</x:v>
      </x:c>
      <x:c r="B761" s="42" t="n">
        <x:v>2030</x:v>
      </x:c>
      <x:c r="C761" s="42" t="str">
        <x:v>T4</x:v>
      </x:c>
      <x:c r="D761" s="44" t="n">
        <x:v>47848</x:v>
      </x:c>
      <x:c r="E761" s="42" t="str">
        <x:v>Lateral-direito</x:v>
      </x:c>
      <x:c r="F761" s="42" t="str">
        <x:v>Bayer Leverkusen</x:v>
      </x:c>
      <x:c r="G761" s="46"/>
      <x:c r="H761" s="46"/>
      <x:c r="I761" s="46"/>
      <x:c r="J761" s="46"/>
      <x:c r="K761" s="46" t="str">
        <x:f>IF(COUNT(G761,I761)=0,"",AVERAGE(G761,I761))</x:f>
      </x:c>
      <x:c r="L761" s="46" t="str">
        <x:f>IF(COUNT(H761,J761)=0,"",AVERAGE(H761,J761))</x:f>
      </x:c>
      <x:c r="M761" s="46" t="str">
        <x:f>IF(OR(K761="",L761=""),"",L761-K761)</x:f>
      </x:c>
      <x:c r="N761" s="46" t="str">
        <x:f>IF(OR(K761="",A760&lt;&gt;A761,K760=""),"",K761-K760)</x:f>
      </x:c>
      <x:c r="O761" s="42" t="str">
        <x:v>Sem informação</x:v>
      </x:c>
      <x:c r="P761" s="42"/>
      <x:c r="Q761" s="42" t="str"/>
      <x:c r="R761" s="42" t="str"/>
      <x:c r="S761" s="42" t="str"/>
      <x:c r="T761" s="42" t="str"/>
    </x:row>
    <x:row r="762">
      <x:c r="A762" s="42" t="str">
        <x:v>Bremer</x:v>
      </x:c>
      <x:c r="B762" s="42" t="n">
        <x:v>2026</x:v>
      </x:c>
      <x:c r="C762" s="42" t="str">
        <x:v>T1</x:v>
      </x:c>
      <x:c r="D762" s="44" t="n">
        <x:v>46112</x:v>
      </x:c>
      <x:c r="E762" s="42" t="str">
        <x:v>Zagueiro</x:v>
      </x:c>
      <x:c r="F762" s="42" t="str">
        <x:v>Juventus FC</x:v>
      </x:c>
      <x:c r="G762" s="46"/>
      <x:c r="H762" s="46"/>
      <x:c r="I762" s="46"/>
      <x:c r="J762" s="46"/>
      <x:c r="K762" s="46" t="str">
        <x:f>IF(COUNT(G762,I762)=0,"",AVERAGE(G762,I762))</x:f>
      </x:c>
      <x:c r="L762" s="46" t="str">
        <x:f>IF(COUNT(H762,J762)=0,"",AVERAGE(H762,J762))</x:f>
      </x:c>
      <x:c r="M762" s="46" t="str">
        <x:f>IF(OR(K762="",L762=""),"",L762-K762)</x:f>
      </x:c>
      <x:c r="N762" s="46" t="str">
        <x:f>IF(OR(K762="",A761&lt;&gt;A762,K761=""),"",K762-K761)</x:f>
      </x:c>
      <x:c r="O762" s="42" t="str">
        <x:v>Sem informação</x:v>
      </x:c>
      <x:c r="P762" s="42"/>
      <x:c r="Q762" s="42" t="str"/>
      <x:c r="R762" s="42" t="str"/>
      <x:c r="S762" s="42" t="str"/>
      <x:c r="T762" s="42" t="str"/>
    </x:row>
    <x:row r="763">
      <x:c r="A763" s="42" t="str">
        <x:v>Bremer</x:v>
      </x:c>
      <x:c r="B763" s="42" t="n">
        <x:v>2026</x:v>
      </x:c>
      <x:c r="C763" s="42" t="str">
        <x:v>T2</x:v>
      </x:c>
      <x:c r="D763" s="44" t="n">
        <x:v>46203</x:v>
      </x:c>
      <x:c r="E763" s="42" t="str">
        <x:v>Zagueiro</x:v>
      </x:c>
      <x:c r="F763" s="42" t="str">
        <x:v>Juventus FC</x:v>
      </x:c>
      <x:c r="G763" s="46" t="n">
        <x:v>7.5</x:v>
      </x:c>
      <x:c r="H763" s="46" t="n">
        <x:v>7</x:v>
      </x:c>
      <x:c r="I763" s="46" t="n">
        <x:v>7.5</x:v>
      </x:c>
      <x:c r="J763" s="46" t="n">
        <x:v>6.5</x:v>
      </x:c>
      <x:c r="K763" s="46" t="n">
        <x:f>IF(COUNT(G763,I763)=0,"",AVERAGE(G763,I763))</x:f>
        <x:v>7.5</x:v>
      </x:c>
      <x:c r="L763" s="46" t="n">
        <x:f>IF(COUNT(H763,J763)=0,"",AVERAGE(H763,J763))</x:f>
        <x:v>6.75</x:v>
      </x:c>
      <x:c r="M763" s="46" t="n">
        <x:f>IF(OR(K763="",L763=""),"",L763-K763)</x:f>
        <x:v>-0.75</x:v>
      </x:c>
      <x:c r="N763" s="46" t="str">
        <x:f>IF(OR(K763="",A762&lt;&gt;A763,K762=""),"",K763-K762)</x:f>
      </x:c>
      <x:c r="O763" s="42" t="str">
        <x:v>Sem informação</x:v>
      </x:c>
      <x:c r="P763" s="42"/>
      <x:c r="Q763" s="42" t="str"/>
      <x:c r="R763" s="42" t="str"/>
      <x:c r="S763" s="42" t="str"/>
      <x:c r="T763" s="42" t="str"/>
    </x:row>
    <x:row r="764">
      <x:c r="A764" s="42" t="str">
        <x:v>Bremer</x:v>
      </x:c>
      <x:c r="B764" s="42" t="n">
        <x:v>2026</x:v>
      </x:c>
      <x:c r="C764" s="42" t="str">
        <x:v>T3</x:v>
      </x:c>
      <x:c r="D764" s="44" t="n">
        <x:v>46295</x:v>
      </x:c>
      <x:c r="E764" s="42" t="str">
        <x:v>Zagueiro</x:v>
      </x:c>
      <x:c r="F764" s="42" t="str">
        <x:v>Juventus FC</x:v>
      </x:c>
      <x:c r="G764" s="46"/>
      <x:c r="H764" s="46"/>
      <x:c r="I764" s="46"/>
      <x:c r="J764" s="46"/>
      <x:c r="K764" s="46" t="str">
        <x:f>IF(COUNT(G764,I764)=0,"",AVERAGE(G764,I764))</x:f>
      </x:c>
      <x:c r="L764" s="46" t="str">
        <x:f>IF(COUNT(H764,J764)=0,"",AVERAGE(H764,J764))</x:f>
      </x:c>
      <x:c r="M764" s="46" t="str">
        <x:f>IF(OR(K764="",L764=""),"",L764-K764)</x:f>
      </x:c>
      <x:c r="N764" s="46" t="str">
        <x:f>IF(OR(K764="",A763&lt;&gt;A764,K763=""),"",K764-K763)</x:f>
      </x:c>
      <x:c r="O764" s="42" t="str">
        <x:v>Sem informação</x:v>
      </x:c>
      <x:c r="P764" s="42"/>
      <x:c r="Q764" s="42" t="str"/>
      <x:c r="R764" s="42" t="str"/>
      <x:c r="S764" s="42" t="str"/>
      <x:c r="T764" s="42" t="str"/>
    </x:row>
    <x:row r="765">
      <x:c r="A765" s="42" t="str">
        <x:v>Bremer</x:v>
      </x:c>
      <x:c r="B765" s="42" t="n">
        <x:v>2026</x:v>
      </x:c>
      <x:c r="C765" s="42" t="str">
        <x:v>T4</x:v>
      </x:c>
      <x:c r="D765" s="44" t="n">
        <x:v>46387</x:v>
      </x:c>
      <x:c r="E765" s="42" t="str">
        <x:v>Zagueiro</x:v>
      </x:c>
      <x:c r="F765" s="42" t="str">
        <x:v>Juventus FC</x:v>
      </x:c>
      <x:c r="G765" s="46"/>
      <x:c r="H765" s="46"/>
      <x:c r="I765" s="46"/>
      <x:c r="J765" s="46"/>
      <x:c r="K765" s="46" t="str">
        <x:f>IF(COUNT(G765,I765)=0,"",AVERAGE(G765,I765))</x:f>
      </x:c>
      <x:c r="L765" s="46" t="str">
        <x:f>IF(COUNT(H765,J765)=0,"",AVERAGE(H765,J765))</x:f>
      </x:c>
      <x:c r="M765" s="46" t="str">
        <x:f>IF(OR(K765="",L765=""),"",L765-K765)</x:f>
      </x:c>
      <x:c r="N765" s="46" t="str">
        <x:f>IF(OR(K765="",A764&lt;&gt;A765,K764=""),"",K765-K764)</x:f>
      </x:c>
      <x:c r="O765" s="42" t="str">
        <x:v>Sem informação</x:v>
      </x:c>
      <x:c r="P765" s="42"/>
      <x:c r="Q765" s="42" t="str"/>
      <x:c r="R765" s="42" t="str"/>
      <x:c r="S765" s="42" t="str"/>
      <x:c r="T765" s="42" t="str"/>
    </x:row>
    <x:row r="766">
      <x:c r="A766" s="42" t="str">
        <x:v>Bremer</x:v>
      </x:c>
      <x:c r="B766" s="42" t="n">
        <x:v>2027</x:v>
      </x:c>
      <x:c r="C766" s="42" t="str">
        <x:v>T1</x:v>
      </x:c>
      <x:c r="D766" s="44" t="n">
        <x:v>46477</x:v>
      </x:c>
      <x:c r="E766" s="42" t="str">
        <x:v>Zagueiro</x:v>
      </x:c>
      <x:c r="F766" s="42" t="str">
        <x:v>Juventus FC</x:v>
      </x:c>
      <x:c r="G766" s="46"/>
      <x:c r="H766" s="46"/>
      <x:c r="I766" s="46"/>
      <x:c r="J766" s="46"/>
      <x:c r="K766" s="46" t="str">
        <x:f>IF(COUNT(G766,I766)=0,"",AVERAGE(G766,I766))</x:f>
      </x:c>
      <x:c r="L766" s="46" t="str">
        <x:f>IF(COUNT(H766,J766)=0,"",AVERAGE(H766,J766))</x:f>
      </x:c>
      <x:c r="M766" s="46" t="str">
        <x:f>IF(OR(K766="",L766=""),"",L766-K766)</x:f>
      </x:c>
      <x:c r="N766" s="46" t="str">
        <x:f>IF(OR(K766="",A765&lt;&gt;A766,K765=""),"",K766-K765)</x:f>
      </x:c>
      <x:c r="O766" s="42" t="str">
        <x:v>Sem informação</x:v>
      </x:c>
      <x:c r="P766" s="42"/>
      <x:c r="Q766" s="42" t="str"/>
      <x:c r="R766" s="42" t="str"/>
      <x:c r="S766" s="42" t="str"/>
      <x:c r="T766" s="42" t="str"/>
    </x:row>
    <x:row r="767">
      <x:c r="A767" s="42" t="str">
        <x:v>Bremer</x:v>
      </x:c>
      <x:c r="B767" s="42" t="n">
        <x:v>2027</x:v>
      </x:c>
      <x:c r="C767" s="42" t="str">
        <x:v>T2</x:v>
      </x:c>
      <x:c r="D767" s="44" t="n">
        <x:v>46568</x:v>
      </x:c>
      <x:c r="E767" s="42" t="str">
        <x:v>Zagueiro</x:v>
      </x:c>
      <x:c r="F767" s="42" t="str">
        <x:v>Juventus FC</x:v>
      </x:c>
      <x:c r="G767" s="46"/>
      <x:c r="H767" s="46"/>
      <x:c r="I767" s="46"/>
      <x:c r="J767" s="46"/>
      <x:c r="K767" s="46" t="str">
        <x:f>IF(COUNT(G767,I767)=0,"",AVERAGE(G767,I767))</x:f>
      </x:c>
      <x:c r="L767" s="46" t="str">
        <x:f>IF(COUNT(H767,J767)=0,"",AVERAGE(H767,J767))</x:f>
      </x:c>
      <x:c r="M767" s="46" t="str">
        <x:f>IF(OR(K767="",L767=""),"",L767-K767)</x:f>
      </x:c>
      <x:c r="N767" s="46" t="str">
        <x:f>IF(OR(K767="",A766&lt;&gt;A767,K766=""),"",K767-K766)</x:f>
      </x:c>
      <x:c r="O767" s="42" t="str">
        <x:v>Sem informação</x:v>
      </x:c>
      <x:c r="P767" s="42"/>
      <x:c r="Q767" s="42" t="str"/>
      <x:c r="R767" s="42" t="str"/>
      <x:c r="S767" s="42" t="str"/>
      <x:c r="T767" s="42" t="str"/>
    </x:row>
    <x:row r="768">
      <x:c r="A768" s="42" t="str">
        <x:v>Bremer</x:v>
      </x:c>
      <x:c r="B768" s="42" t="n">
        <x:v>2027</x:v>
      </x:c>
      <x:c r="C768" s="42" t="str">
        <x:v>T3</x:v>
      </x:c>
      <x:c r="D768" s="44" t="n">
        <x:v>46660</x:v>
      </x:c>
      <x:c r="E768" s="42" t="str">
        <x:v>Zagueiro</x:v>
      </x:c>
      <x:c r="F768" s="42" t="str">
        <x:v>Juventus FC</x:v>
      </x:c>
      <x:c r="G768" s="46"/>
      <x:c r="H768" s="46"/>
      <x:c r="I768" s="46"/>
      <x:c r="J768" s="46"/>
      <x:c r="K768" s="46" t="str">
        <x:f>IF(COUNT(G768,I768)=0,"",AVERAGE(G768,I768))</x:f>
      </x:c>
      <x:c r="L768" s="46" t="str">
        <x:f>IF(COUNT(H768,J768)=0,"",AVERAGE(H768,J768))</x:f>
      </x:c>
      <x:c r="M768" s="46" t="str">
        <x:f>IF(OR(K768="",L768=""),"",L768-K768)</x:f>
      </x:c>
      <x:c r="N768" s="46" t="str">
        <x:f>IF(OR(K768="",A767&lt;&gt;A768,K767=""),"",K768-K767)</x:f>
      </x:c>
      <x:c r="O768" s="42" t="str">
        <x:v>Sem informação</x:v>
      </x:c>
      <x:c r="P768" s="42"/>
      <x:c r="Q768" s="42" t="str"/>
      <x:c r="R768" s="42" t="str"/>
      <x:c r="S768" s="42" t="str"/>
      <x:c r="T768" s="42" t="str"/>
    </x:row>
    <x:row r="769">
      <x:c r="A769" s="42" t="str">
        <x:v>Bremer</x:v>
      </x:c>
      <x:c r="B769" s="42" t="n">
        <x:v>2027</x:v>
      </x:c>
      <x:c r="C769" s="42" t="str">
        <x:v>T4</x:v>
      </x:c>
      <x:c r="D769" s="44" t="n">
        <x:v>46752</x:v>
      </x:c>
      <x:c r="E769" s="42" t="str">
        <x:v>Zagueiro</x:v>
      </x:c>
      <x:c r="F769" s="42" t="str">
        <x:v>Juventus FC</x:v>
      </x:c>
      <x:c r="G769" s="46"/>
      <x:c r="H769" s="46"/>
      <x:c r="I769" s="46"/>
      <x:c r="J769" s="46"/>
      <x:c r="K769" s="46" t="str">
        <x:f>IF(COUNT(G769,I769)=0,"",AVERAGE(G769,I769))</x:f>
      </x:c>
      <x:c r="L769" s="46" t="str">
        <x:f>IF(COUNT(H769,J769)=0,"",AVERAGE(H769,J769))</x:f>
      </x:c>
      <x:c r="M769" s="46" t="str">
        <x:f>IF(OR(K769="",L769=""),"",L769-K769)</x:f>
      </x:c>
      <x:c r="N769" s="46" t="str">
        <x:f>IF(OR(K769="",A768&lt;&gt;A769,K768=""),"",K769-K768)</x:f>
      </x:c>
      <x:c r="O769" s="42" t="str">
        <x:v>Sem informação</x:v>
      </x:c>
      <x:c r="P769" s="42"/>
      <x:c r="Q769" s="42" t="str"/>
      <x:c r="R769" s="42" t="str"/>
      <x:c r="S769" s="42" t="str"/>
      <x:c r="T769" s="42" t="str"/>
    </x:row>
    <x:row r="770">
      <x:c r="A770" s="42" t="str">
        <x:v>Bremer</x:v>
      </x:c>
      <x:c r="B770" s="42" t="n">
        <x:v>2028</x:v>
      </x:c>
      <x:c r="C770" s="42" t="str">
        <x:v>T1</x:v>
      </x:c>
      <x:c r="D770" s="44" t="n">
        <x:v>46843</x:v>
      </x:c>
      <x:c r="E770" s="42" t="str">
        <x:v>Zagueiro</x:v>
      </x:c>
      <x:c r="F770" s="42" t="str">
        <x:v>Juventus FC</x:v>
      </x:c>
      <x:c r="G770" s="46"/>
      <x:c r="H770" s="46"/>
      <x:c r="I770" s="46"/>
      <x:c r="J770" s="46"/>
      <x:c r="K770" s="46" t="str">
        <x:f>IF(COUNT(G770,I770)=0,"",AVERAGE(G770,I770))</x:f>
      </x:c>
      <x:c r="L770" s="46" t="str">
        <x:f>IF(COUNT(H770,J770)=0,"",AVERAGE(H770,J770))</x:f>
      </x:c>
      <x:c r="M770" s="46" t="str">
        <x:f>IF(OR(K770="",L770=""),"",L770-K770)</x:f>
      </x:c>
      <x:c r="N770" s="46" t="str">
        <x:f>IF(OR(K770="",A769&lt;&gt;A770,K769=""),"",K770-K769)</x:f>
      </x:c>
      <x:c r="O770" s="42" t="str">
        <x:v>Sem informação</x:v>
      </x:c>
      <x:c r="P770" s="42"/>
      <x:c r="Q770" s="42" t="str"/>
      <x:c r="R770" s="42" t="str"/>
      <x:c r="S770" s="42" t="str"/>
      <x:c r="T770" s="42" t="str"/>
    </x:row>
    <x:row r="771">
      <x:c r="A771" s="42" t="str">
        <x:v>Bremer</x:v>
      </x:c>
      <x:c r="B771" s="42" t="n">
        <x:v>2028</x:v>
      </x:c>
      <x:c r="C771" s="42" t="str">
        <x:v>T2</x:v>
      </x:c>
      <x:c r="D771" s="44" t="n">
        <x:v>46934</x:v>
      </x:c>
      <x:c r="E771" s="42" t="str">
        <x:v>Zagueiro</x:v>
      </x:c>
      <x:c r="F771" s="42" t="str">
        <x:v>Juventus FC</x:v>
      </x:c>
      <x:c r="G771" s="46"/>
      <x:c r="H771" s="46"/>
      <x:c r="I771" s="46"/>
      <x:c r="J771" s="46"/>
      <x:c r="K771" s="46" t="str">
        <x:f>IF(COUNT(G771,I771)=0,"",AVERAGE(G771,I771))</x:f>
      </x:c>
      <x:c r="L771" s="46" t="str">
        <x:f>IF(COUNT(H771,J771)=0,"",AVERAGE(H771,J771))</x:f>
      </x:c>
      <x:c r="M771" s="46" t="str">
        <x:f>IF(OR(K771="",L771=""),"",L771-K771)</x:f>
      </x:c>
      <x:c r="N771" s="46" t="str">
        <x:f>IF(OR(K771="",A770&lt;&gt;A771,K770=""),"",K771-K770)</x:f>
      </x:c>
      <x:c r="O771" s="42" t="str">
        <x:v>Sem informação</x:v>
      </x:c>
      <x:c r="P771" s="42"/>
      <x:c r="Q771" s="42" t="str"/>
      <x:c r="R771" s="42" t="str"/>
      <x:c r="S771" s="42" t="str"/>
      <x:c r="T771" s="42" t="str"/>
    </x:row>
    <x:row r="772">
      <x:c r="A772" s="42" t="str">
        <x:v>Bremer</x:v>
      </x:c>
      <x:c r="B772" s="42" t="n">
        <x:v>2028</x:v>
      </x:c>
      <x:c r="C772" s="42" t="str">
        <x:v>T3</x:v>
      </x:c>
      <x:c r="D772" s="44" t="n">
        <x:v>47026</x:v>
      </x:c>
      <x:c r="E772" s="42" t="str">
        <x:v>Zagueiro</x:v>
      </x:c>
      <x:c r="F772" s="42" t="str">
        <x:v>Juventus FC</x:v>
      </x:c>
      <x:c r="G772" s="46"/>
      <x:c r="H772" s="46"/>
      <x:c r="I772" s="46"/>
      <x:c r="J772" s="46"/>
      <x:c r="K772" s="46" t="str">
        <x:f>IF(COUNT(G772,I772)=0,"",AVERAGE(G772,I772))</x:f>
      </x:c>
      <x:c r="L772" s="46" t="str">
        <x:f>IF(COUNT(H772,J772)=0,"",AVERAGE(H772,J772))</x:f>
      </x:c>
      <x:c r="M772" s="46" t="str">
        <x:f>IF(OR(K772="",L772=""),"",L772-K772)</x:f>
      </x:c>
      <x:c r="N772" s="46" t="str">
        <x:f>IF(OR(K772="",A771&lt;&gt;A772,K771=""),"",K772-K771)</x:f>
      </x:c>
      <x:c r="O772" s="42" t="str">
        <x:v>Sem informação</x:v>
      </x:c>
      <x:c r="P772" s="42"/>
      <x:c r="Q772" s="42" t="str"/>
      <x:c r="R772" s="42" t="str"/>
      <x:c r="S772" s="42" t="str"/>
      <x:c r="T772" s="42" t="str"/>
    </x:row>
    <x:row r="773">
      <x:c r="A773" s="42" t="str">
        <x:v>Bremer</x:v>
      </x:c>
      <x:c r="B773" s="42" t="n">
        <x:v>2028</x:v>
      </x:c>
      <x:c r="C773" s="42" t="str">
        <x:v>T4</x:v>
      </x:c>
      <x:c r="D773" s="44" t="n">
        <x:v>47118</x:v>
      </x:c>
      <x:c r="E773" s="42" t="str">
        <x:v>Zagueiro</x:v>
      </x:c>
      <x:c r="F773" s="42" t="str">
        <x:v>Juventus FC</x:v>
      </x:c>
      <x:c r="G773" s="46"/>
      <x:c r="H773" s="46"/>
      <x:c r="I773" s="46"/>
      <x:c r="J773" s="46"/>
      <x:c r="K773" s="46" t="str">
        <x:f>IF(COUNT(G773,I773)=0,"",AVERAGE(G773,I773))</x:f>
      </x:c>
      <x:c r="L773" s="46" t="str">
        <x:f>IF(COUNT(H773,J773)=0,"",AVERAGE(H773,J773))</x:f>
      </x:c>
      <x:c r="M773" s="46" t="str">
        <x:f>IF(OR(K773="",L773=""),"",L773-K773)</x:f>
      </x:c>
      <x:c r="N773" s="46" t="str">
        <x:f>IF(OR(K773="",A772&lt;&gt;A773,K772=""),"",K773-K772)</x:f>
      </x:c>
      <x:c r="O773" s="42" t="str">
        <x:v>Sem informação</x:v>
      </x:c>
      <x:c r="P773" s="42"/>
      <x:c r="Q773" s="42" t="str"/>
      <x:c r="R773" s="42" t="str"/>
      <x:c r="S773" s="42" t="str"/>
      <x:c r="T773" s="42" t="str"/>
    </x:row>
    <x:row r="774">
      <x:c r="A774" s="42" t="str">
        <x:v>Bremer</x:v>
      </x:c>
      <x:c r="B774" s="42" t="n">
        <x:v>2029</x:v>
      </x:c>
      <x:c r="C774" s="42" t="str">
        <x:v>T1</x:v>
      </x:c>
      <x:c r="D774" s="44" t="n">
        <x:v>47208</x:v>
      </x:c>
      <x:c r="E774" s="42" t="str">
        <x:v>Zagueiro</x:v>
      </x:c>
      <x:c r="F774" s="42" t="str">
        <x:v>Juventus FC</x:v>
      </x:c>
      <x:c r="G774" s="46"/>
      <x:c r="H774" s="46"/>
      <x:c r="I774" s="46"/>
      <x:c r="J774" s="46"/>
      <x:c r="K774" s="46" t="str">
        <x:f>IF(COUNT(G774,I774)=0,"",AVERAGE(G774,I774))</x:f>
      </x:c>
      <x:c r="L774" s="46" t="str">
        <x:f>IF(COUNT(H774,J774)=0,"",AVERAGE(H774,J774))</x:f>
      </x:c>
      <x:c r="M774" s="46" t="str">
        <x:f>IF(OR(K774="",L774=""),"",L774-K774)</x:f>
      </x:c>
      <x:c r="N774" s="46" t="str">
        <x:f>IF(OR(K774="",A773&lt;&gt;A774,K773=""),"",K774-K773)</x:f>
      </x:c>
      <x:c r="O774" s="42" t="str">
        <x:v>Sem informação</x:v>
      </x:c>
      <x:c r="P774" s="42"/>
      <x:c r="Q774" s="42" t="str"/>
      <x:c r="R774" s="42" t="str"/>
      <x:c r="S774" s="42" t="str"/>
      <x:c r="T774" s="42" t="str"/>
    </x:row>
    <x:row r="775">
      <x:c r="A775" s="42" t="str">
        <x:v>Bremer</x:v>
      </x:c>
      <x:c r="B775" s="42" t="n">
        <x:v>2029</x:v>
      </x:c>
      <x:c r="C775" s="42" t="str">
        <x:v>T2</x:v>
      </x:c>
      <x:c r="D775" s="44" t="n">
        <x:v>47299</x:v>
      </x:c>
      <x:c r="E775" s="42" t="str">
        <x:v>Zagueiro</x:v>
      </x:c>
      <x:c r="F775" s="42" t="str">
        <x:v>Juventus FC</x:v>
      </x:c>
      <x:c r="G775" s="46"/>
      <x:c r="H775" s="46"/>
      <x:c r="I775" s="46"/>
      <x:c r="J775" s="46"/>
      <x:c r="K775" s="46" t="str">
        <x:f>IF(COUNT(G775,I775)=0,"",AVERAGE(G775,I775))</x:f>
      </x:c>
      <x:c r="L775" s="46" t="str">
        <x:f>IF(COUNT(H775,J775)=0,"",AVERAGE(H775,J775))</x:f>
      </x:c>
      <x:c r="M775" s="46" t="str">
        <x:f>IF(OR(K775="",L775=""),"",L775-K775)</x:f>
      </x:c>
      <x:c r="N775" s="46" t="str">
        <x:f>IF(OR(K775="",A774&lt;&gt;A775,K774=""),"",K775-K774)</x:f>
      </x:c>
      <x:c r="O775" s="42" t="str">
        <x:v>Sem informação</x:v>
      </x:c>
      <x:c r="P775" s="42"/>
      <x:c r="Q775" s="42" t="str"/>
      <x:c r="R775" s="42" t="str"/>
      <x:c r="S775" s="42" t="str"/>
      <x:c r="T775" s="42" t="str"/>
    </x:row>
    <x:row r="776">
      <x:c r="A776" s="42" t="str">
        <x:v>Bremer</x:v>
      </x:c>
      <x:c r="B776" s="42" t="n">
        <x:v>2029</x:v>
      </x:c>
      <x:c r="C776" s="42" t="str">
        <x:v>T3</x:v>
      </x:c>
      <x:c r="D776" s="44" t="n">
        <x:v>47391</x:v>
      </x:c>
      <x:c r="E776" s="42" t="str">
        <x:v>Zagueiro</x:v>
      </x:c>
      <x:c r="F776" s="42" t="str">
        <x:v>Juventus FC</x:v>
      </x:c>
      <x:c r="G776" s="46"/>
      <x:c r="H776" s="46"/>
      <x:c r="I776" s="46"/>
      <x:c r="J776" s="46"/>
      <x:c r="K776" s="46" t="str">
        <x:f>IF(COUNT(G776,I776)=0,"",AVERAGE(G776,I776))</x:f>
      </x:c>
      <x:c r="L776" s="46" t="str">
        <x:f>IF(COUNT(H776,J776)=0,"",AVERAGE(H776,J776))</x:f>
      </x:c>
      <x:c r="M776" s="46" t="str">
        <x:f>IF(OR(K776="",L776=""),"",L776-K776)</x:f>
      </x:c>
      <x:c r="N776" s="46" t="str">
        <x:f>IF(OR(K776="",A775&lt;&gt;A776,K775=""),"",K776-K775)</x:f>
      </x:c>
      <x:c r="O776" s="42" t="str">
        <x:v>Sem informação</x:v>
      </x:c>
      <x:c r="P776" s="42"/>
      <x:c r="Q776" s="42" t="str"/>
      <x:c r="R776" s="42" t="str"/>
      <x:c r="S776" s="42" t="str"/>
      <x:c r="T776" s="42" t="str"/>
    </x:row>
    <x:row r="777">
      <x:c r="A777" s="42" t="str">
        <x:v>Bremer</x:v>
      </x:c>
      <x:c r="B777" s="42" t="n">
        <x:v>2029</x:v>
      </x:c>
      <x:c r="C777" s="42" t="str">
        <x:v>T4</x:v>
      </x:c>
      <x:c r="D777" s="44" t="n">
        <x:v>47483</x:v>
      </x:c>
      <x:c r="E777" s="42" t="str">
        <x:v>Zagueiro</x:v>
      </x:c>
      <x:c r="F777" s="42" t="str">
        <x:v>Juventus FC</x:v>
      </x:c>
      <x:c r="G777" s="46"/>
      <x:c r="H777" s="46"/>
      <x:c r="I777" s="46"/>
      <x:c r="J777" s="46"/>
      <x:c r="K777" s="46" t="str">
        <x:f>IF(COUNT(G777,I777)=0,"",AVERAGE(G777,I777))</x:f>
      </x:c>
      <x:c r="L777" s="46" t="str">
        <x:f>IF(COUNT(H777,J777)=0,"",AVERAGE(H777,J777))</x:f>
      </x:c>
      <x:c r="M777" s="46" t="str">
        <x:f>IF(OR(K777="",L777=""),"",L777-K777)</x:f>
      </x:c>
      <x:c r="N777" s="46" t="str">
        <x:f>IF(OR(K777="",A776&lt;&gt;A777,K776=""),"",K777-K776)</x:f>
      </x:c>
      <x:c r="O777" s="42" t="str">
        <x:v>Sem informação</x:v>
      </x:c>
      <x:c r="P777" s="42"/>
      <x:c r="Q777" s="42" t="str"/>
      <x:c r="R777" s="42" t="str"/>
      <x:c r="S777" s="42" t="str"/>
      <x:c r="T777" s="42" t="str"/>
    </x:row>
    <x:row r="778">
      <x:c r="A778" s="42" t="str">
        <x:v>Bremer</x:v>
      </x:c>
      <x:c r="B778" s="42" t="n">
        <x:v>2030</x:v>
      </x:c>
      <x:c r="C778" s="42" t="str">
        <x:v>T1</x:v>
      </x:c>
      <x:c r="D778" s="44" t="n">
        <x:v>47573</x:v>
      </x:c>
      <x:c r="E778" s="42" t="str">
        <x:v>Zagueiro</x:v>
      </x:c>
      <x:c r="F778" s="42" t="str">
        <x:v>Juventus FC</x:v>
      </x:c>
      <x:c r="G778" s="46"/>
      <x:c r="H778" s="46"/>
      <x:c r="I778" s="46"/>
      <x:c r="J778" s="46"/>
      <x:c r="K778" s="46" t="str">
        <x:f>IF(COUNT(G778,I778)=0,"",AVERAGE(G778,I778))</x:f>
      </x:c>
      <x:c r="L778" s="46" t="str">
        <x:f>IF(COUNT(H778,J778)=0,"",AVERAGE(H778,J778))</x:f>
      </x:c>
      <x:c r="M778" s="46" t="str">
        <x:f>IF(OR(K778="",L778=""),"",L778-K778)</x:f>
      </x:c>
      <x:c r="N778" s="46" t="str">
        <x:f>IF(OR(K778="",A777&lt;&gt;A778,K777=""),"",K778-K777)</x:f>
      </x:c>
      <x:c r="O778" s="42" t="str">
        <x:v>Sem informação</x:v>
      </x:c>
      <x:c r="P778" s="42"/>
      <x:c r="Q778" s="42" t="str"/>
      <x:c r="R778" s="42" t="str"/>
      <x:c r="S778" s="42" t="str"/>
      <x:c r="T778" s="42" t="str"/>
    </x:row>
    <x:row r="779">
      <x:c r="A779" s="42" t="str">
        <x:v>Bremer</x:v>
      </x:c>
      <x:c r="B779" s="42" t="n">
        <x:v>2030</x:v>
      </x:c>
      <x:c r="C779" s="42" t="str">
        <x:v>T2</x:v>
      </x:c>
      <x:c r="D779" s="44" t="n">
        <x:v>47664</x:v>
      </x:c>
      <x:c r="E779" s="42" t="str">
        <x:v>Zagueiro</x:v>
      </x:c>
      <x:c r="F779" s="42" t="str">
        <x:v>Juventus FC</x:v>
      </x:c>
      <x:c r="G779" s="46"/>
      <x:c r="H779" s="46"/>
      <x:c r="I779" s="46"/>
      <x:c r="J779" s="46"/>
      <x:c r="K779" s="46" t="str">
        <x:f>IF(COUNT(G779,I779)=0,"",AVERAGE(G779,I779))</x:f>
      </x:c>
      <x:c r="L779" s="46" t="str">
        <x:f>IF(COUNT(H779,J779)=0,"",AVERAGE(H779,J779))</x:f>
      </x:c>
      <x:c r="M779" s="46" t="str">
        <x:f>IF(OR(K779="",L779=""),"",L779-K779)</x:f>
      </x:c>
      <x:c r="N779" s="46" t="str">
        <x:f>IF(OR(K779="",A778&lt;&gt;A779,K778=""),"",K779-K778)</x:f>
      </x:c>
      <x:c r="O779" s="42" t="str">
        <x:v>Sem informação</x:v>
      </x:c>
      <x:c r="P779" s="42"/>
      <x:c r="Q779" s="42" t="str"/>
      <x:c r="R779" s="42" t="str"/>
      <x:c r="S779" s="42" t="str"/>
      <x:c r="T779" s="42" t="str"/>
    </x:row>
    <x:row r="780">
      <x:c r="A780" s="42" t="str">
        <x:v>Bremer</x:v>
      </x:c>
      <x:c r="B780" s="42" t="n">
        <x:v>2030</x:v>
      </x:c>
      <x:c r="C780" s="42" t="str">
        <x:v>T3</x:v>
      </x:c>
      <x:c r="D780" s="44" t="n">
        <x:v>47756</x:v>
      </x:c>
      <x:c r="E780" s="42" t="str">
        <x:v>Zagueiro</x:v>
      </x:c>
      <x:c r="F780" s="42" t="str">
        <x:v>Juventus FC</x:v>
      </x:c>
      <x:c r="G780" s="46"/>
      <x:c r="H780" s="46"/>
      <x:c r="I780" s="46"/>
      <x:c r="J780" s="46"/>
      <x:c r="K780" s="46" t="str">
        <x:f>IF(COUNT(G780,I780)=0,"",AVERAGE(G780,I780))</x:f>
      </x:c>
      <x:c r="L780" s="46" t="str">
        <x:f>IF(COUNT(H780,J780)=0,"",AVERAGE(H780,J780))</x:f>
      </x:c>
      <x:c r="M780" s="46" t="str">
        <x:f>IF(OR(K780="",L780=""),"",L780-K780)</x:f>
      </x:c>
      <x:c r="N780" s="46" t="str">
        <x:f>IF(OR(K780="",A779&lt;&gt;A780,K779=""),"",K780-K779)</x:f>
      </x:c>
      <x:c r="O780" s="42" t="str">
        <x:v>Sem informação</x:v>
      </x:c>
      <x:c r="P780" s="42"/>
      <x:c r="Q780" s="42" t="str"/>
      <x:c r="R780" s="42" t="str"/>
      <x:c r="S780" s="42" t="str"/>
      <x:c r="T780" s="42" t="str"/>
    </x:row>
    <x:row r="781">
      <x:c r="A781" s="42" t="str">
        <x:v>Bremer</x:v>
      </x:c>
      <x:c r="B781" s="42" t="n">
        <x:v>2030</x:v>
      </x:c>
      <x:c r="C781" s="42" t="str">
        <x:v>T4</x:v>
      </x:c>
      <x:c r="D781" s="44" t="n">
        <x:v>47848</x:v>
      </x:c>
      <x:c r="E781" s="42" t="str">
        <x:v>Zagueiro</x:v>
      </x:c>
      <x:c r="F781" s="42" t="str">
        <x:v>Juventus FC</x:v>
      </x:c>
      <x:c r="G781" s="46"/>
      <x:c r="H781" s="46"/>
      <x:c r="I781" s="46"/>
      <x:c r="J781" s="46"/>
      <x:c r="K781" s="46" t="str">
        <x:f>IF(COUNT(G781,I781)=0,"",AVERAGE(G781,I781))</x:f>
      </x:c>
      <x:c r="L781" s="46" t="str">
        <x:f>IF(COUNT(H781,J781)=0,"",AVERAGE(H781,J781))</x:f>
      </x:c>
      <x:c r="M781" s="46" t="str">
        <x:f>IF(OR(K781="",L781=""),"",L781-K781)</x:f>
      </x:c>
      <x:c r="N781" s="46" t="str">
        <x:f>IF(OR(K781="",A780&lt;&gt;A781,K780=""),"",K781-K780)</x:f>
      </x:c>
      <x:c r="O781" s="42" t="str">
        <x:v>Sem informação</x:v>
      </x:c>
      <x:c r="P781" s="42"/>
      <x:c r="Q781" s="42" t="str"/>
      <x:c r="R781" s="42" t="str"/>
      <x:c r="S781" s="42" t="str"/>
      <x:c r="T781" s="42" t="str"/>
    </x:row>
    <x:row r="782">
      <x:c r="A782" s="42" t="str">
        <x:v>Gabriel Bontempo</x:v>
      </x:c>
      <x:c r="B782" s="42" t="n">
        <x:v>2026</x:v>
      </x:c>
      <x:c r="C782" s="42" t="str">
        <x:v>T1</x:v>
      </x:c>
      <x:c r="D782" s="44" t="n">
        <x:v>46112</x:v>
      </x:c>
      <x:c r="E782" s="42" t="str">
        <x:v>Mezzala direito</x:v>
      </x:c>
      <x:c r="F782" s="42" t="str">
        <x:v>Santos FC</x:v>
      </x:c>
      <x:c r="G782" s="46"/>
      <x:c r="H782" s="46"/>
      <x:c r="I782" s="46"/>
      <x:c r="J782" s="46"/>
      <x:c r="K782" s="46" t="str">
        <x:f>IF(COUNT(G782,I782)=0,"",AVERAGE(G782,I782))</x:f>
      </x:c>
      <x:c r="L782" s="46" t="str">
        <x:f>IF(COUNT(H782,J782)=0,"",AVERAGE(H782,J782))</x:f>
      </x:c>
      <x:c r="M782" s="46" t="str">
        <x:f>IF(OR(K782="",L782=""),"",L782-K782)</x:f>
      </x:c>
      <x:c r="N782" s="46" t="str">
        <x:f>IF(OR(K782="",A781&lt;&gt;A782,K781=""),"",K782-K781)</x:f>
      </x:c>
      <x:c r="O782" s="42" t="str">
        <x:v>Sem informação</x:v>
      </x:c>
      <x:c r="P782" s="42"/>
      <x:c r="Q782" s="42" t="str"/>
      <x:c r="R782" s="42" t="str"/>
      <x:c r="S782" s="42" t="str"/>
      <x:c r="T782" s="42" t="str"/>
    </x:row>
    <x:row r="783">
      <x:c r="A783" s="42" t="str">
        <x:v>Gabriel Bontempo</x:v>
      </x:c>
      <x:c r="B783" s="42" t="n">
        <x:v>2026</x:v>
      </x:c>
      <x:c r="C783" s="42" t="str">
        <x:v>T2</x:v>
      </x:c>
      <x:c r="D783" s="44" t="n">
        <x:v>46203</x:v>
      </x:c>
      <x:c r="E783" s="42" t="str">
        <x:v>Mezzala direito</x:v>
      </x:c>
      <x:c r="F783" s="42" t="str">
        <x:v>Santos FC</x:v>
      </x:c>
      <x:c r="G783" s="46" t="n">
        <x:v>6</x:v>
      </x:c>
      <x:c r="H783" s="46" t="n">
        <x:v>8.5</x:v>
      </x:c>
      <x:c r="I783" s="46" t="n">
        <x:v>6.5</x:v>
      </x:c>
      <x:c r="J783" s="46" t="n">
        <x:v>8.5</x:v>
      </x:c>
      <x:c r="K783" s="46" t="n">
        <x:f>IF(COUNT(G783,I783)=0,"",AVERAGE(G783,I783))</x:f>
        <x:v>6.25</x:v>
      </x:c>
      <x:c r="L783" s="46" t="n">
        <x:f>IF(COUNT(H783,J783)=0,"",AVERAGE(H783,J783))</x:f>
        <x:v>8.5</x:v>
      </x:c>
      <x:c r="M783" s="46" t="n">
        <x:f>IF(OR(K783="",L783=""),"",L783-K783)</x:f>
        <x:v>2.25</x:v>
      </x:c>
      <x:c r="N783" s="46" t="str">
        <x:f>IF(OR(K783="",A782&lt;&gt;A783,K782=""),"",K783-K782)</x:f>
      </x:c>
      <x:c r="O783" s="42" t="str">
        <x:v>Sem informação</x:v>
      </x:c>
      <x:c r="P783" s="42"/>
      <x:c r="Q783" s="42" t="str"/>
      <x:c r="R783" s="42" t="str">
        <x:v>Muito potencial em um contexto muito difícil. Precisa sair do Santos para evoluir mais.</x:v>
      </x:c>
      <x:c r="S783" s="42" t="str"/>
      <x:c r="T783" s="42" t="str"/>
    </x:row>
    <x:row r="784">
      <x:c r="A784" s="42" t="str">
        <x:v>Gabriel Bontempo</x:v>
      </x:c>
      <x:c r="B784" s="42" t="n">
        <x:v>2026</x:v>
      </x:c>
      <x:c r="C784" s="42" t="str">
        <x:v>T3</x:v>
      </x:c>
      <x:c r="D784" s="44" t="n">
        <x:v>46295</x:v>
      </x:c>
      <x:c r="E784" s="42" t="str">
        <x:v>Mezzala direito</x:v>
      </x:c>
      <x:c r="F784" s="42" t="str">
        <x:v>Santos FC</x:v>
      </x:c>
      <x:c r="G784" s="46"/>
      <x:c r="H784" s="46"/>
      <x:c r="I784" s="46"/>
      <x:c r="J784" s="46"/>
      <x:c r="K784" s="46" t="str">
        <x:f>IF(COUNT(G784,I784)=0,"",AVERAGE(G784,I784))</x:f>
      </x:c>
      <x:c r="L784" s="46" t="str">
        <x:f>IF(COUNT(H784,J784)=0,"",AVERAGE(H784,J784))</x:f>
      </x:c>
      <x:c r="M784" s="46" t="str">
        <x:f>IF(OR(K784="",L784=""),"",L784-K784)</x:f>
      </x:c>
      <x:c r="N784" s="46" t="str">
        <x:f>IF(OR(K784="",A783&lt;&gt;A784,K783=""),"",K784-K783)</x:f>
      </x:c>
      <x:c r="O784" s="42" t="str">
        <x:v>Sem informação</x:v>
      </x:c>
      <x:c r="P784" s="42"/>
      <x:c r="Q784" s="42" t="str"/>
      <x:c r="R784" s="42" t="str"/>
      <x:c r="S784" s="42" t="str"/>
      <x:c r="T784" s="42" t="str"/>
    </x:row>
    <x:row r="785">
      <x:c r="A785" s="42" t="str">
        <x:v>Gabriel Bontempo</x:v>
      </x:c>
      <x:c r="B785" s="42" t="n">
        <x:v>2026</x:v>
      </x:c>
      <x:c r="C785" s="42" t="str">
        <x:v>T4</x:v>
      </x:c>
      <x:c r="D785" s="44" t="n">
        <x:v>46387</x:v>
      </x:c>
      <x:c r="E785" s="42" t="str">
        <x:v>Mezzala direito</x:v>
      </x:c>
      <x:c r="F785" s="42" t="str">
        <x:v>Santos FC</x:v>
      </x:c>
      <x:c r="G785" s="46"/>
      <x:c r="H785" s="46"/>
      <x:c r="I785" s="46"/>
      <x:c r="J785" s="46"/>
      <x:c r="K785" s="46" t="str">
        <x:f>IF(COUNT(G785,I785)=0,"",AVERAGE(G785,I785))</x:f>
      </x:c>
      <x:c r="L785" s="46" t="str">
        <x:f>IF(COUNT(H785,J785)=0,"",AVERAGE(H785,J785))</x:f>
      </x:c>
      <x:c r="M785" s="46" t="str">
        <x:f>IF(OR(K785="",L785=""),"",L785-K785)</x:f>
      </x:c>
      <x:c r="N785" s="46" t="str">
        <x:f>IF(OR(K785="",A784&lt;&gt;A785,K784=""),"",K785-K784)</x:f>
      </x:c>
      <x:c r="O785" s="42" t="str">
        <x:v>Sem informação</x:v>
      </x:c>
      <x:c r="P785" s="42"/>
      <x:c r="Q785" s="42" t="str"/>
      <x:c r="R785" s="42" t="str"/>
      <x:c r="S785" s="42" t="str"/>
      <x:c r="T785" s="42" t="str"/>
    </x:row>
    <x:row r="786">
      <x:c r="A786" s="42" t="str">
        <x:v>Gabriel Bontempo</x:v>
      </x:c>
      <x:c r="B786" s="42" t="n">
        <x:v>2027</x:v>
      </x:c>
      <x:c r="C786" s="42" t="str">
        <x:v>T1</x:v>
      </x:c>
      <x:c r="D786" s="44" t="n">
        <x:v>46477</x:v>
      </x:c>
      <x:c r="E786" s="42" t="str">
        <x:v>Mezzala direito</x:v>
      </x:c>
      <x:c r="F786" s="42" t="str">
        <x:v>Santos FC</x:v>
      </x:c>
      <x:c r="G786" s="46"/>
      <x:c r="H786" s="46"/>
      <x:c r="I786" s="46"/>
      <x:c r="J786" s="46"/>
      <x:c r="K786" s="46" t="str">
        <x:f>IF(COUNT(G786,I786)=0,"",AVERAGE(G786,I786))</x:f>
      </x:c>
      <x:c r="L786" s="46" t="str">
        <x:f>IF(COUNT(H786,J786)=0,"",AVERAGE(H786,J786))</x:f>
      </x:c>
      <x:c r="M786" s="46" t="str">
        <x:f>IF(OR(K786="",L786=""),"",L786-K786)</x:f>
      </x:c>
      <x:c r="N786" s="46" t="str">
        <x:f>IF(OR(K786="",A785&lt;&gt;A786,K785=""),"",K786-K785)</x:f>
      </x:c>
      <x:c r="O786" s="42" t="str">
        <x:v>Sem informação</x:v>
      </x:c>
      <x:c r="P786" s="42"/>
      <x:c r="Q786" s="42" t="str"/>
      <x:c r="R786" s="42" t="str"/>
      <x:c r="S786" s="42" t="str"/>
      <x:c r="T786" s="42" t="str"/>
    </x:row>
    <x:row r="787">
      <x:c r="A787" s="42" t="str">
        <x:v>Gabriel Bontempo</x:v>
      </x:c>
      <x:c r="B787" s="42" t="n">
        <x:v>2027</x:v>
      </x:c>
      <x:c r="C787" s="42" t="str">
        <x:v>T2</x:v>
      </x:c>
      <x:c r="D787" s="44" t="n">
        <x:v>46568</x:v>
      </x:c>
      <x:c r="E787" s="42" t="str">
        <x:v>Mezzala direito</x:v>
      </x:c>
      <x:c r="F787" s="42" t="str">
        <x:v>Santos FC</x:v>
      </x:c>
      <x:c r="G787" s="46"/>
      <x:c r="H787" s="46"/>
      <x:c r="I787" s="46"/>
      <x:c r="J787" s="46"/>
      <x:c r="K787" s="46" t="str">
        <x:f>IF(COUNT(G787,I787)=0,"",AVERAGE(G787,I787))</x:f>
      </x:c>
      <x:c r="L787" s="46" t="str">
        <x:f>IF(COUNT(H787,J787)=0,"",AVERAGE(H787,J787))</x:f>
      </x:c>
      <x:c r="M787" s="46" t="str">
        <x:f>IF(OR(K787="",L787=""),"",L787-K787)</x:f>
      </x:c>
      <x:c r="N787" s="46" t="str">
        <x:f>IF(OR(K787="",A786&lt;&gt;A787,K786=""),"",K787-K786)</x:f>
      </x:c>
      <x:c r="O787" s="42" t="str">
        <x:v>Sem informação</x:v>
      </x:c>
      <x:c r="P787" s="42"/>
      <x:c r="Q787" s="42" t="str"/>
      <x:c r="R787" s="42" t="str"/>
      <x:c r="S787" s="42" t="str"/>
      <x:c r="T787" s="42" t="str"/>
    </x:row>
    <x:row r="788">
      <x:c r="A788" s="42" t="str">
        <x:v>Gabriel Bontempo</x:v>
      </x:c>
      <x:c r="B788" s="42" t="n">
        <x:v>2027</x:v>
      </x:c>
      <x:c r="C788" s="42" t="str">
        <x:v>T3</x:v>
      </x:c>
      <x:c r="D788" s="44" t="n">
        <x:v>46660</x:v>
      </x:c>
      <x:c r="E788" s="42" t="str">
        <x:v>Mezzala direito</x:v>
      </x:c>
      <x:c r="F788" s="42" t="str">
        <x:v>Santos FC</x:v>
      </x:c>
      <x:c r="G788" s="46"/>
      <x:c r="H788" s="46"/>
      <x:c r="I788" s="46"/>
      <x:c r="J788" s="46"/>
      <x:c r="K788" s="46" t="str">
        <x:f>IF(COUNT(G788,I788)=0,"",AVERAGE(G788,I788))</x:f>
      </x:c>
      <x:c r="L788" s="46" t="str">
        <x:f>IF(COUNT(H788,J788)=0,"",AVERAGE(H788,J788))</x:f>
      </x:c>
      <x:c r="M788" s="46" t="str">
        <x:f>IF(OR(K788="",L788=""),"",L788-K788)</x:f>
      </x:c>
      <x:c r="N788" s="46" t="str">
        <x:f>IF(OR(K788="",A787&lt;&gt;A788,K787=""),"",K788-K787)</x:f>
      </x:c>
      <x:c r="O788" s="42" t="str">
        <x:v>Sem informação</x:v>
      </x:c>
      <x:c r="P788" s="42"/>
      <x:c r="Q788" s="42" t="str"/>
      <x:c r="R788" s="42" t="str"/>
      <x:c r="S788" s="42" t="str"/>
      <x:c r="T788" s="42" t="str"/>
    </x:row>
    <x:row r="789">
      <x:c r="A789" s="42" t="str">
        <x:v>Gabriel Bontempo</x:v>
      </x:c>
      <x:c r="B789" s="42" t="n">
        <x:v>2027</x:v>
      </x:c>
      <x:c r="C789" s="42" t="str">
        <x:v>T4</x:v>
      </x:c>
      <x:c r="D789" s="44" t="n">
        <x:v>46752</x:v>
      </x:c>
      <x:c r="E789" s="42" t="str">
        <x:v>Mezzala direito</x:v>
      </x:c>
      <x:c r="F789" s="42" t="str">
        <x:v>Santos FC</x:v>
      </x:c>
      <x:c r="G789" s="46"/>
      <x:c r="H789" s="46"/>
      <x:c r="I789" s="46"/>
      <x:c r="J789" s="46"/>
      <x:c r="K789" s="46" t="str">
        <x:f>IF(COUNT(G789,I789)=0,"",AVERAGE(G789,I789))</x:f>
      </x:c>
      <x:c r="L789" s="46" t="str">
        <x:f>IF(COUNT(H789,J789)=0,"",AVERAGE(H789,J789))</x:f>
      </x:c>
      <x:c r="M789" s="46" t="str">
        <x:f>IF(OR(K789="",L789=""),"",L789-K789)</x:f>
      </x:c>
      <x:c r="N789" s="46" t="str">
        <x:f>IF(OR(K789="",A788&lt;&gt;A789,K788=""),"",K789-K788)</x:f>
      </x:c>
      <x:c r="O789" s="42" t="str">
        <x:v>Sem informação</x:v>
      </x:c>
      <x:c r="P789" s="42"/>
      <x:c r="Q789" s="42" t="str"/>
      <x:c r="R789" s="42" t="str"/>
      <x:c r="S789" s="42" t="str"/>
      <x:c r="T789" s="42" t="str"/>
    </x:row>
    <x:row r="790">
      <x:c r="A790" s="42" t="str">
        <x:v>Gabriel Bontempo</x:v>
      </x:c>
      <x:c r="B790" s="42" t="n">
        <x:v>2028</x:v>
      </x:c>
      <x:c r="C790" s="42" t="str">
        <x:v>T1</x:v>
      </x:c>
      <x:c r="D790" s="44" t="n">
        <x:v>46843</x:v>
      </x:c>
      <x:c r="E790" s="42" t="str">
        <x:v>Mezzala direito</x:v>
      </x:c>
      <x:c r="F790" s="42" t="str">
        <x:v>Santos FC</x:v>
      </x:c>
      <x:c r="G790" s="46"/>
      <x:c r="H790" s="46"/>
      <x:c r="I790" s="46"/>
      <x:c r="J790" s="46"/>
      <x:c r="K790" s="46" t="str">
        <x:f>IF(COUNT(G790,I790)=0,"",AVERAGE(G790,I790))</x:f>
      </x:c>
      <x:c r="L790" s="46" t="str">
        <x:f>IF(COUNT(H790,J790)=0,"",AVERAGE(H790,J790))</x:f>
      </x:c>
      <x:c r="M790" s="46" t="str">
        <x:f>IF(OR(K790="",L790=""),"",L790-K790)</x:f>
      </x:c>
      <x:c r="N790" s="46" t="str">
        <x:f>IF(OR(K790="",A789&lt;&gt;A790,K789=""),"",K790-K789)</x:f>
      </x:c>
      <x:c r="O790" s="42" t="str">
        <x:v>Sem informação</x:v>
      </x:c>
      <x:c r="P790" s="42"/>
      <x:c r="Q790" s="42" t="str"/>
      <x:c r="R790" s="42" t="str"/>
      <x:c r="S790" s="42" t="str"/>
      <x:c r="T790" s="42" t="str"/>
    </x:row>
    <x:row r="791">
      <x:c r="A791" s="42" t="str">
        <x:v>Gabriel Bontempo</x:v>
      </x:c>
      <x:c r="B791" s="42" t="n">
        <x:v>2028</x:v>
      </x:c>
      <x:c r="C791" s="42" t="str">
        <x:v>T2</x:v>
      </x:c>
      <x:c r="D791" s="44" t="n">
        <x:v>46934</x:v>
      </x:c>
      <x:c r="E791" s="42" t="str">
        <x:v>Mezzala direito</x:v>
      </x:c>
      <x:c r="F791" s="42" t="str">
        <x:v>Santos FC</x:v>
      </x:c>
      <x:c r="G791" s="46"/>
      <x:c r="H791" s="46"/>
      <x:c r="I791" s="46"/>
      <x:c r="J791" s="46"/>
      <x:c r="K791" s="46" t="str">
        <x:f>IF(COUNT(G791,I791)=0,"",AVERAGE(G791,I791))</x:f>
      </x:c>
      <x:c r="L791" s="46" t="str">
        <x:f>IF(COUNT(H791,J791)=0,"",AVERAGE(H791,J791))</x:f>
      </x:c>
      <x:c r="M791" s="46" t="str">
        <x:f>IF(OR(K791="",L791=""),"",L791-K791)</x:f>
      </x:c>
      <x:c r="N791" s="46" t="str">
        <x:f>IF(OR(K791="",A790&lt;&gt;A791,K790=""),"",K791-K790)</x:f>
      </x:c>
      <x:c r="O791" s="42" t="str">
        <x:v>Sem informação</x:v>
      </x:c>
      <x:c r="P791" s="42"/>
      <x:c r="Q791" s="42" t="str"/>
      <x:c r="R791" s="42" t="str"/>
      <x:c r="S791" s="42" t="str"/>
      <x:c r="T791" s="42" t="str"/>
    </x:row>
    <x:row r="792">
      <x:c r="A792" s="42" t="str">
        <x:v>Gabriel Bontempo</x:v>
      </x:c>
      <x:c r="B792" s="42" t="n">
        <x:v>2028</x:v>
      </x:c>
      <x:c r="C792" s="42" t="str">
        <x:v>T3</x:v>
      </x:c>
      <x:c r="D792" s="44" t="n">
        <x:v>47026</x:v>
      </x:c>
      <x:c r="E792" s="42" t="str">
        <x:v>Mezzala direito</x:v>
      </x:c>
      <x:c r="F792" s="42" t="str">
        <x:v>Santos FC</x:v>
      </x:c>
      <x:c r="G792" s="46"/>
      <x:c r="H792" s="46"/>
      <x:c r="I792" s="46"/>
      <x:c r="J792" s="46"/>
      <x:c r="K792" s="46" t="str">
        <x:f>IF(COUNT(G792,I792)=0,"",AVERAGE(G792,I792))</x:f>
      </x:c>
      <x:c r="L792" s="46" t="str">
        <x:f>IF(COUNT(H792,J792)=0,"",AVERAGE(H792,J792))</x:f>
      </x:c>
      <x:c r="M792" s="46" t="str">
        <x:f>IF(OR(K792="",L792=""),"",L792-K792)</x:f>
      </x:c>
      <x:c r="N792" s="46" t="str">
        <x:f>IF(OR(K792="",A791&lt;&gt;A792,K791=""),"",K792-K791)</x:f>
      </x:c>
      <x:c r="O792" s="42" t="str">
        <x:v>Sem informação</x:v>
      </x:c>
      <x:c r="P792" s="42"/>
      <x:c r="Q792" s="42" t="str"/>
      <x:c r="R792" s="42" t="str"/>
      <x:c r="S792" s="42" t="str"/>
      <x:c r="T792" s="42" t="str"/>
    </x:row>
    <x:row r="793">
      <x:c r="A793" s="42" t="str">
        <x:v>Gabriel Bontempo</x:v>
      </x:c>
      <x:c r="B793" s="42" t="n">
        <x:v>2028</x:v>
      </x:c>
      <x:c r="C793" s="42" t="str">
        <x:v>T4</x:v>
      </x:c>
      <x:c r="D793" s="44" t="n">
        <x:v>47118</x:v>
      </x:c>
      <x:c r="E793" s="42" t="str">
        <x:v>Mezzala direito</x:v>
      </x:c>
      <x:c r="F793" s="42" t="str">
        <x:v>Santos FC</x:v>
      </x:c>
      <x:c r="G793" s="46"/>
      <x:c r="H793" s="46"/>
      <x:c r="I793" s="46"/>
      <x:c r="J793" s="46"/>
      <x:c r="K793" s="46" t="str">
        <x:f>IF(COUNT(G793,I793)=0,"",AVERAGE(G793,I793))</x:f>
      </x:c>
      <x:c r="L793" s="46" t="str">
        <x:f>IF(COUNT(H793,J793)=0,"",AVERAGE(H793,J793))</x:f>
      </x:c>
      <x:c r="M793" s="46" t="str">
        <x:f>IF(OR(K793="",L793=""),"",L793-K793)</x:f>
      </x:c>
      <x:c r="N793" s="46" t="str">
        <x:f>IF(OR(K793="",A792&lt;&gt;A793,K792=""),"",K793-K792)</x:f>
      </x:c>
      <x:c r="O793" s="42" t="str">
        <x:v>Sem informação</x:v>
      </x:c>
      <x:c r="P793" s="42"/>
      <x:c r="Q793" s="42" t="str"/>
      <x:c r="R793" s="42" t="str"/>
      <x:c r="S793" s="42" t="str"/>
      <x:c r="T793" s="42" t="str"/>
    </x:row>
    <x:row r="794">
      <x:c r="A794" s="42" t="str">
        <x:v>Gabriel Bontempo</x:v>
      </x:c>
      <x:c r="B794" s="42" t="n">
        <x:v>2029</x:v>
      </x:c>
      <x:c r="C794" s="42" t="str">
        <x:v>T1</x:v>
      </x:c>
      <x:c r="D794" s="44" t="n">
        <x:v>47208</x:v>
      </x:c>
      <x:c r="E794" s="42" t="str">
        <x:v>Mezzala direito</x:v>
      </x:c>
      <x:c r="F794" s="42" t="str">
        <x:v>Santos FC</x:v>
      </x:c>
      <x:c r="G794" s="46"/>
      <x:c r="H794" s="46"/>
      <x:c r="I794" s="46"/>
      <x:c r="J794" s="46"/>
      <x:c r="K794" s="46" t="str">
        <x:f>IF(COUNT(G794,I794)=0,"",AVERAGE(G794,I794))</x:f>
      </x:c>
      <x:c r="L794" s="46" t="str">
        <x:f>IF(COUNT(H794,J794)=0,"",AVERAGE(H794,J794))</x:f>
      </x:c>
      <x:c r="M794" s="46" t="str">
        <x:f>IF(OR(K794="",L794=""),"",L794-K794)</x:f>
      </x:c>
      <x:c r="N794" s="46" t="str">
        <x:f>IF(OR(K794="",A793&lt;&gt;A794,K793=""),"",K794-K793)</x:f>
      </x:c>
      <x:c r="O794" s="42" t="str">
        <x:v>Sem informação</x:v>
      </x:c>
      <x:c r="P794" s="42"/>
      <x:c r="Q794" s="42" t="str"/>
      <x:c r="R794" s="42" t="str"/>
      <x:c r="S794" s="42" t="str"/>
      <x:c r="T794" s="42" t="str"/>
    </x:row>
    <x:row r="795">
      <x:c r="A795" s="42" t="str">
        <x:v>Gabriel Bontempo</x:v>
      </x:c>
      <x:c r="B795" s="42" t="n">
        <x:v>2029</x:v>
      </x:c>
      <x:c r="C795" s="42" t="str">
        <x:v>T2</x:v>
      </x:c>
      <x:c r="D795" s="44" t="n">
        <x:v>47299</x:v>
      </x:c>
      <x:c r="E795" s="42" t="str">
        <x:v>Mezzala direito</x:v>
      </x:c>
      <x:c r="F795" s="42" t="str">
        <x:v>Santos FC</x:v>
      </x:c>
      <x:c r="G795" s="46"/>
      <x:c r="H795" s="46"/>
      <x:c r="I795" s="46"/>
      <x:c r="J795" s="46"/>
      <x:c r="K795" s="46" t="str">
        <x:f>IF(COUNT(G795,I795)=0,"",AVERAGE(G795,I795))</x:f>
      </x:c>
      <x:c r="L795" s="46" t="str">
        <x:f>IF(COUNT(H795,J795)=0,"",AVERAGE(H795,J795))</x:f>
      </x:c>
      <x:c r="M795" s="46" t="str">
        <x:f>IF(OR(K795="",L795=""),"",L795-K795)</x:f>
      </x:c>
      <x:c r="N795" s="46" t="str">
        <x:f>IF(OR(K795="",A794&lt;&gt;A795,K794=""),"",K795-K794)</x:f>
      </x:c>
      <x:c r="O795" s="42" t="str">
        <x:v>Sem informação</x:v>
      </x:c>
      <x:c r="P795" s="42"/>
      <x:c r="Q795" s="42" t="str"/>
      <x:c r="R795" s="42" t="str"/>
      <x:c r="S795" s="42" t="str"/>
      <x:c r="T795" s="42" t="str"/>
    </x:row>
    <x:row r="796">
      <x:c r="A796" s="42" t="str">
        <x:v>Gabriel Bontempo</x:v>
      </x:c>
      <x:c r="B796" s="42" t="n">
        <x:v>2029</x:v>
      </x:c>
      <x:c r="C796" s="42" t="str">
        <x:v>T3</x:v>
      </x:c>
      <x:c r="D796" s="44" t="n">
        <x:v>47391</x:v>
      </x:c>
      <x:c r="E796" s="42" t="str">
        <x:v>Mezzala direito</x:v>
      </x:c>
      <x:c r="F796" s="42" t="str">
        <x:v>Santos FC</x:v>
      </x:c>
      <x:c r="G796" s="46"/>
      <x:c r="H796" s="46"/>
      <x:c r="I796" s="46"/>
      <x:c r="J796" s="46"/>
      <x:c r="K796" s="46" t="str">
        <x:f>IF(COUNT(G796,I796)=0,"",AVERAGE(G796,I796))</x:f>
      </x:c>
      <x:c r="L796" s="46" t="str">
        <x:f>IF(COUNT(H796,J796)=0,"",AVERAGE(H796,J796))</x:f>
      </x:c>
      <x:c r="M796" s="46" t="str">
        <x:f>IF(OR(K796="",L796=""),"",L796-K796)</x:f>
      </x:c>
      <x:c r="N796" s="46" t="str">
        <x:f>IF(OR(K796="",A795&lt;&gt;A796,K795=""),"",K796-K795)</x:f>
      </x:c>
      <x:c r="O796" s="42" t="str">
        <x:v>Sem informação</x:v>
      </x:c>
      <x:c r="P796" s="42"/>
      <x:c r="Q796" s="42" t="str"/>
      <x:c r="R796" s="42" t="str"/>
      <x:c r="S796" s="42" t="str"/>
      <x:c r="T796" s="42" t="str"/>
    </x:row>
    <x:row r="797">
      <x:c r="A797" s="42" t="str">
        <x:v>Gabriel Bontempo</x:v>
      </x:c>
      <x:c r="B797" s="42" t="n">
        <x:v>2029</x:v>
      </x:c>
      <x:c r="C797" s="42" t="str">
        <x:v>T4</x:v>
      </x:c>
      <x:c r="D797" s="44" t="n">
        <x:v>47483</x:v>
      </x:c>
      <x:c r="E797" s="42" t="str">
        <x:v>Mezzala direito</x:v>
      </x:c>
      <x:c r="F797" s="42" t="str">
        <x:v>Santos FC</x:v>
      </x:c>
      <x:c r="G797" s="46"/>
      <x:c r="H797" s="46"/>
      <x:c r="I797" s="46"/>
      <x:c r="J797" s="46"/>
      <x:c r="K797" s="46" t="str">
        <x:f>IF(COUNT(G797,I797)=0,"",AVERAGE(G797,I797))</x:f>
      </x:c>
      <x:c r="L797" s="46" t="str">
        <x:f>IF(COUNT(H797,J797)=0,"",AVERAGE(H797,J797))</x:f>
      </x:c>
      <x:c r="M797" s="46" t="str">
        <x:f>IF(OR(K797="",L797=""),"",L797-K797)</x:f>
      </x:c>
      <x:c r="N797" s="46" t="str">
        <x:f>IF(OR(K797="",A796&lt;&gt;A797,K796=""),"",K797-K796)</x:f>
      </x:c>
      <x:c r="O797" s="42" t="str">
        <x:v>Sem informação</x:v>
      </x:c>
      <x:c r="P797" s="42"/>
      <x:c r="Q797" s="42" t="str"/>
      <x:c r="R797" s="42" t="str"/>
      <x:c r="S797" s="42" t="str"/>
      <x:c r="T797" s="42" t="str"/>
    </x:row>
    <x:row r="798">
      <x:c r="A798" s="42" t="str">
        <x:v>Gabriel Bontempo</x:v>
      </x:c>
      <x:c r="B798" s="42" t="n">
        <x:v>2030</x:v>
      </x:c>
      <x:c r="C798" s="42" t="str">
        <x:v>T1</x:v>
      </x:c>
      <x:c r="D798" s="44" t="n">
        <x:v>47573</x:v>
      </x:c>
      <x:c r="E798" s="42" t="str">
        <x:v>Mezzala direito</x:v>
      </x:c>
      <x:c r="F798" s="42" t="str">
        <x:v>Santos FC</x:v>
      </x:c>
      <x:c r="G798" s="46"/>
      <x:c r="H798" s="46"/>
      <x:c r="I798" s="46"/>
      <x:c r="J798" s="46"/>
      <x:c r="K798" s="46" t="str">
        <x:f>IF(COUNT(G798,I798)=0,"",AVERAGE(G798,I798))</x:f>
      </x:c>
      <x:c r="L798" s="46" t="str">
        <x:f>IF(COUNT(H798,J798)=0,"",AVERAGE(H798,J798))</x:f>
      </x:c>
      <x:c r="M798" s="46" t="str">
        <x:f>IF(OR(K798="",L798=""),"",L798-K798)</x:f>
      </x:c>
      <x:c r="N798" s="46" t="str">
        <x:f>IF(OR(K798="",A797&lt;&gt;A798,K797=""),"",K798-K797)</x:f>
      </x:c>
      <x:c r="O798" s="42" t="str">
        <x:v>Sem informação</x:v>
      </x:c>
      <x:c r="P798" s="42"/>
      <x:c r="Q798" s="42" t="str"/>
      <x:c r="R798" s="42" t="str"/>
      <x:c r="S798" s="42" t="str"/>
      <x:c r="T798" s="42" t="str"/>
    </x:row>
    <x:row r="799">
      <x:c r="A799" s="42" t="str">
        <x:v>Gabriel Bontempo</x:v>
      </x:c>
      <x:c r="B799" s="42" t="n">
        <x:v>2030</x:v>
      </x:c>
      <x:c r="C799" s="42" t="str">
        <x:v>T2</x:v>
      </x:c>
      <x:c r="D799" s="44" t="n">
        <x:v>47664</x:v>
      </x:c>
      <x:c r="E799" s="42" t="str">
        <x:v>Mezzala direito</x:v>
      </x:c>
      <x:c r="F799" s="42" t="str">
        <x:v>Santos FC</x:v>
      </x:c>
      <x:c r="G799" s="46"/>
      <x:c r="H799" s="46"/>
      <x:c r="I799" s="46"/>
      <x:c r="J799" s="46"/>
      <x:c r="K799" s="46" t="str">
        <x:f>IF(COUNT(G799,I799)=0,"",AVERAGE(G799,I799))</x:f>
      </x:c>
      <x:c r="L799" s="46" t="str">
        <x:f>IF(COUNT(H799,J799)=0,"",AVERAGE(H799,J799))</x:f>
      </x:c>
      <x:c r="M799" s="46" t="str">
        <x:f>IF(OR(K799="",L799=""),"",L799-K799)</x:f>
      </x:c>
      <x:c r="N799" s="46" t="str">
        <x:f>IF(OR(K799="",A798&lt;&gt;A799,K798=""),"",K799-K798)</x:f>
      </x:c>
      <x:c r="O799" s="42" t="str">
        <x:v>Sem informação</x:v>
      </x:c>
      <x:c r="P799" s="42"/>
      <x:c r="Q799" s="42" t="str"/>
      <x:c r="R799" s="42" t="str"/>
      <x:c r="S799" s="42" t="str"/>
      <x:c r="T799" s="42" t="str"/>
    </x:row>
    <x:row r="800">
      <x:c r="A800" s="42" t="str">
        <x:v>Gabriel Bontempo</x:v>
      </x:c>
      <x:c r="B800" s="42" t="n">
        <x:v>2030</x:v>
      </x:c>
      <x:c r="C800" s="42" t="str">
        <x:v>T3</x:v>
      </x:c>
      <x:c r="D800" s="44" t="n">
        <x:v>47756</x:v>
      </x:c>
      <x:c r="E800" s="42" t="str">
        <x:v>Mezzala direito</x:v>
      </x:c>
      <x:c r="F800" s="42" t="str">
        <x:v>Santos FC</x:v>
      </x:c>
      <x:c r="G800" s="46"/>
      <x:c r="H800" s="46"/>
      <x:c r="I800" s="46"/>
      <x:c r="J800" s="46"/>
      <x:c r="K800" s="46" t="str">
        <x:f>IF(COUNT(G800,I800)=0,"",AVERAGE(G800,I800))</x:f>
      </x:c>
      <x:c r="L800" s="46" t="str">
        <x:f>IF(COUNT(H800,J800)=0,"",AVERAGE(H800,J800))</x:f>
      </x:c>
      <x:c r="M800" s="46" t="str">
        <x:f>IF(OR(K800="",L800=""),"",L800-K800)</x:f>
      </x:c>
      <x:c r="N800" s="46" t="str">
        <x:f>IF(OR(K800="",A799&lt;&gt;A800,K799=""),"",K800-K799)</x:f>
      </x:c>
      <x:c r="O800" s="42" t="str">
        <x:v>Sem informação</x:v>
      </x:c>
      <x:c r="P800" s="42"/>
      <x:c r="Q800" s="42" t="str"/>
      <x:c r="R800" s="42" t="str"/>
      <x:c r="S800" s="42" t="str"/>
      <x:c r="T800" s="42" t="str"/>
    </x:row>
    <x:row r="801">
      <x:c r="A801" s="42" t="str">
        <x:v>Gabriel Bontempo</x:v>
      </x:c>
      <x:c r="B801" s="42" t="n">
        <x:v>2030</x:v>
      </x:c>
      <x:c r="C801" s="42" t="str">
        <x:v>T4</x:v>
      </x:c>
      <x:c r="D801" s="44" t="n">
        <x:v>47848</x:v>
      </x:c>
      <x:c r="E801" s="42" t="str">
        <x:v>Mezzala direito</x:v>
      </x:c>
      <x:c r="F801" s="42" t="str">
        <x:v>Santos FC</x:v>
      </x:c>
      <x:c r="G801" s="46"/>
      <x:c r="H801" s="46"/>
      <x:c r="I801" s="46"/>
      <x:c r="J801" s="46"/>
      <x:c r="K801" s="46" t="str">
        <x:f>IF(COUNT(G801,I801)=0,"",AVERAGE(G801,I801))</x:f>
      </x:c>
      <x:c r="L801" s="46" t="str">
        <x:f>IF(COUNT(H801,J801)=0,"",AVERAGE(H801,J801))</x:f>
      </x:c>
      <x:c r="M801" s="46" t="str">
        <x:f>IF(OR(K801="",L801=""),"",L801-K801)</x:f>
      </x:c>
      <x:c r="N801" s="46" t="str">
        <x:f>IF(OR(K801="",A800&lt;&gt;A801,K800=""),"",K801-K800)</x:f>
      </x:c>
      <x:c r="O801" s="42" t="str">
        <x:v>Sem informação</x:v>
      </x:c>
      <x:c r="P801" s="42"/>
      <x:c r="Q801" s="42" t="str"/>
      <x:c r="R801" s="42" t="str"/>
      <x:c r="S801" s="42" t="str"/>
      <x:c r="T801" s="42" t="str"/>
    </x:row>
    <x:row r="802">
      <x:c r="A802" s="42" t="str">
        <x:v>Gabriel Moscardo</x:v>
      </x:c>
      <x:c r="B802" s="42" t="n">
        <x:v>2026</x:v>
      </x:c>
      <x:c r="C802" s="42" t="str">
        <x:v>T1</x:v>
      </x:c>
      <x:c r="D802" s="44" t="n">
        <x:v>46112</x:v>
      </x:c>
      <x:c r="E802" s="42" t="str">
        <x:v>Volante</x:v>
      </x:c>
      <x:c r="F802" s="42" t="str">
        <x:v>RCD Espanyol</x:v>
      </x:c>
      <x:c r="G802" s="46"/>
      <x:c r="H802" s="46"/>
      <x:c r="I802" s="46"/>
      <x:c r="J802" s="46"/>
      <x:c r="K802" s="46" t="str">
        <x:f>IF(COUNT(G802,I802)=0,"",AVERAGE(G802,I802))</x:f>
      </x:c>
      <x:c r="L802" s="46" t="str">
        <x:f>IF(COUNT(H802,J802)=0,"",AVERAGE(H802,J802))</x:f>
      </x:c>
      <x:c r="M802" s="46" t="str">
        <x:f>IF(OR(K802="",L802=""),"",L802-K802)</x:f>
      </x:c>
      <x:c r="N802" s="46" t="str">
        <x:f>IF(OR(K802="",A801&lt;&gt;A802,K801=""),"",K802-K801)</x:f>
      </x:c>
      <x:c r="O802" s="42" t="str">
        <x:v>Sem informação</x:v>
      </x:c>
      <x:c r="P802" s="42"/>
      <x:c r="Q802" s="42" t="str"/>
      <x:c r="R802" s="42" t="str"/>
      <x:c r="S802" s="42" t="str"/>
      <x:c r="T802" s="42" t="str"/>
    </x:row>
    <x:row r="803">
      <x:c r="A803" s="42" t="str">
        <x:v>Gabriel Moscardo</x:v>
      </x:c>
      <x:c r="B803" s="42" t="n">
        <x:v>2026</x:v>
      </x:c>
      <x:c r="C803" s="42" t="str">
        <x:v>T2</x:v>
      </x:c>
      <x:c r="D803" s="44" t="n">
        <x:v>46203</x:v>
      </x:c>
      <x:c r="E803" s="42" t="str">
        <x:v>Volante</x:v>
      </x:c>
      <x:c r="F803" s="42" t="str">
        <x:v>RCD Espanyol</x:v>
      </x:c>
      <x:c r="G803" s="46" t="n">
        <x:v>6</x:v>
      </x:c>
      <x:c r="H803" s="46" t="n">
        <x:v>8.5</x:v>
      </x:c>
      <x:c r="I803" s="46" t="n">
        <x:v>6.5</x:v>
      </x:c>
      <x:c r="J803" s="46" t="n">
        <x:v>8</x:v>
      </x:c>
      <x:c r="K803" s="46" t="n">
        <x:f>IF(COUNT(G803,I803)=0,"",AVERAGE(G803,I803))</x:f>
        <x:v>6.25</x:v>
      </x:c>
      <x:c r="L803" s="46" t="n">
        <x:f>IF(COUNT(H803,J803)=0,"",AVERAGE(H803,J803))</x:f>
        <x:v>8.25</x:v>
      </x:c>
      <x:c r="M803" s="46" t="n">
        <x:f>IF(OR(K803="",L803=""),"",L803-K803)</x:f>
        <x:v>2</x:v>
      </x:c>
      <x:c r="N803" s="46" t="str">
        <x:f>IF(OR(K803="",A802&lt;&gt;A803,K802=""),"",K803-K802)</x:f>
      </x:c>
      <x:c r="O803" s="42" t="str">
        <x:v>Sem informação</x:v>
      </x:c>
      <x:c r="P803" s="42"/>
      <x:c r="Q803" s="42" t="str"/>
      <x:c r="R803" s="42" t="str">
        <x:v>Bom potencial porém foi muito cedo para a Europa. Precisa evoluir em coisas básicas.</x:v>
      </x:c>
      <x:c r="S803" s="42" t="str"/>
      <x:c r="T803" s="42" t="str"/>
    </x:row>
    <x:row r="804">
      <x:c r="A804" s="42" t="str">
        <x:v>Gabriel Moscardo</x:v>
      </x:c>
      <x:c r="B804" s="42" t="n">
        <x:v>2026</x:v>
      </x:c>
      <x:c r="C804" s="42" t="str">
        <x:v>T3</x:v>
      </x:c>
      <x:c r="D804" s="44" t="n">
        <x:v>46295</x:v>
      </x:c>
      <x:c r="E804" s="42" t="str">
        <x:v>Volante</x:v>
      </x:c>
      <x:c r="F804" s="42" t="str">
        <x:v>RCD Espanyol</x:v>
      </x:c>
      <x:c r="G804" s="46"/>
      <x:c r="H804" s="46"/>
      <x:c r="I804" s="46"/>
      <x:c r="J804" s="46"/>
      <x:c r="K804" s="46" t="str">
        <x:f>IF(COUNT(G804,I804)=0,"",AVERAGE(G804,I804))</x:f>
      </x:c>
      <x:c r="L804" s="46" t="str">
        <x:f>IF(COUNT(H804,J804)=0,"",AVERAGE(H804,J804))</x:f>
      </x:c>
      <x:c r="M804" s="46" t="str">
        <x:f>IF(OR(K804="",L804=""),"",L804-K804)</x:f>
      </x:c>
      <x:c r="N804" s="46" t="str">
        <x:f>IF(OR(K804="",A803&lt;&gt;A804,K803=""),"",K804-K803)</x:f>
      </x:c>
      <x:c r="O804" s="42" t="str">
        <x:v>Sem informação</x:v>
      </x:c>
      <x:c r="P804" s="42"/>
      <x:c r="Q804" s="42" t="str"/>
      <x:c r="R804" s="42" t="str"/>
      <x:c r="S804" s="42" t="str"/>
      <x:c r="T804" s="42" t="str"/>
    </x:row>
    <x:row r="805">
      <x:c r="A805" s="42" t="str">
        <x:v>Gabriel Moscardo</x:v>
      </x:c>
      <x:c r="B805" s="42" t="n">
        <x:v>2026</x:v>
      </x:c>
      <x:c r="C805" s="42" t="str">
        <x:v>T4</x:v>
      </x:c>
      <x:c r="D805" s="44" t="n">
        <x:v>46387</x:v>
      </x:c>
      <x:c r="E805" s="42" t="str">
        <x:v>Volante</x:v>
      </x:c>
      <x:c r="F805" s="42" t="str">
        <x:v>RCD Espanyol</x:v>
      </x:c>
      <x:c r="G805" s="46"/>
      <x:c r="H805" s="46"/>
      <x:c r="I805" s="46"/>
      <x:c r="J805" s="46"/>
      <x:c r="K805" s="46" t="str">
        <x:f>IF(COUNT(G805,I805)=0,"",AVERAGE(G805,I805))</x:f>
      </x:c>
      <x:c r="L805" s="46" t="str">
        <x:f>IF(COUNT(H805,J805)=0,"",AVERAGE(H805,J805))</x:f>
      </x:c>
      <x:c r="M805" s="46" t="str">
        <x:f>IF(OR(K805="",L805=""),"",L805-K805)</x:f>
      </x:c>
      <x:c r="N805" s="46" t="str">
        <x:f>IF(OR(K805="",A804&lt;&gt;A805,K804=""),"",K805-K804)</x:f>
      </x:c>
      <x:c r="O805" s="42" t="str">
        <x:v>Sem informação</x:v>
      </x:c>
      <x:c r="P805" s="42"/>
      <x:c r="Q805" s="42" t="str"/>
      <x:c r="R805" s="42" t="str"/>
      <x:c r="S805" s="42" t="str"/>
      <x:c r="T805" s="42" t="str"/>
    </x:row>
    <x:row r="806">
      <x:c r="A806" s="42" t="str">
        <x:v>Gabriel Moscardo</x:v>
      </x:c>
      <x:c r="B806" s="42" t="n">
        <x:v>2027</x:v>
      </x:c>
      <x:c r="C806" s="42" t="str">
        <x:v>T1</x:v>
      </x:c>
      <x:c r="D806" s="44" t="n">
        <x:v>46477</x:v>
      </x:c>
      <x:c r="E806" s="42" t="str">
        <x:v>Volante</x:v>
      </x:c>
      <x:c r="F806" s="42" t="str">
        <x:v>RCD Espanyol</x:v>
      </x:c>
      <x:c r="G806" s="46"/>
      <x:c r="H806" s="46"/>
      <x:c r="I806" s="46"/>
      <x:c r="J806" s="46"/>
      <x:c r="K806" s="46" t="str">
        <x:f>IF(COUNT(G806,I806)=0,"",AVERAGE(G806,I806))</x:f>
      </x:c>
      <x:c r="L806" s="46" t="str">
        <x:f>IF(COUNT(H806,J806)=0,"",AVERAGE(H806,J806))</x:f>
      </x:c>
      <x:c r="M806" s="46" t="str">
        <x:f>IF(OR(K806="",L806=""),"",L806-K806)</x:f>
      </x:c>
      <x:c r="N806" s="46" t="str">
        <x:f>IF(OR(K806="",A805&lt;&gt;A806,K805=""),"",K806-K805)</x:f>
      </x:c>
      <x:c r="O806" s="42" t="str">
        <x:v>Sem informação</x:v>
      </x:c>
      <x:c r="P806" s="42"/>
      <x:c r="Q806" s="42" t="str"/>
      <x:c r="R806" s="42" t="str"/>
      <x:c r="S806" s="42" t="str"/>
      <x:c r="T806" s="42" t="str"/>
    </x:row>
    <x:row r="807">
      <x:c r="A807" s="42" t="str">
        <x:v>Gabriel Moscardo</x:v>
      </x:c>
      <x:c r="B807" s="42" t="n">
        <x:v>2027</x:v>
      </x:c>
      <x:c r="C807" s="42" t="str">
        <x:v>T2</x:v>
      </x:c>
      <x:c r="D807" s="44" t="n">
        <x:v>46568</x:v>
      </x:c>
      <x:c r="E807" s="42" t="str">
        <x:v>Volante</x:v>
      </x:c>
      <x:c r="F807" s="42" t="str">
        <x:v>RCD Espanyol</x:v>
      </x:c>
      <x:c r="G807" s="46"/>
      <x:c r="H807" s="46"/>
      <x:c r="I807" s="46"/>
      <x:c r="J807" s="46"/>
      <x:c r="K807" s="46" t="str">
        <x:f>IF(COUNT(G807,I807)=0,"",AVERAGE(G807,I807))</x:f>
      </x:c>
      <x:c r="L807" s="46" t="str">
        <x:f>IF(COUNT(H807,J807)=0,"",AVERAGE(H807,J807))</x:f>
      </x:c>
      <x:c r="M807" s="46" t="str">
        <x:f>IF(OR(K807="",L807=""),"",L807-K807)</x:f>
      </x:c>
      <x:c r="N807" s="46" t="str">
        <x:f>IF(OR(K807="",A806&lt;&gt;A807,K806=""),"",K807-K806)</x:f>
      </x:c>
      <x:c r="O807" s="42" t="str">
        <x:v>Sem informação</x:v>
      </x:c>
      <x:c r="P807" s="42"/>
      <x:c r="Q807" s="42" t="str"/>
      <x:c r="R807" s="42" t="str"/>
      <x:c r="S807" s="42" t="str"/>
      <x:c r="T807" s="42" t="str"/>
    </x:row>
    <x:row r="808">
      <x:c r="A808" s="42" t="str">
        <x:v>Gabriel Moscardo</x:v>
      </x:c>
      <x:c r="B808" s="42" t="n">
        <x:v>2027</x:v>
      </x:c>
      <x:c r="C808" s="42" t="str">
        <x:v>T3</x:v>
      </x:c>
      <x:c r="D808" s="44" t="n">
        <x:v>46660</x:v>
      </x:c>
      <x:c r="E808" s="42" t="str">
        <x:v>Volante</x:v>
      </x:c>
      <x:c r="F808" s="42" t="str">
        <x:v>RCD Espanyol</x:v>
      </x:c>
      <x:c r="G808" s="46"/>
      <x:c r="H808" s="46"/>
      <x:c r="I808" s="46"/>
      <x:c r="J808" s="46"/>
      <x:c r="K808" s="46" t="str">
        <x:f>IF(COUNT(G808,I808)=0,"",AVERAGE(G808,I808))</x:f>
      </x:c>
      <x:c r="L808" s="46" t="str">
        <x:f>IF(COUNT(H808,J808)=0,"",AVERAGE(H808,J808))</x:f>
      </x:c>
      <x:c r="M808" s="46" t="str">
        <x:f>IF(OR(K808="",L808=""),"",L808-K808)</x:f>
      </x:c>
      <x:c r="N808" s="46" t="str">
        <x:f>IF(OR(K808="",A807&lt;&gt;A808,K807=""),"",K808-K807)</x:f>
      </x:c>
      <x:c r="O808" s="42" t="str">
        <x:v>Sem informação</x:v>
      </x:c>
      <x:c r="P808" s="42"/>
      <x:c r="Q808" s="42" t="str"/>
      <x:c r="R808" s="42" t="str"/>
      <x:c r="S808" s="42" t="str"/>
      <x:c r="T808" s="42" t="str"/>
    </x:row>
    <x:row r="809">
      <x:c r="A809" s="42" t="str">
        <x:v>Gabriel Moscardo</x:v>
      </x:c>
      <x:c r="B809" s="42" t="n">
        <x:v>2027</x:v>
      </x:c>
      <x:c r="C809" s="42" t="str">
        <x:v>T4</x:v>
      </x:c>
      <x:c r="D809" s="44" t="n">
        <x:v>46752</x:v>
      </x:c>
      <x:c r="E809" s="42" t="str">
        <x:v>Volante</x:v>
      </x:c>
      <x:c r="F809" s="42" t="str">
        <x:v>RCD Espanyol</x:v>
      </x:c>
      <x:c r="G809" s="46"/>
      <x:c r="H809" s="46"/>
      <x:c r="I809" s="46"/>
      <x:c r="J809" s="46"/>
      <x:c r="K809" s="46" t="str">
        <x:f>IF(COUNT(G809,I809)=0,"",AVERAGE(G809,I809))</x:f>
      </x:c>
      <x:c r="L809" s="46" t="str">
        <x:f>IF(COUNT(H809,J809)=0,"",AVERAGE(H809,J809))</x:f>
      </x:c>
      <x:c r="M809" s="46" t="str">
        <x:f>IF(OR(K809="",L809=""),"",L809-K809)</x:f>
      </x:c>
      <x:c r="N809" s="46" t="str">
        <x:f>IF(OR(K809="",A808&lt;&gt;A809,K808=""),"",K809-K808)</x:f>
      </x:c>
      <x:c r="O809" s="42" t="str">
        <x:v>Sem informação</x:v>
      </x:c>
      <x:c r="P809" s="42"/>
      <x:c r="Q809" s="42" t="str"/>
      <x:c r="R809" s="42" t="str"/>
      <x:c r="S809" s="42" t="str"/>
      <x:c r="T809" s="42" t="str"/>
    </x:row>
    <x:row r="810">
      <x:c r="A810" s="42" t="str">
        <x:v>Gabriel Moscardo</x:v>
      </x:c>
      <x:c r="B810" s="42" t="n">
        <x:v>2028</x:v>
      </x:c>
      <x:c r="C810" s="42" t="str">
        <x:v>T1</x:v>
      </x:c>
      <x:c r="D810" s="44" t="n">
        <x:v>46843</x:v>
      </x:c>
      <x:c r="E810" s="42" t="str">
        <x:v>Volante</x:v>
      </x:c>
      <x:c r="F810" s="42" t="str">
        <x:v>RCD Espanyol</x:v>
      </x:c>
      <x:c r="G810" s="46"/>
      <x:c r="H810" s="46"/>
      <x:c r="I810" s="46"/>
      <x:c r="J810" s="46"/>
      <x:c r="K810" s="46" t="str">
        <x:f>IF(COUNT(G810,I810)=0,"",AVERAGE(G810,I810))</x:f>
      </x:c>
      <x:c r="L810" s="46" t="str">
        <x:f>IF(COUNT(H810,J810)=0,"",AVERAGE(H810,J810))</x:f>
      </x:c>
      <x:c r="M810" s="46" t="str">
        <x:f>IF(OR(K810="",L810=""),"",L810-K810)</x:f>
      </x:c>
      <x:c r="N810" s="46" t="str">
        <x:f>IF(OR(K810="",A809&lt;&gt;A810,K809=""),"",K810-K809)</x:f>
      </x:c>
      <x:c r="O810" s="42" t="str">
        <x:v>Sem informação</x:v>
      </x:c>
      <x:c r="P810" s="42"/>
      <x:c r="Q810" s="42" t="str"/>
      <x:c r="R810" s="42" t="str"/>
      <x:c r="S810" s="42" t="str"/>
      <x:c r="T810" s="42" t="str"/>
    </x:row>
    <x:row r="811">
      <x:c r="A811" s="42" t="str">
        <x:v>Gabriel Moscardo</x:v>
      </x:c>
      <x:c r="B811" s="42" t="n">
        <x:v>2028</x:v>
      </x:c>
      <x:c r="C811" s="42" t="str">
        <x:v>T2</x:v>
      </x:c>
      <x:c r="D811" s="44" t="n">
        <x:v>46934</x:v>
      </x:c>
      <x:c r="E811" s="42" t="str">
        <x:v>Volante</x:v>
      </x:c>
      <x:c r="F811" s="42" t="str">
        <x:v>RCD Espanyol</x:v>
      </x:c>
      <x:c r="G811" s="46"/>
      <x:c r="H811" s="46"/>
      <x:c r="I811" s="46"/>
      <x:c r="J811" s="46"/>
      <x:c r="K811" s="46" t="str">
        <x:f>IF(COUNT(G811,I811)=0,"",AVERAGE(G811,I811))</x:f>
      </x:c>
      <x:c r="L811" s="46" t="str">
        <x:f>IF(COUNT(H811,J811)=0,"",AVERAGE(H811,J811))</x:f>
      </x:c>
      <x:c r="M811" s="46" t="str">
        <x:f>IF(OR(K811="",L811=""),"",L811-K811)</x:f>
      </x:c>
      <x:c r="N811" s="46" t="str">
        <x:f>IF(OR(K811="",A810&lt;&gt;A811,K810=""),"",K811-K810)</x:f>
      </x:c>
      <x:c r="O811" s="42" t="str">
        <x:v>Sem informação</x:v>
      </x:c>
      <x:c r="P811" s="42"/>
      <x:c r="Q811" s="42" t="str"/>
      <x:c r="R811" s="42" t="str"/>
      <x:c r="S811" s="42" t="str"/>
      <x:c r="T811" s="42" t="str"/>
    </x:row>
    <x:row r="812">
      <x:c r="A812" s="42" t="str">
        <x:v>Gabriel Moscardo</x:v>
      </x:c>
      <x:c r="B812" s="42" t="n">
        <x:v>2028</x:v>
      </x:c>
      <x:c r="C812" s="42" t="str">
        <x:v>T3</x:v>
      </x:c>
      <x:c r="D812" s="44" t="n">
        <x:v>47026</x:v>
      </x:c>
      <x:c r="E812" s="42" t="str">
        <x:v>Volante</x:v>
      </x:c>
      <x:c r="F812" s="42" t="str">
        <x:v>RCD Espanyol</x:v>
      </x:c>
      <x:c r="G812" s="46"/>
      <x:c r="H812" s="46"/>
      <x:c r="I812" s="46"/>
      <x:c r="J812" s="46"/>
      <x:c r="K812" s="46" t="str">
        <x:f>IF(COUNT(G812,I812)=0,"",AVERAGE(G812,I812))</x:f>
      </x:c>
      <x:c r="L812" s="46" t="str">
        <x:f>IF(COUNT(H812,J812)=0,"",AVERAGE(H812,J812))</x:f>
      </x:c>
      <x:c r="M812" s="46" t="str">
        <x:f>IF(OR(K812="",L812=""),"",L812-K812)</x:f>
      </x:c>
      <x:c r="N812" s="46" t="str">
        <x:f>IF(OR(K812="",A811&lt;&gt;A812,K811=""),"",K812-K811)</x:f>
      </x:c>
      <x:c r="O812" s="42" t="str">
        <x:v>Sem informação</x:v>
      </x:c>
      <x:c r="P812" s="42"/>
      <x:c r="Q812" s="42" t="str"/>
      <x:c r="R812" s="42" t="str"/>
      <x:c r="S812" s="42" t="str"/>
      <x:c r="T812" s="42" t="str"/>
    </x:row>
    <x:row r="813">
      <x:c r="A813" s="42" t="str">
        <x:v>Gabriel Moscardo</x:v>
      </x:c>
      <x:c r="B813" s="42" t="n">
        <x:v>2028</x:v>
      </x:c>
      <x:c r="C813" s="42" t="str">
        <x:v>T4</x:v>
      </x:c>
      <x:c r="D813" s="44" t="n">
        <x:v>47118</x:v>
      </x:c>
      <x:c r="E813" s="42" t="str">
        <x:v>Volante</x:v>
      </x:c>
      <x:c r="F813" s="42" t="str">
        <x:v>RCD Espanyol</x:v>
      </x:c>
      <x:c r="G813" s="46"/>
      <x:c r="H813" s="46"/>
      <x:c r="I813" s="46"/>
      <x:c r="J813" s="46"/>
      <x:c r="K813" s="46" t="str">
        <x:f>IF(COUNT(G813,I813)=0,"",AVERAGE(G813,I813))</x:f>
      </x:c>
      <x:c r="L813" s="46" t="str">
        <x:f>IF(COUNT(H813,J813)=0,"",AVERAGE(H813,J813))</x:f>
      </x:c>
      <x:c r="M813" s="46" t="str">
        <x:f>IF(OR(K813="",L813=""),"",L813-K813)</x:f>
      </x:c>
      <x:c r="N813" s="46" t="str">
        <x:f>IF(OR(K813="",A812&lt;&gt;A813,K812=""),"",K813-K812)</x:f>
      </x:c>
      <x:c r="O813" s="42" t="str">
        <x:v>Sem informação</x:v>
      </x:c>
      <x:c r="P813" s="42"/>
      <x:c r="Q813" s="42" t="str"/>
      <x:c r="R813" s="42" t="str"/>
      <x:c r="S813" s="42" t="str"/>
      <x:c r="T813" s="42" t="str"/>
    </x:row>
    <x:row r="814">
      <x:c r="A814" s="42" t="str">
        <x:v>Gabriel Moscardo</x:v>
      </x:c>
      <x:c r="B814" s="42" t="n">
        <x:v>2029</x:v>
      </x:c>
      <x:c r="C814" s="42" t="str">
        <x:v>T1</x:v>
      </x:c>
      <x:c r="D814" s="44" t="n">
        <x:v>47208</x:v>
      </x:c>
      <x:c r="E814" s="42" t="str">
        <x:v>Volante</x:v>
      </x:c>
      <x:c r="F814" s="42" t="str">
        <x:v>RCD Espanyol</x:v>
      </x:c>
      <x:c r="G814" s="46"/>
      <x:c r="H814" s="46"/>
      <x:c r="I814" s="46"/>
      <x:c r="J814" s="46"/>
      <x:c r="K814" s="46" t="str">
        <x:f>IF(COUNT(G814,I814)=0,"",AVERAGE(G814,I814))</x:f>
      </x:c>
      <x:c r="L814" s="46" t="str">
        <x:f>IF(COUNT(H814,J814)=0,"",AVERAGE(H814,J814))</x:f>
      </x:c>
      <x:c r="M814" s="46" t="str">
        <x:f>IF(OR(K814="",L814=""),"",L814-K814)</x:f>
      </x:c>
      <x:c r="N814" s="46" t="str">
        <x:f>IF(OR(K814="",A813&lt;&gt;A814,K813=""),"",K814-K813)</x:f>
      </x:c>
      <x:c r="O814" s="42" t="str">
        <x:v>Sem informação</x:v>
      </x:c>
      <x:c r="P814" s="42"/>
      <x:c r="Q814" s="42" t="str"/>
      <x:c r="R814" s="42" t="str"/>
      <x:c r="S814" s="42" t="str"/>
      <x:c r="T814" s="42" t="str"/>
    </x:row>
    <x:row r="815">
      <x:c r="A815" s="42" t="str">
        <x:v>Gabriel Moscardo</x:v>
      </x:c>
      <x:c r="B815" s="42" t="n">
        <x:v>2029</x:v>
      </x:c>
      <x:c r="C815" s="42" t="str">
        <x:v>T2</x:v>
      </x:c>
      <x:c r="D815" s="44" t="n">
        <x:v>47299</x:v>
      </x:c>
      <x:c r="E815" s="42" t="str">
        <x:v>Volante</x:v>
      </x:c>
      <x:c r="F815" s="42" t="str">
        <x:v>RCD Espanyol</x:v>
      </x:c>
      <x:c r="G815" s="46"/>
      <x:c r="H815" s="46"/>
      <x:c r="I815" s="46"/>
      <x:c r="J815" s="46"/>
      <x:c r="K815" s="46" t="str">
        <x:f>IF(COUNT(G815,I815)=0,"",AVERAGE(G815,I815))</x:f>
      </x:c>
      <x:c r="L815" s="46" t="str">
        <x:f>IF(COUNT(H815,J815)=0,"",AVERAGE(H815,J815))</x:f>
      </x:c>
      <x:c r="M815" s="46" t="str">
        <x:f>IF(OR(K815="",L815=""),"",L815-K815)</x:f>
      </x:c>
      <x:c r="N815" s="46" t="str">
        <x:f>IF(OR(K815="",A814&lt;&gt;A815,K814=""),"",K815-K814)</x:f>
      </x:c>
      <x:c r="O815" s="42" t="str">
        <x:v>Sem informação</x:v>
      </x:c>
      <x:c r="P815" s="42"/>
      <x:c r="Q815" s="42" t="str"/>
      <x:c r="R815" s="42" t="str"/>
      <x:c r="S815" s="42" t="str"/>
      <x:c r="T815" s="42" t="str"/>
    </x:row>
    <x:row r="816">
      <x:c r="A816" s="42" t="str">
        <x:v>Gabriel Moscardo</x:v>
      </x:c>
      <x:c r="B816" s="42" t="n">
        <x:v>2029</x:v>
      </x:c>
      <x:c r="C816" s="42" t="str">
        <x:v>T3</x:v>
      </x:c>
      <x:c r="D816" s="44" t="n">
        <x:v>47391</x:v>
      </x:c>
      <x:c r="E816" s="42" t="str">
        <x:v>Volante</x:v>
      </x:c>
      <x:c r="F816" s="42" t="str">
        <x:v>RCD Espanyol</x:v>
      </x:c>
      <x:c r="G816" s="46"/>
      <x:c r="H816" s="46"/>
      <x:c r="I816" s="46"/>
      <x:c r="J816" s="46"/>
      <x:c r="K816" s="46" t="str">
        <x:f>IF(COUNT(G816,I816)=0,"",AVERAGE(G816,I816))</x:f>
      </x:c>
      <x:c r="L816" s="46" t="str">
        <x:f>IF(COUNT(H816,J816)=0,"",AVERAGE(H816,J816))</x:f>
      </x:c>
      <x:c r="M816" s="46" t="str">
        <x:f>IF(OR(K816="",L816=""),"",L816-K816)</x:f>
      </x:c>
      <x:c r="N816" s="46" t="str">
        <x:f>IF(OR(K816="",A815&lt;&gt;A816,K815=""),"",K816-K815)</x:f>
      </x:c>
      <x:c r="O816" s="42" t="str">
        <x:v>Sem informação</x:v>
      </x:c>
      <x:c r="P816" s="42"/>
      <x:c r="Q816" s="42" t="str"/>
      <x:c r="R816" s="42" t="str"/>
      <x:c r="S816" s="42" t="str"/>
      <x:c r="T816" s="42" t="str"/>
    </x:row>
    <x:row r="817">
      <x:c r="A817" s="42" t="str">
        <x:v>Gabriel Moscardo</x:v>
      </x:c>
      <x:c r="B817" s="42" t="n">
        <x:v>2029</x:v>
      </x:c>
      <x:c r="C817" s="42" t="str">
        <x:v>T4</x:v>
      </x:c>
      <x:c r="D817" s="44" t="n">
        <x:v>47483</x:v>
      </x:c>
      <x:c r="E817" s="42" t="str">
        <x:v>Volante</x:v>
      </x:c>
      <x:c r="F817" s="42" t="str">
        <x:v>RCD Espanyol</x:v>
      </x:c>
      <x:c r="G817" s="46"/>
      <x:c r="H817" s="46"/>
      <x:c r="I817" s="46"/>
      <x:c r="J817" s="46"/>
      <x:c r="K817" s="46" t="str">
        <x:f>IF(COUNT(G817,I817)=0,"",AVERAGE(G817,I817))</x:f>
      </x:c>
      <x:c r="L817" s="46" t="str">
        <x:f>IF(COUNT(H817,J817)=0,"",AVERAGE(H817,J817))</x:f>
      </x:c>
      <x:c r="M817" s="46" t="str">
        <x:f>IF(OR(K817="",L817=""),"",L817-K817)</x:f>
      </x:c>
      <x:c r="N817" s="46" t="str">
        <x:f>IF(OR(K817="",A816&lt;&gt;A817,K816=""),"",K817-K816)</x:f>
      </x:c>
      <x:c r="O817" s="42" t="str">
        <x:v>Sem informação</x:v>
      </x:c>
      <x:c r="P817" s="42"/>
      <x:c r="Q817" s="42" t="str"/>
      <x:c r="R817" s="42" t="str"/>
      <x:c r="S817" s="42" t="str"/>
      <x:c r="T817" s="42" t="str"/>
    </x:row>
    <x:row r="818">
      <x:c r="A818" s="42" t="str">
        <x:v>Gabriel Moscardo</x:v>
      </x:c>
      <x:c r="B818" s="42" t="n">
        <x:v>2030</x:v>
      </x:c>
      <x:c r="C818" s="42" t="str">
        <x:v>T1</x:v>
      </x:c>
      <x:c r="D818" s="44" t="n">
        <x:v>47573</x:v>
      </x:c>
      <x:c r="E818" s="42" t="str">
        <x:v>Volante</x:v>
      </x:c>
      <x:c r="F818" s="42" t="str">
        <x:v>RCD Espanyol</x:v>
      </x:c>
      <x:c r="G818" s="46"/>
      <x:c r="H818" s="46"/>
      <x:c r="I818" s="46"/>
      <x:c r="J818" s="46"/>
      <x:c r="K818" s="46" t="str">
        <x:f>IF(COUNT(G818,I818)=0,"",AVERAGE(G818,I818))</x:f>
      </x:c>
      <x:c r="L818" s="46" t="str">
        <x:f>IF(COUNT(H818,J818)=0,"",AVERAGE(H818,J818))</x:f>
      </x:c>
      <x:c r="M818" s="46" t="str">
        <x:f>IF(OR(K818="",L818=""),"",L818-K818)</x:f>
      </x:c>
      <x:c r="N818" s="46" t="str">
        <x:f>IF(OR(K818="",A817&lt;&gt;A818,K817=""),"",K818-K817)</x:f>
      </x:c>
      <x:c r="O818" s="42" t="str">
        <x:v>Sem informação</x:v>
      </x:c>
      <x:c r="P818" s="42"/>
      <x:c r="Q818" s="42" t="str"/>
      <x:c r="R818" s="42" t="str"/>
      <x:c r="S818" s="42" t="str"/>
      <x:c r="T818" s="42" t="str"/>
    </x:row>
    <x:row r="819">
      <x:c r="A819" s="42" t="str">
        <x:v>Gabriel Moscardo</x:v>
      </x:c>
      <x:c r="B819" s="42" t="n">
        <x:v>2030</x:v>
      </x:c>
      <x:c r="C819" s="42" t="str">
        <x:v>T2</x:v>
      </x:c>
      <x:c r="D819" s="44" t="n">
        <x:v>47664</x:v>
      </x:c>
      <x:c r="E819" s="42" t="str">
        <x:v>Volante</x:v>
      </x:c>
      <x:c r="F819" s="42" t="str">
        <x:v>RCD Espanyol</x:v>
      </x:c>
      <x:c r="G819" s="46"/>
      <x:c r="H819" s="46"/>
      <x:c r="I819" s="46"/>
      <x:c r="J819" s="46"/>
      <x:c r="K819" s="46" t="str">
        <x:f>IF(COUNT(G819,I819)=0,"",AVERAGE(G819,I819))</x:f>
      </x:c>
      <x:c r="L819" s="46" t="str">
        <x:f>IF(COUNT(H819,J819)=0,"",AVERAGE(H819,J819))</x:f>
      </x:c>
      <x:c r="M819" s="46" t="str">
        <x:f>IF(OR(K819="",L819=""),"",L819-K819)</x:f>
      </x:c>
      <x:c r="N819" s="46" t="str">
        <x:f>IF(OR(K819="",A818&lt;&gt;A819,K818=""),"",K819-K818)</x:f>
      </x:c>
      <x:c r="O819" s="42" t="str">
        <x:v>Sem informação</x:v>
      </x:c>
      <x:c r="P819" s="42"/>
      <x:c r="Q819" s="42" t="str"/>
      <x:c r="R819" s="42" t="str"/>
      <x:c r="S819" s="42" t="str"/>
      <x:c r="T819" s="42" t="str"/>
    </x:row>
    <x:row r="820">
      <x:c r="A820" s="42" t="str">
        <x:v>Gabriel Moscardo</x:v>
      </x:c>
      <x:c r="B820" s="42" t="n">
        <x:v>2030</x:v>
      </x:c>
      <x:c r="C820" s="42" t="str">
        <x:v>T3</x:v>
      </x:c>
      <x:c r="D820" s="44" t="n">
        <x:v>47756</x:v>
      </x:c>
      <x:c r="E820" s="42" t="str">
        <x:v>Volante</x:v>
      </x:c>
      <x:c r="F820" s="42" t="str">
        <x:v>RCD Espanyol</x:v>
      </x:c>
      <x:c r="G820" s="46"/>
      <x:c r="H820" s="46"/>
      <x:c r="I820" s="46"/>
      <x:c r="J820" s="46"/>
      <x:c r="K820" s="46" t="str">
        <x:f>IF(COUNT(G820,I820)=0,"",AVERAGE(G820,I820))</x:f>
      </x:c>
      <x:c r="L820" s="46" t="str">
        <x:f>IF(COUNT(H820,J820)=0,"",AVERAGE(H820,J820))</x:f>
      </x:c>
      <x:c r="M820" s="46" t="str">
        <x:f>IF(OR(K820="",L820=""),"",L820-K820)</x:f>
      </x:c>
      <x:c r="N820" s="46" t="str">
        <x:f>IF(OR(K820="",A819&lt;&gt;A820,K819=""),"",K820-K819)</x:f>
      </x:c>
      <x:c r="O820" s="42" t="str">
        <x:v>Sem informação</x:v>
      </x:c>
      <x:c r="P820" s="42"/>
      <x:c r="Q820" s="42" t="str"/>
      <x:c r="R820" s="42" t="str"/>
      <x:c r="S820" s="42" t="str"/>
      <x:c r="T820" s="42" t="str"/>
    </x:row>
    <x:row r="821">
      <x:c r="A821" s="42" t="str">
        <x:v>Gabriel Moscardo</x:v>
      </x:c>
      <x:c r="B821" s="42" t="n">
        <x:v>2030</x:v>
      </x:c>
      <x:c r="C821" s="42" t="str">
        <x:v>T4</x:v>
      </x:c>
      <x:c r="D821" s="44" t="n">
        <x:v>47848</x:v>
      </x:c>
      <x:c r="E821" s="42" t="str">
        <x:v>Volante</x:v>
      </x:c>
      <x:c r="F821" s="42" t="str">
        <x:v>RCD Espanyol</x:v>
      </x:c>
      <x:c r="G821" s="46"/>
      <x:c r="H821" s="46"/>
      <x:c r="I821" s="46"/>
      <x:c r="J821" s="46"/>
      <x:c r="K821" s="46" t="str">
        <x:f>IF(COUNT(G821,I821)=0,"",AVERAGE(G821,I821))</x:f>
      </x:c>
      <x:c r="L821" s="46" t="str">
        <x:f>IF(COUNT(H821,J821)=0,"",AVERAGE(H821,J821))</x:f>
      </x:c>
      <x:c r="M821" s="46" t="str">
        <x:f>IF(OR(K821="",L821=""),"",L821-K821)</x:f>
      </x:c>
      <x:c r="N821" s="46" t="str">
        <x:f>IF(OR(K821="",A820&lt;&gt;A821,K820=""),"",K821-K820)</x:f>
      </x:c>
      <x:c r="O821" s="42" t="str">
        <x:v>Sem informação</x:v>
      </x:c>
      <x:c r="P821" s="42"/>
      <x:c r="Q821" s="42" t="str"/>
      <x:c r="R821" s="42" t="str"/>
      <x:c r="S821" s="42" t="str"/>
      <x:c r="T821" s="42" t="str"/>
    </x:row>
    <x:row r="822">
      <x:c r="A822" s="42" t="str">
        <x:v>Igor Paixão</x:v>
      </x:c>
      <x:c r="B822" s="42" t="n">
        <x:v>2026</x:v>
      </x:c>
      <x:c r="C822" s="42" t="str">
        <x:v>T1</x:v>
      </x:c>
      <x:c r="D822" s="44" t="n">
        <x:v>46112</x:v>
      </x:c>
      <x:c r="E822" s="42" t="str">
        <x:v>Ponta-esquerda</x:v>
      </x:c>
      <x:c r="F822" s="42" t="str">
        <x:v>Olympique Marseille</x:v>
      </x:c>
      <x:c r="G822" s="46"/>
      <x:c r="H822" s="46"/>
      <x:c r="I822" s="46"/>
      <x:c r="J822" s="46"/>
      <x:c r="K822" s="46" t="str">
        <x:f>IF(COUNT(G822,I822)=0,"",AVERAGE(G822,I822))</x:f>
      </x:c>
      <x:c r="L822" s="46" t="str">
        <x:f>IF(COUNT(H822,J822)=0,"",AVERAGE(H822,J822))</x:f>
      </x:c>
      <x:c r="M822" s="46" t="str">
        <x:f>IF(OR(K822="",L822=""),"",L822-K822)</x:f>
      </x:c>
      <x:c r="N822" s="46" t="str">
        <x:f>IF(OR(K822="",A821&lt;&gt;A822,K821=""),"",K822-K821)</x:f>
      </x:c>
      <x:c r="O822" s="42" t="str">
        <x:v>Sem informação</x:v>
      </x:c>
      <x:c r="P822" s="42"/>
      <x:c r="Q822" s="42" t="str"/>
      <x:c r="R822" s="42" t="str"/>
      <x:c r="S822" s="42" t="str"/>
      <x:c r="T822" s="42" t="str"/>
    </x:row>
    <x:row r="823">
      <x:c r="A823" s="42" t="str">
        <x:v>Igor Paixão</x:v>
      </x:c>
      <x:c r="B823" s="42" t="n">
        <x:v>2026</x:v>
      </x:c>
      <x:c r="C823" s="42" t="str">
        <x:v>T2</x:v>
      </x:c>
      <x:c r="D823" s="44" t="n">
        <x:v>46203</x:v>
      </x:c>
      <x:c r="E823" s="42" t="str">
        <x:v>Ponta-esquerda</x:v>
      </x:c>
      <x:c r="F823" s="42" t="str">
        <x:v>Olympique Marseille</x:v>
      </x:c>
      <x:c r="G823" s="46"/>
      <x:c r="H823" s="46"/>
      <x:c r="I823" s="46" t="n">
        <x:v>7.5</x:v>
      </x:c>
      <x:c r="J823" s="46" t="n">
        <x:v>7.5</x:v>
      </x:c>
      <x:c r="K823" s="46" t="n">
        <x:f>IF(COUNT(G823,I823)=0,"",AVERAGE(G823,I823))</x:f>
        <x:v>7.5</x:v>
      </x:c>
      <x:c r="L823" s="46" t="n">
        <x:f>IF(COUNT(H823,J823)=0,"",AVERAGE(H823,J823))</x:f>
        <x:v>7.5</x:v>
      </x:c>
      <x:c r="M823" s="46" t="n">
        <x:f>IF(OR(K823="",L823=""),"",L823-K823)</x:f>
        <x:v>0</x:v>
      </x:c>
      <x:c r="N823" s="46" t="str">
        <x:f>IF(OR(K823="",A822&lt;&gt;A823,K822=""),"",K823-K822)</x:f>
      </x:c>
      <x:c r="O823" s="42" t="str">
        <x:v>Sem informação</x:v>
      </x:c>
      <x:c r="P823" s="42"/>
      <x:c r="Q823" s="42" t="str"/>
      <x:c r="R823" s="42" t="str"/>
      <x:c r="S823" s="42" t="str"/>
      <x:c r="T823" s="42" t="str"/>
    </x:row>
    <x:row r="824">
      <x:c r="A824" s="42" t="str">
        <x:v>Igor Paixão</x:v>
      </x:c>
      <x:c r="B824" s="42" t="n">
        <x:v>2026</x:v>
      </x:c>
      <x:c r="C824" s="42" t="str">
        <x:v>T3</x:v>
      </x:c>
      <x:c r="D824" s="44" t="n">
        <x:v>46295</x:v>
      </x:c>
      <x:c r="E824" s="42" t="str">
        <x:v>Ponta-esquerda</x:v>
      </x:c>
      <x:c r="F824" s="42" t="str">
        <x:v>Olympique Marseille</x:v>
      </x:c>
      <x:c r="G824" s="46"/>
      <x:c r="H824" s="46"/>
      <x:c r="I824" s="46"/>
      <x:c r="J824" s="46"/>
      <x:c r="K824" s="46" t="str">
        <x:f>IF(COUNT(G824,I824)=0,"",AVERAGE(G824,I824))</x:f>
      </x:c>
      <x:c r="L824" s="46" t="str">
        <x:f>IF(COUNT(H824,J824)=0,"",AVERAGE(H824,J824))</x:f>
      </x:c>
      <x:c r="M824" s="46" t="str">
        <x:f>IF(OR(K824="",L824=""),"",L824-K824)</x:f>
      </x:c>
      <x:c r="N824" s="46" t="str">
        <x:f>IF(OR(K824="",A823&lt;&gt;A824,K823=""),"",K824-K823)</x:f>
      </x:c>
      <x:c r="O824" s="42" t="str">
        <x:v>Sem informação</x:v>
      </x:c>
      <x:c r="P824" s="42"/>
      <x:c r="Q824" s="42" t="str"/>
      <x:c r="R824" s="42" t="str"/>
      <x:c r="S824" s="42" t="str"/>
      <x:c r="T824" s="42" t="str"/>
    </x:row>
    <x:row r="825">
      <x:c r="A825" s="42" t="str">
        <x:v>Igor Paixão</x:v>
      </x:c>
      <x:c r="B825" s="42" t="n">
        <x:v>2026</x:v>
      </x:c>
      <x:c r="C825" s="42" t="str">
        <x:v>T4</x:v>
      </x:c>
      <x:c r="D825" s="44" t="n">
        <x:v>46387</x:v>
      </x:c>
      <x:c r="E825" s="42" t="str">
        <x:v>Ponta-esquerda</x:v>
      </x:c>
      <x:c r="F825" s="42" t="str">
        <x:v>Olympique Marseille</x:v>
      </x:c>
      <x:c r="G825" s="46"/>
      <x:c r="H825" s="46"/>
      <x:c r="I825" s="46"/>
      <x:c r="J825" s="46"/>
      <x:c r="K825" s="46" t="str">
        <x:f>IF(COUNT(G825,I825)=0,"",AVERAGE(G825,I825))</x:f>
      </x:c>
      <x:c r="L825" s="46" t="str">
        <x:f>IF(COUNT(H825,J825)=0,"",AVERAGE(H825,J825))</x:f>
      </x:c>
      <x:c r="M825" s="46" t="str">
        <x:f>IF(OR(K825="",L825=""),"",L825-K825)</x:f>
      </x:c>
      <x:c r="N825" s="46" t="str">
        <x:f>IF(OR(K825="",A824&lt;&gt;A825,K824=""),"",K825-K824)</x:f>
      </x:c>
      <x:c r="O825" s="42" t="str">
        <x:v>Sem informação</x:v>
      </x:c>
      <x:c r="P825" s="42"/>
      <x:c r="Q825" s="42" t="str"/>
      <x:c r="R825" s="42" t="str"/>
      <x:c r="S825" s="42" t="str"/>
      <x:c r="T825" s="42" t="str"/>
    </x:row>
    <x:row r="826">
      <x:c r="A826" s="42" t="str">
        <x:v>Igor Paixão</x:v>
      </x:c>
      <x:c r="B826" s="42" t="n">
        <x:v>2027</x:v>
      </x:c>
      <x:c r="C826" s="42" t="str">
        <x:v>T1</x:v>
      </x:c>
      <x:c r="D826" s="44" t="n">
        <x:v>46477</x:v>
      </x:c>
      <x:c r="E826" s="42" t="str">
        <x:v>Ponta-esquerda</x:v>
      </x:c>
      <x:c r="F826" s="42" t="str">
        <x:v>Olympique Marseille</x:v>
      </x:c>
      <x:c r="G826" s="46"/>
      <x:c r="H826" s="46"/>
      <x:c r="I826" s="46"/>
      <x:c r="J826" s="46"/>
      <x:c r="K826" s="46" t="str">
        <x:f>IF(COUNT(G826,I826)=0,"",AVERAGE(G826,I826))</x:f>
      </x:c>
      <x:c r="L826" s="46" t="str">
        <x:f>IF(COUNT(H826,J826)=0,"",AVERAGE(H826,J826))</x:f>
      </x:c>
      <x:c r="M826" s="46" t="str">
        <x:f>IF(OR(K826="",L826=""),"",L826-K826)</x:f>
      </x:c>
      <x:c r="N826" s="46" t="str">
        <x:f>IF(OR(K826="",A825&lt;&gt;A826,K825=""),"",K826-K825)</x:f>
      </x:c>
      <x:c r="O826" s="42" t="str">
        <x:v>Sem informação</x:v>
      </x:c>
      <x:c r="P826" s="42"/>
      <x:c r="Q826" s="42" t="str"/>
      <x:c r="R826" s="42" t="str"/>
      <x:c r="S826" s="42" t="str"/>
      <x:c r="T826" s="42" t="str"/>
    </x:row>
    <x:row r="827">
      <x:c r="A827" s="42" t="str">
        <x:v>Igor Paixão</x:v>
      </x:c>
      <x:c r="B827" s="42" t="n">
        <x:v>2027</x:v>
      </x:c>
      <x:c r="C827" s="42" t="str">
        <x:v>T2</x:v>
      </x:c>
      <x:c r="D827" s="44" t="n">
        <x:v>46568</x:v>
      </x:c>
      <x:c r="E827" s="42" t="str">
        <x:v>Ponta-esquerda</x:v>
      </x:c>
      <x:c r="F827" s="42" t="str">
        <x:v>Olympique Marseille</x:v>
      </x:c>
      <x:c r="G827" s="46"/>
      <x:c r="H827" s="46"/>
      <x:c r="I827" s="46"/>
      <x:c r="J827" s="46"/>
      <x:c r="K827" s="46" t="str">
        <x:f>IF(COUNT(G827,I827)=0,"",AVERAGE(G827,I827))</x:f>
      </x:c>
      <x:c r="L827" s="46" t="str">
        <x:f>IF(COUNT(H827,J827)=0,"",AVERAGE(H827,J827))</x:f>
      </x:c>
      <x:c r="M827" s="46" t="str">
        <x:f>IF(OR(K827="",L827=""),"",L827-K827)</x:f>
      </x:c>
      <x:c r="N827" s="46" t="str">
        <x:f>IF(OR(K827="",A826&lt;&gt;A827,K826=""),"",K827-K826)</x:f>
      </x:c>
      <x:c r="O827" s="42" t="str">
        <x:v>Sem informação</x:v>
      </x:c>
      <x:c r="P827" s="42"/>
      <x:c r="Q827" s="42" t="str"/>
      <x:c r="R827" s="42" t="str"/>
      <x:c r="S827" s="42" t="str"/>
      <x:c r="T827" s="42" t="str"/>
    </x:row>
    <x:row r="828">
      <x:c r="A828" s="42" t="str">
        <x:v>Igor Paixão</x:v>
      </x:c>
      <x:c r="B828" s="42" t="n">
        <x:v>2027</x:v>
      </x:c>
      <x:c r="C828" s="42" t="str">
        <x:v>T3</x:v>
      </x:c>
      <x:c r="D828" s="44" t="n">
        <x:v>46660</x:v>
      </x:c>
      <x:c r="E828" s="42" t="str">
        <x:v>Ponta-esquerda</x:v>
      </x:c>
      <x:c r="F828" s="42" t="str">
        <x:v>Olympique Marseille</x:v>
      </x:c>
      <x:c r="G828" s="46"/>
      <x:c r="H828" s="46"/>
      <x:c r="I828" s="46"/>
      <x:c r="J828" s="46"/>
      <x:c r="K828" s="46" t="str">
        <x:f>IF(COUNT(G828,I828)=0,"",AVERAGE(G828,I828))</x:f>
      </x:c>
      <x:c r="L828" s="46" t="str">
        <x:f>IF(COUNT(H828,J828)=0,"",AVERAGE(H828,J828))</x:f>
      </x:c>
      <x:c r="M828" s="46" t="str">
        <x:f>IF(OR(K828="",L828=""),"",L828-K828)</x:f>
      </x:c>
      <x:c r="N828" s="46" t="str">
        <x:f>IF(OR(K828="",A827&lt;&gt;A828,K827=""),"",K828-K827)</x:f>
      </x:c>
      <x:c r="O828" s="42" t="str">
        <x:v>Sem informação</x:v>
      </x:c>
      <x:c r="P828" s="42"/>
      <x:c r="Q828" s="42" t="str"/>
      <x:c r="R828" s="42" t="str"/>
      <x:c r="S828" s="42" t="str"/>
      <x:c r="T828" s="42" t="str"/>
    </x:row>
    <x:row r="829">
      <x:c r="A829" s="42" t="str">
        <x:v>Igor Paixão</x:v>
      </x:c>
      <x:c r="B829" s="42" t="n">
        <x:v>2027</x:v>
      </x:c>
      <x:c r="C829" s="42" t="str">
        <x:v>T4</x:v>
      </x:c>
      <x:c r="D829" s="44" t="n">
        <x:v>46752</x:v>
      </x:c>
      <x:c r="E829" s="42" t="str">
        <x:v>Ponta-esquerda</x:v>
      </x:c>
      <x:c r="F829" s="42" t="str">
        <x:v>Olympique Marseille</x:v>
      </x:c>
      <x:c r="G829" s="46"/>
      <x:c r="H829" s="46"/>
      <x:c r="I829" s="46"/>
      <x:c r="J829" s="46"/>
      <x:c r="K829" s="46" t="str">
        <x:f>IF(COUNT(G829,I829)=0,"",AVERAGE(G829,I829))</x:f>
      </x:c>
      <x:c r="L829" s="46" t="str">
        <x:f>IF(COUNT(H829,J829)=0,"",AVERAGE(H829,J829))</x:f>
      </x:c>
      <x:c r="M829" s="46" t="str">
        <x:f>IF(OR(K829="",L829=""),"",L829-K829)</x:f>
      </x:c>
      <x:c r="N829" s="46" t="str">
        <x:f>IF(OR(K829="",A828&lt;&gt;A829,K828=""),"",K829-K828)</x:f>
      </x:c>
      <x:c r="O829" s="42" t="str">
        <x:v>Sem informação</x:v>
      </x:c>
      <x:c r="P829" s="42"/>
      <x:c r="Q829" s="42" t="str"/>
      <x:c r="R829" s="42" t="str"/>
      <x:c r="S829" s="42" t="str"/>
      <x:c r="T829" s="42" t="str"/>
    </x:row>
    <x:row r="830">
      <x:c r="A830" s="42" t="str">
        <x:v>Igor Paixão</x:v>
      </x:c>
      <x:c r="B830" s="42" t="n">
        <x:v>2028</x:v>
      </x:c>
      <x:c r="C830" s="42" t="str">
        <x:v>T1</x:v>
      </x:c>
      <x:c r="D830" s="44" t="n">
        <x:v>46843</x:v>
      </x:c>
      <x:c r="E830" s="42" t="str">
        <x:v>Ponta-esquerda</x:v>
      </x:c>
      <x:c r="F830" s="42" t="str">
        <x:v>Olympique Marseille</x:v>
      </x:c>
      <x:c r="G830" s="46"/>
      <x:c r="H830" s="46"/>
      <x:c r="I830" s="46"/>
      <x:c r="J830" s="46"/>
      <x:c r="K830" s="46" t="str">
        <x:f>IF(COUNT(G830,I830)=0,"",AVERAGE(G830,I830))</x:f>
      </x:c>
      <x:c r="L830" s="46" t="str">
        <x:f>IF(COUNT(H830,J830)=0,"",AVERAGE(H830,J830))</x:f>
      </x:c>
      <x:c r="M830" s="46" t="str">
        <x:f>IF(OR(K830="",L830=""),"",L830-K830)</x:f>
      </x:c>
      <x:c r="N830" s="46" t="str">
        <x:f>IF(OR(K830="",A829&lt;&gt;A830,K829=""),"",K830-K829)</x:f>
      </x:c>
      <x:c r="O830" s="42" t="str">
        <x:v>Sem informação</x:v>
      </x:c>
      <x:c r="P830" s="42"/>
      <x:c r="Q830" s="42" t="str"/>
      <x:c r="R830" s="42" t="str"/>
      <x:c r="S830" s="42" t="str"/>
      <x:c r="T830" s="42" t="str"/>
    </x:row>
    <x:row r="831">
      <x:c r="A831" s="42" t="str">
        <x:v>Igor Paixão</x:v>
      </x:c>
      <x:c r="B831" s="42" t="n">
        <x:v>2028</x:v>
      </x:c>
      <x:c r="C831" s="42" t="str">
        <x:v>T2</x:v>
      </x:c>
      <x:c r="D831" s="44" t="n">
        <x:v>46934</x:v>
      </x:c>
      <x:c r="E831" s="42" t="str">
        <x:v>Ponta-esquerda</x:v>
      </x:c>
      <x:c r="F831" s="42" t="str">
        <x:v>Olympique Marseille</x:v>
      </x:c>
      <x:c r="G831" s="46"/>
      <x:c r="H831" s="46"/>
      <x:c r="I831" s="46"/>
      <x:c r="J831" s="46"/>
      <x:c r="K831" s="46" t="str">
        <x:f>IF(COUNT(G831,I831)=0,"",AVERAGE(G831,I831))</x:f>
      </x:c>
      <x:c r="L831" s="46" t="str">
        <x:f>IF(COUNT(H831,J831)=0,"",AVERAGE(H831,J831))</x:f>
      </x:c>
      <x:c r="M831" s="46" t="str">
        <x:f>IF(OR(K831="",L831=""),"",L831-K831)</x:f>
      </x:c>
      <x:c r="N831" s="46" t="str">
        <x:f>IF(OR(K831="",A830&lt;&gt;A831,K830=""),"",K831-K830)</x:f>
      </x:c>
      <x:c r="O831" s="42" t="str">
        <x:v>Sem informação</x:v>
      </x:c>
      <x:c r="P831" s="42"/>
      <x:c r="Q831" s="42" t="str"/>
      <x:c r="R831" s="42" t="str"/>
      <x:c r="S831" s="42" t="str"/>
      <x:c r="T831" s="42" t="str"/>
    </x:row>
    <x:row r="832">
      <x:c r="A832" s="42" t="str">
        <x:v>Igor Paixão</x:v>
      </x:c>
      <x:c r="B832" s="42" t="n">
        <x:v>2028</x:v>
      </x:c>
      <x:c r="C832" s="42" t="str">
        <x:v>T3</x:v>
      </x:c>
      <x:c r="D832" s="44" t="n">
        <x:v>47026</x:v>
      </x:c>
      <x:c r="E832" s="42" t="str">
        <x:v>Ponta-esquerda</x:v>
      </x:c>
      <x:c r="F832" s="42" t="str">
        <x:v>Olympique Marseille</x:v>
      </x:c>
      <x:c r="G832" s="46"/>
      <x:c r="H832" s="46"/>
      <x:c r="I832" s="46"/>
      <x:c r="J832" s="46"/>
      <x:c r="K832" s="46" t="str">
        <x:f>IF(COUNT(G832,I832)=0,"",AVERAGE(G832,I832))</x:f>
      </x:c>
      <x:c r="L832" s="46" t="str">
        <x:f>IF(COUNT(H832,J832)=0,"",AVERAGE(H832,J832))</x:f>
      </x:c>
      <x:c r="M832" s="46" t="str">
        <x:f>IF(OR(K832="",L832=""),"",L832-K832)</x:f>
      </x:c>
      <x:c r="N832" s="46" t="str">
        <x:f>IF(OR(K832="",A831&lt;&gt;A832,K831=""),"",K832-K831)</x:f>
      </x:c>
      <x:c r="O832" s="42" t="str">
        <x:v>Sem informação</x:v>
      </x:c>
      <x:c r="P832" s="42"/>
      <x:c r="Q832" s="42" t="str"/>
      <x:c r="R832" s="42" t="str"/>
      <x:c r="S832" s="42" t="str"/>
      <x:c r="T832" s="42" t="str"/>
    </x:row>
    <x:row r="833">
      <x:c r="A833" s="42" t="str">
        <x:v>Igor Paixão</x:v>
      </x:c>
      <x:c r="B833" s="42" t="n">
        <x:v>2028</x:v>
      </x:c>
      <x:c r="C833" s="42" t="str">
        <x:v>T4</x:v>
      </x:c>
      <x:c r="D833" s="44" t="n">
        <x:v>47118</x:v>
      </x:c>
      <x:c r="E833" s="42" t="str">
        <x:v>Ponta-esquerda</x:v>
      </x:c>
      <x:c r="F833" s="42" t="str">
        <x:v>Olympique Marseille</x:v>
      </x:c>
      <x:c r="G833" s="46"/>
      <x:c r="H833" s="46"/>
      <x:c r="I833" s="46"/>
      <x:c r="J833" s="46"/>
      <x:c r="K833" s="46" t="str">
        <x:f>IF(COUNT(G833,I833)=0,"",AVERAGE(G833,I833))</x:f>
      </x:c>
      <x:c r="L833" s="46" t="str">
        <x:f>IF(COUNT(H833,J833)=0,"",AVERAGE(H833,J833))</x:f>
      </x:c>
      <x:c r="M833" s="46" t="str">
        <x:f>IF(OR(K833="",L833=""),"",L833-K833)</x:f>
      </x:c>
      <x:c r="N833" s="46" t="str">
        <x:f>IF(OR(K833="",A832&lt;&gt;A833,K832=""),"",K833-K832)</x:f>
      </x:c>
      <x:c r="O833" s="42" t="str">
        <x:v>Sem informação</x:v>
      </x:c>
      <x:c r="P833" s="42"/>
      <x:c r="Q833" s="42" t="str"/>
      <x:c r="R833" s="42" t="str"/>
      <x:c r="S833" s="42" t="str"/>
      <x:c r="T833" s="42" t="str"/>
    </x:row>
    <x:row r="834">
      <x:c r="A834" s="42" t="str">
        <x:v>Igor Paixão</x:v>
      </x:c>
      <x:c r="B834" s="42" t="n">
        <x:v>2029</x:v>
      </x:c>
      <x:c r="C834" s="42" t="str">
        <x:v>T1</x:v>
      </x:c>
      <x:c r="D834" s="44" t="n">
        <x:v>47208</x:v>
      </x:c>
      <x:c r="E834" s="42" t="str">
        <x:v>Ponta-esquerda</x:v>
      </x:c>
      <x:c r="F834" s="42" t="str">
        <x:v>Olympique Marseille</x:v>
      </x:c>
      <x:c r="G834" s="46"/>
      <x:c r="H834" s="46"/>
      <x:c r="I834" s="46"/>
      <x:c r="J834" s="46"/>
      <x:c r="K834" s="46" t="str">
        <x:f>IF(COUNT(G834,I834)=0,"",AVERAGE(G834,I834))</x:f>
      </x:c>
      <x:c r="L834" s="46" t="str">
        <x:f>IF(COUNT(H834,J834)=0,"",AVERAGE(H834,J834))</x:f>
      </x:c>
      <x:c r="M834" s="46" t="str">
        <x:f>IF(OR(K834="",L834=""),"",L834-K834)</x:f>
      </x:c>
      <x:c r="N834" s="46" t="str">
        <x:f>IF(OR(K834="",A833&lt;&gt;A834,K833=""),"",K834-K833)</x:f>
      </x:c>
      <x:c r="O834" s="42" t="str">
        <x:v>Sem informação</x:v>
      </x:c>
      <x:c r="P834" s="42"/>
      <x:c r="Q834" s="42" t="str"/>
      <x:c r="R834" s="42" t="str"/>
      <x:c r="S834" s="42" t="str"/>
      <x:c r="T834" s="42" t="str"/>
    </x:row>
    <x:row r="835">
      <x:c r="A835" s="42" t="str">
        <x:v>Igor Paixão</x:v>
      </x:c>
      <x:c r="B835" s="42" t="n">
        <x:v>2029</x:v>
      </x:c>
      <x:c r="C835" s="42" t="str">
        <x:v>T2</x:v>
      </x:c>
      <x:c r="D835" s="44" t="n">
        <x:v>47299</x:v>
      </x:c>
      <x:c r="E835" s="42" t="str">
        <x:v>Ponta-esquerda</x:v>
      </x:c>
      <x:c r="F835" s="42" t="str">
        <x:v>Olympique Marseille</x:v>
      </x:c>
      <x:c r="G835" s="46"/>
      <x:c r="H835" s="46"/>
      <x:c r="I835" s="46"/>
      <x:c r="J835" s="46"/>
      <x:c r="K835" s="46" t="str">
        <x:f>IF(COUNT(G835,I835)=0,"",AVERAGE(G835,I835))</x:f>
      </x:c>
      <x:c r="L835" s="46" t="str">
        <x:f>IF(COUNT(H835,J835)=0,"",AVERAGE(H835,J835))</x:f>
      </x:c>
      <x:c r="M835" s="46" t="str">
        <x:f>IF(OR(K835="",L835=""),"",L835-K835)</x:f>
      </x:c>
      <x:c r="N835" s="46" t="str">
        <x:f>IF(OR(K835="",A834&lt;&gt;A835,K834=""),"",K835-K834)</x:f>
      </x:c>
      <x:c r="O835" s="42" t="str">
        <x:v>Sem informação</x:v>
      </x:c>
      <x:c r="P835" s="42"/>
      <x:c r="Q835" s="42" t="str"/>
      <x:c r="R835" s="42" t="str"/>
      <x:c r="S835" s="42" t="str"/>
      <x:c r="T835" s="42" t="str"/>
    </x:row>
    <x:row r="836">
      <x:c r="A836" s="42" t="str">
        <x:v>Igor Paixão</x:v>
      </x:c>
      <x:c r="B836" s="42" t="n">
        <x:v>2029</x:v>
      </x:c>
      <x:c r="C836" s="42" t="str">
        <x:v>T3</x:v>
      </x:c>
      <x:c r="D836" s="44" t="n">
        <x:v>47391</x:v>
      </x:c>
      <x:c r="E836" s="42" t="str">
        <x:v>Ponta-esquerda</x:v>
      </x:c>
      <x:c r="F836" s="42" t="str">
        <x:v>Olympique Marseille</x:v>
      </x:c>
      <x:c r="G836" s="46"/>
      <x:c r="H836" s="46"/>
      <x:c r="I836" s="46"/>
      <x:c r="J836" s="46"/>
      <x:c r="K836" s="46" t="str">
        <x:f>IF(COUNT(G836,I836)=0,"",AVERAGE(G836,I836))</x:f>
      </x:c>
      <x:c r="L836" s="46" t="str">
        <x:f>IF(COUNT(H836,J836)=0,"",AVERAGE(H836,J836))</x:f>
      </x:c>
      <x:c r="M836" s="46" t="str">
        <x:f>IF(OR(K836="",L836=""),"",L836-K836)</x:f>
      </x:c>
      <x:c r="N836" s="46" t="str">
        <x:f>IF(OR(K836="",A835&lt;&gt;A836,K835=""),"",K836-K835)</x:f>
      </x:c>
      <x:c r="O836" s="42" t="str">
        <x:v>Sem informação</x:v>
      </x:c>
      <x:c r="P836" s="42"/>
      <x:c r="Q836" s="42" t="str"/>
      <x:c r="R836" s="42" t="str"/>
      <x:c r="S836" s="42" t="str"/>
      <x:c r="T836" s="42" t="str"/>
    </x:row>
    <x:row r="837">
      <x:c r="A837" s="42" t="str">
        <x:v>Igor Paixão</x:v>
      </x:c>
      <x:c r="B837" s="42" t="n">
        <x:v>2029</x:v>
      </x:c>
      <x:c r="C837" s="42" t="str">
        <x:v>T4</x:v>
      </x:c>
      <x:c r="D837" s="44" t="n">
        <x:v>47483</x:v>
      </x:c>
      <x:c r="E837" s="42" t="str">
        <x:v>Ponta-esquerda</x:v>
      </x:c>
      <x:c r="F837" s="42" t="str">
        <x:v>Olympique Marseille</x:v>
      </x:c>
      <x:c r="G837" s="46"/>
      <x:c r="H837" s="46"/>
      <x:c r="I837" s="46"/>
      <x:c r="J837" s="46"/>
      <x:c r="K837" s="46" t="str">
        <x:f>IF(COUNT(G837,I837)=0,"",AVERAGE(G837,I837))</x:f>
      </x:c>
      <x:c r="L837" s="46" t="str">
        <x:f>IF(COUNT(H837,J837)=0,"",AVERAGE(H837,J837))</x:f>
      </x:c>
      <x:c r="M837" s="46" t="str">
        <x:f>IF(OR(K837="",L837=""),"",L837-K837)</x:f>
      </x:c>
      <x:c r="N837" s="46" t="str">
        <x:f>IF(OR(K837="",A836&lt;&gt;A837,K836=""),"",K837-K836)</x:f>
      </x:c>
      <x:c r="O837" s="42" t="str">
        <x:v>Sem informação</x:v>
      </x:c>
      <x:c r="P837" s="42"/>
      <x:c r="Q837" s="42" t="str"/>
      <x:c r="R837" s="42" t="str"/>
      <x:c r="S837" s="42" t="str"/>
      <x:c r="T837" s="42" t="str"/>
    </x:row>
    <x:row r="838">
      <x:c r="A838" s="42" t="str">
        <x:v>Igor Paixão</x:v>
      </x:c>
      <x:c r="B838" s="42" t="n">
        <x:v>2030</x:v>
      </x:c>
      <x:c r="C838" s="42" t="str">
        <x:v>T1</x:v>
      </x:c>
      <x:c r="D838" s="44" t="n">
        <x:v>47573</x:v>
      </x:c>
      <x:c r="E838" s="42" t="str">
        <x:v>Ponta-esquerda</x:v>
      </x:c>
      <x:c r="F838" s="42" t="str">
        <x:v>Olympique Marseille</x:v>
      </x:c>
      <x:c r="G838" s="46"/>
      <x:c r="H838" s="46"/>
      <x:c r="I838" s="46"/>
      <x:c r="J838" s="46"/>
      <x:c r="K838" s="46" t="str">
        <x:f>IF(COUNT(G838,I838)=0,"",AVERAGE(G838,I838))</x:f>
      </x:c>
      <x:c r="L838" s="46" t="str">
        <x:f>IF(COUNT(H838,J838)=0,"",AVERAGE(H838,J838))</x:f>
      </x:c>
      <x:c r="M838" s="46" t="str">
        <x:f>IF(OR(K838="",L838=""),"",L838-K838)</x:f>
      </x:c>
      <x:c r="N838" s="46" t="str">
        <x:f>IF(OR(K838="",A837&lt;&gt;A838,K837=""),"",K838-K837)</x:f>
      </x:c>
      <x:c r="O838" s="42" t="str">
        <x:v>Sem informação</x:v>
      </x:c>
      <x:c r="P838" s="42"/>
      <x:c r="Q838" s="42" t="str"/>
      <x:c r="R838" s="42" t="str"/>
      <x:c r="S838" s="42" t="str"/>
      <x:c r="T838" s="42" t="str"/>
    </x:row>
    <x:row r="839">
      <x:c r="A839" s="42" t="str">
        <x:v>Igor Paixão</x:v>
      </x:c>
      <x:c r="B839" s="42" t="n">
        <x:v>2030</x:v>
      </x:c>
      <x:c r="C839" s="42" t="str">
        <x:v>T2</x:v>
      </x:c>
      <x:c r="D839" s="44" t="n">
        <x:v>47664</x:v>
      </x:c>
      <x:c r="E839" s="42" t="str">
        <x:v>Ponta-esquerda</x:v>
      </x:c>
      <x:c r="F839" s="42" t="str">
        <x:v>Olympique Marseille</x:v>
      </x:c>
      <x:c r="G839" s="46"/>
      <x:c r="H839" s="46"/>
      <x:c r="I839" s="46"/>
      <x:c r="J839" s="46"/>
      <x:c r="K839" s="46" t="str">
        <x:f>IF(COUNT(G839,I839)=0,"",AVERAGE(G839,I839))</x:f>
      </x:c>
      <x:c r="L839" s="46" t="str">
        <x:f>IF(COUNT(H839,J839)=0,"",AVERAGE(H839,J839))</x:f>
      </x:c>
      <x:c r="M839" s="46" t="str">
        <x:f>IF(OR(K839="",L839=""),"",L839-K839)</x:f>
      </x:c>
      <x:c r="N839" s="46" t="str">
        <x:f>IF(OR(K839="",A838&lt;&gt;A839,K838=""),"",K839-K838)</x:f>
      </x:c>
      <x:c r="O839" s="42" t="str">
        <x:v>Sem informação</x:v>
      </x:c>
      <x:c r="P839" s="42"/>
      <x:c r="Q839" s="42" t="str"/>
      <x:c r="R839" s="42" t="str"/>
      <x:c r="S839" s="42" t="str"/>
      <x:c r="T839" s="42" t="str"/>
    </x:row>
    <x:row r="840">
      <x:c r="A840" s="42" t="str">
        <x:v>Igor Paixão</x:v>
      </x:c>
      <x:c r="B840" s="42" t="n">
        <x:v>2030</x:v>
      </x:c>
      <x:c r="C840" s="42" t="str">
        <x:v>T3</x:v>
      </x:c>
      <x:c r="D840" s="44" t="n">
        <x:v>47756</x:v>
      </x:c>
      <x:c r="E840" s="42" t="str">
        <x:v>Ponta-esquerda</x:v>
      </x:c>
      <x:c r="F840" s="42" t="str">
        <x:v>Olympique Marseille</x:v>
      </x:c>
      <x:c r="G840" s="46"/>
      <x:c r="H840" s="46"/>
      <x:c r="I840" s="46"/>
      <x:c r="J840" s="46"/>
      <x:c r="K840" s="46" t="str">
        <x:f>IF(COUNT(G840,I840)=0,"",AVERAGE(G840,I840))</x:f>
      </x:c>
      <x:c r="L840" s="46" t="str">
        <x:f>IF(COUNT(H840,J840)=0,"",AVERAGE(H840,J840))</x:f>
      </x:c>
      <x:c r="M840" s="46" t="str">
        <x:f>IF(OR(K840="",L840=""),"",L840-K840)</x:f>
      </x:c>
      <x:c r="N840" s="46" t="str">
        <x:f>IF(OR(K840="",A839&lt;&gt;A840,K839=""),"",K840-K839)</x:f>
      </x:c>
      <x:c r="O840" s="42" t="str">
        <x:v>Sem informação</x:v>
      </x:c>
      <x:c r="P840" s="42"/>
      <x:c r="Q840" s="42" t="str"/>
      <x:c r="R840" s="42" t="str"/>
      <x:c r="S840" s="42" t="str"/>
      <x:c r="T840" s="42" t="str"/>
    </x:row>
    <x:row r="841">
      <x:c r="A841" s="42" t="str">
        <x:v>Igor Paixão</x:v>
      </x:c>
      <x:c r="B841" s="42" t="n">
        <x:v>2030</x:v>
      </x:c>
      <x:c r="C841" s="42" t="str">
        <x:v>T4</x:v>
      </x:c>
      <x:c r="D841" s="44" t="n">
        <x:v>47848</x:v>
      </x:c>
      <x:c r="E841" s="42" t="str">
        <x:v>Ponta-esquerda</x:v>
      </x:c>
      <x:c r="F841" s="42" t="str">
        <x:v>Olympique Marseille</x:v>
      </x:c>
      <x:c r="G841" s="46"/>
      <x:c r="H841" s="46"/>
      <x:c r="I841" s="46"/>
      <x:c r="J841" s="46"/>
      <x:c r="K841" s="46" t="str">
        <x:f>IF(COUNT(G841,I841)=0,"",AVERAGE(G841,I841))</x:f>
      </x:c>
      <x:c r="L841" s="46" t="str">
        <x:f>IF(COUNT(H841,J841)=0,"",AVERAGE(H841,J841))</x:f>
      </x:c>
      <x:c r="M841" s="46" t="str">
        <x:f>IF(OR(K841="",L841=""),"",L841-K841)</x:f>
      </x:c>
      <x:c r="N841" s="46" t="str">
        <x:f>IF(OR(K841="",A840&lt;&gt;A841,K840=""),"",K841-K840)</x:f>
      </x:c>
      <x:c r="O841" s="42" t="str">
        <x:v>Sem informação</x:v>
      </x:c>
      <x:c r="P841" s="42"/>
      <x:c r="Q841" s="42" t="str"/>
      <x:c r="R841" s="42" t="str"/>
      <x:c r="S841" s="42" t="str"/>
      <x:c r="T841" s="42" t="str"/>
    </x:row>
    <x:row r="842">
      <x:c r="A842" s="42" t="str">
        <x:v>Jair</x:v>
      </x:c>
      <x:c r="B842" s="42" t="n">
        <x:v>2026</x:v>
      </x:c>
      <x:c r="C842" s="42" t="str">
        <x:v>T1</x:v>
      </x:c>
      <x:c r="D842" s="44" t="n">
        <x:v>46112</x:v>
      </x:c>
      <x:c r="E842" s="42" t="str">
        <x:v>Zagueiro</x:v>
      </x:c>
      <x:c r="F842" s="42" t="str">
        <x:v>Nottingham Forest</x:v>
      </x:c>
      <x:c r="G842" s="46"/>
      <x:c r="H842" s="46"/>
      <x:c r="I842" s="46"/>
      <x:c r="J842" s="46"/>
      <x:c r="K842" s="46" t="str">
        <x:f>IF(COUNT(G842,I842)=0,"",AVERAGE(G842,I842))</x:f>
      </x:c>
      <x:c r="L842" s="46" t="str">
        <x:f>IF(COUNT(H842,J842)=0,"",AVERAGE(H842,J842))</x:f>
      </x:c>
      <x:c r="M842" s="46" t="str">
        <x:f>IF(OR(K842="",L842=""),"",L842-K842)</x:f>
      </x:c>
      <x:c r="N842" s="46" t="str">
        <x:f>IF(OR(K842="",A841&lt;&gt;A842,K841=""),"",K842-K841)</x:f>
      </x:c>
      <x:c r="O842" s="42" t="str">
        <x:v>Sem informação</x:v>
      </x:c>
      <x:c r="P842" s="42"/>
      <x:c r="Q842" s="42" t="str"/>
      <x:c r="R842" s="42" t="str"/>
      <x:c r="S842" s="42" t="str"/>
      <x:c r="T842" s="42" t="str"/>
    </x:row>
    <x:row r="843">
      <x:c r="A843" s="42" t="str">
        <x:v>Jair</x:v>
      </x:c>
      <x:c r="B843" s="42" t="n">
        <x:v>2026</x:v>
      </x:c>
      <x:c r="C843" s="42" t="str">
        <x:v>T2</x:v>
      </x:c>
      <x:c r="D843" s="44" t="n">
        <x:v>46203</x:v>
      </x:c>
      <x:c r="E843" s="42" t="str">
        <x:v>Zagueiro</x:v>
      </x:c>
      <x:c r="F843" s="42" t="str">
        <x:v>Nottingham Forest</x:v>
      </x:c>
      <x:c r="G843" s="46" t="n">
        <x:v>6</x:v>
      </x:c>
      <x:c r="H843" s="46" t="n">
        <x:v>8</x:v>
      </x:c>
      <x:c r="I843" s="46" t="n">
        <x:v>7</x:v>
      </x:c>
      <x:c r="J843" s="46" t="n">
        <x:v>8</x:v>
      </x:c>
      <x:c r="K843" s="46" t="n">
        <x:f>IF(COUNT(G843,I843)=0,"",AVERAGE(G843,I843))</x:f>
        <x:v>6.5</x:v>
      </x:c>
      <x:c r="L843" s="46" t="n">
        <x:f>IF(COUNT(H843,J843)=0,"",AVERAGE(H843,J843))</x:f>
        <x:v>8</x:v>
      </x:c>
      <x:c r="M843" s="46" t="n">
        <x:f>IF(OR(K843="",L843=""),"",L843-K843)</x:f>
        <x:v>1.5</x:v>
      </x:c>
      <x:c r="N843" s="46" t="str">
        <x:f>IF(OR(K843="",A842&lt;&gt;A843,K842=""),"",K843-K842)</x:f>
      </x:c>
      <x:c r="O843" s="42" t="str">
        <x:v>Sem informação</x:v>
      </x:c>
      <x:c r="P843" s="42"/>
      <x:c r="Q843" s="42" t="str"/>
      <x:c r="R843" s="42" t="str"/>
      <x:c r="S843" s="42" t="str"/>
      <x:c r="T843" s="42" t="str"/>
    </x:row>
    <x:row r="844">
      <x:c r="A844" s="42" t="str">
        <x:v>Jair</x:v>
      </x:c>
      <x:c r="B844" s="42" t="n">
        <x:v>2026</x:v>
      </x:c>
      <x:c r="C844" s="42" t="str">
        <x:v>T3</x:v>
      </x:c>
      <x:c r="D844" s="44" t="n">
        <x:v>46295</x:v>
      </x:c>
      <x:c r="E844" s="42" t="str">
        <x:v>Zagueiro</x:v>
      </x:c>
      <x:c r="F844" s="42" t="str">
        <x:v>Nottingham Forest</x:v>
      </x:c>
      <x:c r="G844" s="46"/>
      <x:c r="H844" s="46"/>
      <x:c r="I844" s="46"/>
      <x:c r="J844" s="46"/>
      <x:c r="K844" s="46" t="str">
        <x:f>IF(COUNT(G844,I844)=0,"",AVERAGE(G844,I844))</x:f>
      </x:c>
      <x:c r="L844" s="46" t="str">
        <x:f>IF(COUNT(H844,J844)=0,"",AVERAGE(H844,J844))</x:f>
      </x:c>
      <x:c r="M844" s="46" t="str">
        <x:f>IF(OR(K844="",L844=""),"",L844-K844)</x:f>
      </x:c>
      <x:c r="N844" s="46" t="str">
        <x:f>IF(OR(K844="",A843&lt;&gt;A844,K843=""),"",K844-K843)</x:f>
      </x:c>
      <x:c r="O844" s="42" t="str">
        <x:v>Sem informação</x:v>
      </x:c>
      <x:c r="P844" s="42"/>
      <x:c r="Q844" s="42" t="str"/>
      <x:c r="R844" s="42" t="str"/>
      <x:c r="S844" s="42" t="str"/>
      <x:c r="T844" s="42" t="str"/>
    </x:row>
    <x:row r="845">
      <x:c r="A845" s="42" t="str">
        <x:v>Jair</x:v>
      </x:c>
      <x:c r="B845" s="42" t="n">
        <x:v>2026</x:v>
      </x:c>
      <x:c r="C845" s="42" t="str">
        <x:v>T4</x:v>
      </x:c>
      <x:c r="D845" s="44" t="n">
        <x:v>46387</x:v>
      </x:c>
      <x:c r="E845" s="42" t="str">
        <x:v>Zagueiro</x:v>
      </x:c>
      <x:c r="F845" s="42" t="str">
        <x:v>Nottingham Forest</x:v>
      </x:c>
      <x:c r="G845" s="46"/>
      <x:c r="H845" s="46"/>
      <x:c r="I845" s="46"/>
      <x:c r="J845" s="46"/>
      <x:c r="K845" s="46" t="str">
        <x:f>IF(COUNT(G845,I845)=0,"",AVERAGE(G845,I845))</x:f>
      </x:c>
      <x:c r="L845" s="46" t="str">
        <x:f>IF(COUNT(H845,J845)=0,"",AVERAGE(H845,J845))</x:f>
      </x:c>
      <x:c r="M845" s="46" t="str">
        <x:f>IF(OR(K845="",L845=""),"",L845-K845)</x:f>
      </x:c>
      <x:c r="N845" s="46" t="str">
        <x:f>IF(OR(K845="",A844&lt;&gt;A845,K844=""),"",K845-K844)</x:f>
      </x:c>
      <x:c r="O845" s="42" t="str">
        <x:v>Sem informação</x:v>
      </x:c>
      <x:c r="P845" s="42"/>
      <x:c r="Q845" s="42" t="str"/>
      <x:c r="R845" s="42" t="str"/>
      <x:c r="S845" s="42" t="str"/>
      <x:c r="T845" s="42" t="str"/>
    </x:row>
    <x:row r="846">
      <x:c r="A846" s="42" t="str">
        <x:v>Jair</x:v>
      </x:c>
      <x:c r="B846" s="42" t="n">
        <x:v>2027</x:v>
      </x:c>
      <x:c r="C846" s="42" t="str">
        <x:v>T1</x:v>
      </x:c>
      <x:c r="D846" s="44" t="n">
        <x:v>46477</x:v>
      </x:c>
      <x:c r="E846" s="42" t="str">
        <x:v>Zagueiro</x:v>
      </x:c>
      <x:c r="F846" s="42" t="str">
        <x:v>Nottingham Forest</x:v>
      </x:c>
      <x:c r="G846" s="46"/>
      <x:c r="H846" s="46"/>
      <x:c r="I846" s="46"/>
      <x:c r="J846" s="46"/>
      <x:c r="K846" s="46" t="str">
        <x:f>IF(COUNT(G846,I846)=0,"",AVERAGE(G846,I846))</x:f>
      </x:c>
      <x:c r="L846" s="46" t="str">
        <x:f>IF(COUNT(H846,J846)=0,"",AVERAGE(H846,J846))</x:f>
      </x:c>
      <x:c r="M846" s="46" t="str">
        <x:f>IF(OR(K846="",L846=""),"",L846-K846)</x:f>
      </x:c>
      <x:c r="N846" s="46" t="str">
        <x:f>IF(OR(K846="",A845&lt;&gt;A846,K845=""),"",K846-K845)</x:f>
      </x:c>
      <x:c r="O846" s="42" t="str">
        <x:v>Sem informação</x:v>
      </x:c>
      <x:c r="P846" s="42"/>
      <x:c r="Q846" s="42" t="str"/>
      <x:c r="R846" s="42" t="str"/>
      <x:c r="S846" s="42" t="str"/>
      <x:c r="T846" s="42" t="str"/>
    </x:row>
    <x:row r="847">
      <x:c r="A847" s="42" t="str">
        <x:v>Jair</x:v>
      </x:c>
      <x:c r="B847" s="42" t="n">
        <x:v>2027</x:v>
      </x:c>
      <x:c r="C847" s="42" t="str">
        <x:v>T2</x:v>
      </x:c>
      <x:c r="D847" s="44" t="n">
        <x:v>46568</x:v>
      </x:c>
      <x:c r="E847" s="42" t="str">
        <x:v>Zagueiro</x:v>
      </x:c>
      <x:c r="F847" s="42" t="str">
        <x:v>Nottingham Forest</x:v>
      </x:c>
      <x:c r="G847" s="46"/>
      <x:c r="H847" s="46"/>
      <x:c r="I847" s="46"/>
      <x:c r="J847" s="46"/>
      <x:c r="K847" s="46" t="str">
        <x:f>IF(COUNT(G847,I847)=0,"",AVERAGE(G847,I847))</x:f>
      </x:c>
      <x:c r="L847" s="46" t="str">
        <x:f>IF(COUNT(H847,J847)=0,"",AVERAGE(H847,J847))</x:f>
      </x:c>
      <x:c r="M847" s="46" t="str">
        <x:f>IF(OR(K847="",L847=""),"",L847-K847)</x:f>
      </x:c>
      <x:c r="N847" s="46" t="str">
        <x:f>IF(OR(K847="",A846&lt;&gt;A847,K846=""),"",K847-K846)</x:f>
      </x:c>
      <x:c r="O847" s="42" t="str">
        <x:v>Sem informação</x:v>
      </x:c>
      <x:c r="P847" s="42"/>
      <x:c r="Q847" s="42" t="str"/>
      <x:c r="R847" s="42" t="str"/>
      <x:c r="S847" s="42" t="str"/>
      <x:c r="T847" s="42" t="str"/>
    </x:row>
    <x:row r="848">
      <x:c r="A848" s="42" t="str">
        <x:v>Jair</x:v>
      </x:c>
      <x:c r="B848" s="42" t="n">
        <x:v>2027</x:v>
      </x:c>
      <x:c r="C848" s="42" t="str">
        <x:v>T3</x:v>
      </x:c>
      <x:c r="D848" s="44" t="n">
        <x:v>46660</x:v>
      </x:c>
      <x:c r="E848" s="42" t="str">
        <x:v>Zagueiro</x:v>
      </x:c>
      <x:c r="F848" s="42" t="str">
        <x:v>Nottingham Forest</x:v>
      </x:c>
      <x:c r="G848" s="46"/>
      <x:c r="H848" s="46"/>
      <x:c r="I848" s="46"/>
      <x:c r="J848" s="46"/>
      <x:c r="K848" s="46" t="str">
        <x:f>IF(COUNT(G848,I848)=0,"",AVERAGE(G848,I848))</x:f>
      </x:c>
      <x:c r="L848" s="46" t="str">
        <x:f>IF(COUNT(H848,J848)=0,"",AVERAGE(H848,J848))</x:f>
      </x:c>
      <x:c r="M848" s="46" t="str">
        <x:f>IF(OR(K848="",L848=""),"",L848-K848)</x:f>
      </x:c>
      <x:c r="N848" s="46" t="str">
        <x:f>IF(OR(K848="",A847&lt;&gt;A848,K847=""),"",K848-K847)</x:f>
      </x:c>
      <x:c r="O848" s="42" t="str">
        <x:v>Sem informação</x:v>
      </x:c>
      <x:c r="P848" s="42"/>
      <x:c r="Q848" s="42" t="str"/>
      <x:c r="R848" s="42" t="str"/>
      <x:c r="S848" s="42" t="str"/>
      <x:c r="T848" s="42" t="str"/>
    </x:row>
    <x:row r="849">
      <x:c r="A849" s="42" t="str">
        <x:v>Jair</x:v>
      </x:c>
      <x:c r="B849" s="42" t="n">
        <x:v>2027</x:v>
      </x:c>
      <x:c r="C849" s="42" t="str">
        <x:v>T4</x:v>
      </x:c>
      <x:c r="D849" s="44" t="n">
        <x:v>46752</x:v>
      </x:c>
      <x:c r="E849" s="42" t="str">
        <x:v>Zagueiro</x:v>
      </x:c>
      <x:c r="F849" s="42" t="str">
        <x:v>Nottingham Forest</x:v>
      </x:c>
      <x:c r="G849" s="46"/>
      <x:c r="H849" s="46"/>
      <x:c r="I849" s="46"/>
      <x:c r="J849" s="46"/>
      <x:c r="K849" s="46" t="str">
        <x:f>IF(COUNT(G849,I849)=0,"",AVERAGE(G849,I849))</x:f>
      </x:c>
      <x:c r="L849" s="46" t="str">
        <x:f>IF(COUNT(H849,J849)=0,"",AVERAGE(H849,J849))</x:f>
      </x:c>
      <x:c r="M849" s="46" t="str">
        <x:f>IF(OR(K849="",L849=""),"",L849-K849)</x:f>
      </x:c>
      <x:c r="N849" s="46" t="str">
        <x:f>IF(OR(K849="",A848&lt;&gt;A849,K848=""),"",K849-K848)</x:f>
      </x:c>
      <x:c r="O849" s="42" t="str">
        <x:v>Sem informação</x:v>
      </x:c>
      <x:c r="P849" s="42"/>
      <x:c r="Q849" s="42" t="str"/>
      <x:c r="R849" s="42" t="str"/>
      <x:c r="S849" s="42" t="str"/>
      <x:c r="T849" s="42" t="str"/>
    </x:row>
    <x:row r="850">
      <x:c r="A850" s="42" t="str">
        <x:v>Jair</x:v>
      </x:c>
      <x:c r="B850" s="42" t="n">
        <x:v>2028</x:v>
      </x:c>
      <x:c r="C850" s="42" t="str">
        <x:v>T1</x:v>
      </x:c>
      <x:c r="D850" s="44" t="n">
        <x:v>46843</x:v>
      </x:c>
      <x:c r="E850" s="42" t="str">
        <x:v>Zagueiro</x:v>
      </x:c>
      <x:c r="F850" s="42" t="str">
        <x:v>Nottingham Forest</x:v>
      </x:c>
      <x:c r="G850" s="46"/>
      <x:c r="H850" s="46"/>
      <x:c r="I850" s="46"/>
      <x:c r="J850" s="46"/>
      <x:c r="K850" s="46" t="str">
        <x:f>IF(COUNT(G850,I850)=0,"",AVERAGE(G850,I850))</x:f>
      </x:c>
      <x:c r="L850" s="46" t="str">
        <x:f>IF(COUNT(H850,J850)=0,"",AVERAGE(H850,J850))</x:f>
      </x:c>
      <x:c r="M850" s="46" t="str">
        <x:f>IF(OR(K850="",L850=""),"",L850-K850)</x:f>
      </x:c>
      <x:c r="N850" s="46" t="str">
        <x:f>IF(OR(K850="",A849&lt;&gt;A850,K849=""),"",K850-K849)</x:f>
      </x:c>
      <x:c r="O850" s="42" t="str">
        <x:v>Sem informação</x:v>
      </x:c>
      <x:c r="P850" s="42"/>
      <x:c r="Q850" s="42" t="str"/>
      <x:c r="R850" s="42" t="str"/>
      <x:c r="S850" s="42" t="str"/>
      <x:c r="T850" s="42" t="str"/>
    </x:row>
    <x:row r="851">
      <x:c r="A851" s="42" t="str">
        <x:v>Jair</x:v>
      </x:c>
      <x:c r="B851" s="42" t="n">
        <x:v>2028</x:v>
      </x:c>
      <x:c r="C851" s="42" t="str">
        <x:v>T2</x:v>
      </x:c>
      <x:c r="D851" s="44" t="n">
        <x:v>46934</x:v>
      </x:c>
      <x:c r="E851" s="42" t="str">
        <x:v>Zagueiro</x:v>
      </x:c>
      <x:c r="F851" s="42" t="str">
        <x:v>Nottingham Forest</x:v>
      </x:c>
      <x:c r="G851" s="46"/>
      <x:c r="H851" s="46"/>
      <x:c r="I851" s="46"/>
      <x:c r="J851" s="46"/>
      <x:c r="K851" s="46" t="str">
        <x:f>IF(COUNT(G851,I851)=0,"",AVERAGE(G851,I851))</x:f>
      </x:c>
      <x:c r="L851" s="46" t="str">
        <x:f>IF(COUNT(H851,J851)=0,"",AVERAGE(H851,J851))</x:f>
      </x:c>
      <x:c r="M851" s="46" t="str">
        <x:f>IF(OR(K851="",L851=""),"",L851-K851)</x:f>
      </x:c>
      <x:c r="N851" s="46" t="str">
        <x:f>IF(OR(K851="",A850&lt;&gt;A851,K850=""),"",K851-K850)</x:f>
      </x:c>
      <x:c r="O851" s="42" t="str">
        <x:v>Sem informação</x:v>
      </x:c>
      <x:c r="P851" s="42"/>
      <x:c r="Q851" s="42" t="str"/>
      <x:c r="R851" s="42" t="str"/>
      <x:c r="S851" s="42" t="str"/>
      <x:c r="T851" s="42" t="str"/>
    </x:row>
    <x:row r="852">
      <x:c r="A852" s="42" t="str">
        <x:v>Jair</x:v>
      </x:c>
      <x:c r="B852" s="42" t="n">
        <x:v>2028</x:v>
      </x:c>
      <x:c r="C852" s="42" t="str">
        <x:v>T3</x:v>
      </x:c>
      <x:c r="D852" s="44" t="n">
        <x:v>47026</x:v>
      </x:c>
      <x:c r="E852" s="42" t="str">
        <x:v>Zagueiro</x:v>
      </x:c>
      <x:c r="F852" s="42" t="str">
        <x:v>Nottingham Forest</x:v>
      </x:c>
      <x:c r="G852" s="46"/>
      <x:c r="H852" s="46"/>
      <x:c r="I852" s="46"/>
      <x:c r="J852" s="46"/>
      <x:c r="K852" s="46" t="str">
        <x:f>IF(COUNT(G852,I852)=0,"",AVERAGE(G852,I852))</x:f>
      </x:c>
      <x:c r="L852" s="46" t="str">
        <x:f>IF(COUNT(H852,J852)=0,"",AVERAGE(H852,J852))</x:f>
      </x:c>
      <x:c r="M852" s="46" t="str">
        <x:f>IF(OR(K852="",L852=""),"",L852-K852)</x:f>
      </x:c>
      <x:c r="N852" s="46" t="str">
        <x:f>IF(OR(K852="",A851&lt;&gt;A852,K851=""),"",K852-K851)</x:f>
      </x:c>
      <x:c r="O852" s="42" t="str">
        <x:v>Sem informação</x:v>
      </x:c>
      <x:c r="P852" s="42"/>
      <x:c r="Q852" s="42" t="str"/>
      <x:c r="R852" s="42" t="str"/>
      <x:c r="S852" s="42" t="str"/>
      <x:c r="T852" s="42" t="str"/>
    </x:row>
    <x:row r="853">
      <x:c r="A853" s="42" t="str">
        <x:v>Jair</x:v>
      </x:c>
      <x:c r="B853" s="42" t="n">
        <x:v>2028</x:v>
      </x:c>
      <x:c r="C853" s="42" t="str">
        <x:v>T4</x:v>
      </x:c>
      <x:c r="D853" s="44" t="n">
        <x:v>47118</x:v>
      </x:c>
      <x:c r="E853" s="42" t="str">
        <x:v>Zagueiro</x:v>
      </x:c>
      <x:c r="F853" s="42" t="str">
        <x:v>Nottingham Forest</x:v>
      </x:c>
      <x:c r="G853" s="46"/>
      <x:c r="H853" s="46"/>
      <x:c r="I853" s="46"/>
      <x:c r="J853" s="46"/>
      <x:c r="K853" s="46" t="str">
        <x:f>IF(COUNT(G853,I853)=0,"",AVERAGE(G853,I853))</x:f>
      </x:c>
      <x:c r="L853" s="46" t="str">
        <x:f>IF(COUNT(H853,J853)=0,"",AVERAGE(H853,J853))</x:f>
      </x:c>
      <x:c r="M853" s="46" t="str">
        <x:f>IF(OR(K853="",L853=""),"",L853-K853)</x:f>
      </x:c>
      <x:c r="N853" s="46" t="str">
        <x:f>IF(OR(K853="",A852&lt;&gt;A853,K852=""),"",K853-K852)</x:f>
      </x:c>
      <x:c r="O853" s="42" t="str">
        <x:v>Sem informação</x:v>
      </x:c>
      <x:c r="P853" s="42"/>
      <x:c r="Q853" s="42" t="str"/>
      <x:c r="R853" s="42" t="str"/>
      <x:c r="S853" s="42" t="str"/>
      <x:c r="T853" s="42" t="str"/>
    </x:row>
    <x:row r="854">
      <x:c r="A854" s="42" t="str">
        <x:v>Jair</x:v>
      </x:c>
      <x:c r="B854" s="42" t="n">
        <x:v>2029</x:v>
      </x:c>
      <x:c r="C854" s="42" t="str">
        <x:v>T1</x:v>
      </x:c>
      <x:c r="D854" s="44" t="n">
        <x:v>47208</x:v>
      </x:c>
      <x:c r="E854" s="42" t="str">
        <x:v>Zagueiro</x:v>
      </x:c>
      <x:c r="F854" s="42" t="str">
        <x:v>Nottingham Forest</x:v>
      </x:c>
      <x:c r="G854" s="46"/>
      <x:c r="H854" s="46"/>
      <x:c r="I854" s="46"/>
      <x:c r="J854" s="46"/>
      <x:c r="K854" s="46" t="str">
        <x:f>IF(COUNT(G854,I854)=0,"",AVERAGE(G854,I854))</x:f>
      </x:c>
      <x:c r="L854" s="46" t="str">
        <x:f>IF(COUNT(H854,J854)=0,"",AVERAGE(H854,J854))</x:f>
      </x:c>
      <x:c r="M854" s="46" t="str">
        <x:f>IF(OR(K854="",L854=""),"",L854-K854)</x:f>
      </x:c>
      <x:c r="N854" s="46" t="str">
        <x:f>IF(OR(K854="",A853&lt;&gt;A854,K853=""),"",K854-K853)</x:f>
      </x:c>
      <x:c r="O854" s="42" t="str">
        <x:v>Sem informação</x:v>
      </x:c>
      <x:c r="P854" s="42"/>
      <x:c r="Q854" s="42" t="str"/>
      <x:c r="R854" s="42" t="str"/>
      <x:c r="S854" s="42" t="str"/>
      <x:c r="T854" s="42" t="str"/>
    </x:row>
    <x:row r="855">
      <x:c r="A855" s="42" t="str">
        <x:v>Jair</x:v>
      </x:c>
      <x:c r="B855" s="42" t="n">
        <x:v>2029</x:v>
      </x:c>
      <x:c r="C855" s="42" t="str">
        <x:v>T2</x:v>
      </x:c>
      <x:c r="D855" s="44" t="n">
        <x:v>47299</x:v>
      </x:c>
      <x:c r="E855" s="42" t="str">
        <x:v>Zagueiro</x:v>
      </x:c>
      <x:c r="F855" s="42" t="str">
        <x:v>Nottingham Forest</x:v>
      </x:c>
      <x:c r="G855" s="46"/>
      <x:c r="H855" s="46"/>
      <x:c r="I855" s="46"/>
      <x:c r="J855" s="46"/>
      <x:c r="K855" s="46" t="str">
        <x:f>IF(COUNT(G855,I855)=0,"",AVERAGE(G855,I855))</x:f>
      </x:c>
      <x:c r="L855" s="46" t="str">
        <x:f>IF(COUNT(H855,J855)=0,"",AVERAGE(H855,J855))</x:f>
      </x:c>
      <x:c r="M855" s="46" t="str">
        <x:f>IF(OR(K855="",L855=""),"",L855-K855)</x:f>
      </x:c>
      <x:c r="N855" s="46" t="str">
        <x:f>IF(OR(K855="",A854&lt;&gt;A855,K854=""),"",K855-K854)</x:f>
      </x:c>
      <x:c r="O855" s="42" t="str">
        <x:v>Sem informação</x:v>
      </x:c>
      <x:c r="P855" s="42"/>
      <x:c r="Q855" s="42" t="str"/>
      <x:c r="R855" s="42" t="str"/>
      <x:c r="S855" s="42" t="str"/>
      <x:c r="T855" s="42" t="str"/>
    </x:row>
    <x:row r="856">
      <x:c r="A856" s="42" t="str">
        <x:v>Jair</x:v>
      </x:c>
      <x:c r="B856" s="42" t="n">
        <x:v>2029</x:v>
      </x:c>
      <x:c r="C856" s="42" t="str">
        <x:v>T3</x:v>
      </x:c>
      <x:c r="D856" s="44" t="n">
        <x:v>47391</x:v>
      </x:c>
      <x:c r="E856" s="42" t="str">
        <x:v>Zagueiro</x:v>
      </x:c>
      <x:c r="F856" s="42" t="str">
        <x:v>Nottingham Forest</x:v>
      </x:c>
      <x:c r="G856" s="46"/>
      <x:c r="H856" s="46"/>
      <x:c r="I856" s="46"/>
      <x:c r="J856" s="46"/>
      <x:c r="K856" s="46" t="str">
        <x:f>IF(COUNT(G856,I856)=0,"",AVERAGE(G856,I856))</x:f>
      </x:c>
      <x:c r="L856" s="46" t="str">
        <x:f>IF(COUNT(H856,J856)=0,"",AVERAGE(H856,J856))</x:f>
      </x:c>
      <x:c r="M856" s="46" t="str">
        <x:f>IF(OR(K856="",L856=""),"",L856-K856)</x:f>
      </x:c>
      <x:c r="N856" s="46" t="str">
        <x:f>IF(OR(K856="",A855&lt;&gt;A856,K855=""),"",K856-K855)</x:f>
      </x:c>
      <x:c r="O856" s="42" t="str">
        <x:v>Sem informação</x:v>
      </x:c>
      <x:c r="P856" s="42"/>
      <x:c r="Q856" s="42" t="str"/>
      <x:c r="R856" s="42" t="str"/>
      <x:c r="S856" s="42" t="str"/>
      <x:c r="T856" s="42" t="str"/>
    </x:row>
    <x:row r="857">
      <x:c r="A857" s="42" t="str">
        <x:v>Jair</x:v>
      </x:c>
      <x:c r="B857" s="42" t="n">
        <x:v>2029</x:v>
      </x:c>
      <x:c r="C857" s="42" t="str">
        <x:v>T4</x:v>
      </x:c>
      <x:c r="D857" s="44" t="n">
        <x:v>47483</x:v>
      </x:c>
      <x:c r="E857" s="42" t="str">
        <x:v>Zagueiro</x:v>
      </x:c>
      <x:c r="F857" s="42" t="str">
        <x:v>Nottingham Forest</x:v>
      </x:c>
      <x:c r="G857" s="46"/>
      <x:c r="H857" s="46"/>
      <x:c r="I857" s="46"/>
      <x:c r="J857" s="46"/>
      <x:c r="K857" s="46" t="str">
        <x:f>IF(COUNT(G857,I857)=0,"",AVERAGE(G857,I857))</x:f>
      </x:c>
      <x:c r="L857" s="46" t="str">
        <x:f>IF(COUNT(H857,J857)=0,"",AVERAGE(H857,J857))</x:f>
      </x:c>
      <x:c r="M857" s="46" t="str">
        <x:f>IF(OR(K857="",L857=""),"",L857-K857)</x:f>
      </x:c>
      <x:c r="N857" s="46" t="str">
        <x:f>IF(OR(K857="",A856&lt;&gt;A857,K856=""),"",K857-K856)</x:f>
      </x:c>
      <x:c r="O857" s="42" t="str">
        <x:v>Sem informação</x:v>
      </x:c>
      <x:c r="P857" s="42"/>
      <x:c r="Q857" s="42" t="str"/>
      <x:c r="R857" s="42" t="str"/>
      <x:c r="S857" s="42" t="str"/>
      <x:c r="T857" s="42" t="str"/>
    </x:row>
    <x:row r="858">
      <x:c r="A858" s="42" t="str">
        <x:v>Jair</x:v>
      </x:c>
      <x:c r="B858" s="42" t="n">
        <x:v>2030</x:v>
      </x:c>
      <x:c r="C858" s="42" t="str">
        <x:v>T1</x:v>
      </x:c>
      <x:c r="D858" s="44" t="n">
        <x:v>47573</x:v>
      </x:c>
      <x:c r="E858" s="42" t="str">
        <x:v>Zagueiro</x:v>
      </x:c>
      <x:c r="F858" s="42" t="str">
        <x:v>Nottingham Forest</x:v>
      </x:c>
      <x:c r="G858" s="46"/>
      <x:c r="H858" s="46"/>
      <x:c r="I858" s="46"/>
      <x:c r="J858" s="46"/>
      <x:c r="K858" s="46" t="str">
        <x:f>IF(COUNT(G858,I858)=0,"",AVERAGE(G858,I858))</x:f>
      </x:c>
      <x:c r="L858" s="46" t="str">
        <x:f>IF(COUNT(H858,J858)=0,"",AVERAGE(H858,J858))</x:f>
      </x:c>
      <x:c r="M858" s="46" t="str">
        <x:f>IF(OR(K858="",L858=""),"",L858-K858)</x:f>
      </x:c>
      <x:c r="N858" s="46" t="str">
        <x:f>IF(OR(K858="",A857&lt;&gt;A858,K857=""),"",K858-K857)</x:f>
      </x:c>
      <x:c r="O858" s="42" t="str">
        <x:v>Sem informação</x:v>
      </x:c>
      <x:c r="P858" s="42"/>
      <x:c r="Q858" s="42" t="str"/>
      <x:c r="R858" s="42" t="str"/>
      <x:c r="S858" s="42" t="str"/>
      <x:c r="T858" s="42" t="str"/>
    </x:row>
    <x:row r="859">
      <x:c r="A859" s="42" t="str">
        <x:v>Jair</x:v>
      </x:c>
      <x:c r="B859" s="42" t="n">
        <x:v>2030</x:v>
      </x:c>
      <x:c r="C859" s="42" t="str">
        <x:v>T2</x:v>
      </x:c>
      <x:c r="D859" s="44" t="n">
        <x:v>47664</x:v>
      </x:c>
      <x:c r="E859" s="42" t="str">
        <x:v>Zagueiro</x:v>
      </x:c>
      <x:c r="F859" s="42" t="str">
        <x:v>Nottingham Forest</x:v>
      </x:c>
      <x:c r="G859" s="46"/>
      <x:c r="H859" s="46"/>
      <x:c r="I859" s="46"/>
      <x:c r="J859" s="46"/>
      <x:c r="K859" s="46" t="str">
        <x:f>IF(COUNT(G859,I859)=0,"",AVERAGE(G859,I859))</x:f>
      </x:c>
      <x:c r="L859" s="46" t="str">
        <x:f>IF(COUNT(H859,J859)=0,"",AVERAGE(H859,J859))</x:f>
      </x:c>
      <x:c r="M859" s="46" t="str">
        <x:f>IF(OR(K859="",L859=""),"",L859-K859)</x:f>
      </x:c>
      <x:c r="N859" s="46" t="str">
        <x:f>IF(OR(K859="",A858&lt;&gt;A859,K858=""),"",K859-K858)</x:f>
      </x:c>
      <x:c r="O859" s="42" t="str">
        <x:v>Sem informação</x:v>
      </x:c>
      <x:c r="P859" s="42"/>
      <x:c r="Q859" s="42" t="str"/>
      <x:c r="R859" s="42" t="str"/>
      <x:c r="S859" s="42" t="str"/>
      <x:c r="T859" s="42" t="str"/>
    </x:row>
    <x:row r="860">
      <x:c r="A860" s="42" t="str">
        <x:v>Jair</x:v>
      </x:c>
      <x:c r="B860" s="42" t="n">
        <x:v>2030</x:v>
      </x:c>
      <x:c r="C860" s="42" t="str">
        <x:v>T3</x:v>
      </x:c>
      <x:c r="D860" s="44" t="n">
        <x:v>47756</x:v>
      </x:c>
      <x:c r="E860" s="42" t="str">
        <x:v>Zagueiro</x:v>
      </x:c>
      <x:c r="F860" s="42" t="str">
        <x:v>Nottingham Forest</x:v>
      </x:c>
      <x:c r="G860" s="46"/>
      <x:c r="H860" s="46"/>
      <x:c r="I860" s="46"/>
      <x:c r="J860" s="46"/>
      <x:c r="K860" s="46" t="str">
        <x:f>IF(COUNT(G860,I860)=0,"",AVERAGE(G860,I860))</x:f>
      </x:c>
      <x:c r="L860" s="46" t="str">
        <x:f>IF(COUNT(H860,J860)=0,"",AVERAGE(H860,J860))</x:f>
      </x:c>
      <x:c r="M860" s="46" t="str">
        <x:f>IF(OR(K860="",L860=""),"",L860-K860)</x:f>
      </x:c>
      <x:c r="N860" s="46" t="str">
        <x:f>IF(OR(K860="",A859&lt;&gt;A860,K859=""),"",K860-K859)</x:f>
      </x:c>
      <x:c r="O860" s="42" t="str">
        <x:v>Sem informação</x:v>
      </x:c>
      <x:c r="P860" s="42"/>
      <x:c r="Q860" s="42" t="str"/>
      <x:c r="R860" s="42" t="str"/>
      <x:c r="S860" s="42" t="str"/>
      <x:c r="T860" s="42" t="str"/>
    </x:row>
    <x:row r="861">
      <x:c r="A861" s="42" t="str">
        <x:v>Jair</x:v>
      </x:c>
      <x:c r="B861" s="42" t="n">
        <x:v>2030</x:v>
      </x:c>
      <x:c r="C861" s="42" t="str">
        <x:v>T4</x:v>
      </x:c>
      <x:c r="D861" s="44" t="n">
        <x:v>47848</x:v>
      </x:c>
      <x:c r="E861" s="42" t="str">
        <x:v>Zagueiro</x:v>
      </x:c>
      <x:c r="F861" s="42" t="str">
        <x:v>Nottingham Forest</x:v>
      </x:c>
      <x:c r="G861" s="46"/>
      <x:c r="H861" s="46"/>
      <x:c r="I861" s="46"/>
      <x:c r="J861" s="46"/>
      <x:c r="K861" s="46" t="str">
        <x:f>IF(COUNT(G861,I861)=0,"",AVERAGE(G861,I861))</x:f>
      </x:c>
      <x:c r="L861" s="46" t="str">
        <x:f>IF(COUNT(H861,J861)=0,"",AVERAGE(H861,J861))</x:f>
      </x:c>
      <x:c r="M861" s="46" t="str">
        <x:f>IF(OR(K861="",L861=""),"",L861-K861)</x:f>
      </x:c>
      <x:c r="N861" s="46" t="str">
        <x:f>IF(OR(K861="",A860&lt;&gt;A861,K860=""),"",K861-K860)</x:f>
      </x:c>
      <x:c r="O861" s="42" t="str">
        <x:v>Sem informação</x:v>
      </x:c>
      <x:c r="P861" s="42"/>
      <x:c r="Q861" s="42" t="str"/>
      <x:c r="R861" s="42" t="str"/>
      <x:c r="S861" s="42" t="str"/>
      <x:c r="T861" s="42" t="str"/>
    </x:row>
    <x:row r="862">
      <x:c r="A862" s="42" t="str">
        <x:v>João Pedro</x:v>
      </x:c>
      <x:c r="B862" s="42" t="n">
        <x:v>2026</x:v>
      </x:c>
      <x:c r="C862" s="42" t="str">
        <x:v>T1</x:v>
      </x:c>
      <x:c r="D862" s="44" t="n">
        <x:v>46112</x:v>
      </x:c>
      <x:c r="E862" s="42" t="str">
        <x:v>Centroavante</x:v>
      </x:c>
      <x:c r="F862" s="42" t="str">
        <x:v>Chelsea FC</x:v>
      </x:c>
      <x:c r="G862" s="46"/>
      <x:c r="H862" s="46"/>
      <x:c r="I862" s="46"/>
      <x:c r="J862" s="46"/>
      <x:c r="K862" s="46" t="str">
        <x:f>IF(COUNT(G862,I862)=0,"",AVERAGE(G862,I862))</x:f>
      </x:c>
      <x:c r="L862" s="46" t="str">
        <x:f>IF(COUNT(H862,J862)=0,"",AVERAGE(H862,J862))</x:f>
      </x:c>
      <x:c r="M862" s="46" t="str">
        <x:f>IF(OR(K862="",L862=""),"",L862-K862)</x:f>
      </x:c>
      <x:c r="N862" s="46" t="str">
        <x:f>IF(OR(K862="",A861&lt;&gt;A862,K861=""),"",K862-K861)</x:f>
      </x:c>
      <x:c r="O862" s="42" t="str">
        <x:v>Sem informação</x:v>
      </x:c>
      <x:c r="P862" s="42"/>
      <x:c r="Q862" s="42" t="str"/>
      <x:c r="R862" s="42" t="str"/>
      <x:c r="S862" s="42" t="str"/>
      <x:c r="T862" s="42" t="str"/>
    </x:row>
    <x:row r="863">
      <x:c r="A863" s="42" t="str">
        <x:v>João Pedro</x:v>
      </x:c>
      <x:c r="B863" s="42" t="n">
        <x:v>2026</x:v>
      </x:c>
      <x:c r="C863" s="42" t="str">
        <x:v>T2</x:v>
      </x:c>
      <x:c r="D863" s="44" t="n">
        <x:v>46203</x:v>
      </x:c>
      <x:c r="E863" s="42" t="str">
        <x:v>Centroavante</x:v>
      </x:c>
      <x:c r="F863" s="42" t="str">
        <x:v>Chelsea FC</x:v>
      </x:c>
      <x:c r="G863" s="46" t="n">
        <x:v>7.5</x:v>
      </x:c>
      <x:c r="H863" s="46" t="n">
        <x:v>8.5</x:v>
      </x:c>
      <x:c r="I863" s="46" t="n">
        <x:v>7.5</x:v>
      </x:c>
      <x:c r="J863" s="46" t="n">
        <x:v>9</x:v>
      </x:c>
      <x:c r="K863" s="46" t="n">
        <x:f>IF(COUNT(G863,I863)=0,"",AVERAGE(G863,I863))</x:f>
        <x:v>7.5</x:v>
      </x:c>
      <x:c r="L863" s="46" t="n">
        <x:f>IF(COUNT(H863,J863)=0,"",AVERAGE(H863,J863))</x:f>
        <x:v>8.75</x:v>
      </x:c>
      <x:c r="M863" s="46" t="n">
        <x:f>IF(OR(K863="",L863=""),"",L863-K863)</x:f>
        <x:v>1.25</x:v>
      </x:c>
      <x:c r="N863" s="46" t="str">
        <x:f>IF(OR(K863="",A862&lt;&gt;A863,K862=""),"",K863-K862)</x:f>
      </x:c>
      <x:c r="O863" s="42" t="str">
        <x:v>Sem informação</x:v>
      </x:c>
      <x:c r="P863" s="42"/>
      <x:c r="Q863" s="42" t="str">
        <x:v>Tem grande potencial, mas sentiu o peso da camisa da seleção (ou a pressão) quando teve oportunidade. Tem o que provar.</x:v>
      </x:c>
      <x:c r="R863" s="42" t="str">
        <x:v>Pode ser um dos melhores atacantes do mundo</x:v>
      </x:c>
      <x:c r="S863" s="42" t="str"/>
      <x:c r="T863" s="42" t="str"/>
    </x:row>
    <x:row r="864">
      <x:c r="A864" s="42" t="str">
        <x:v>João Pedro</x:v>
      </x:c>
      <x:c r="B864" s="42" t="n">
        <x:v>2026</x:v>
      </x:c>
      <x:c r="C864" s="42" t="str">
        <x:v>T3</x:v>
      </x:c>
      <x:c r="D864" s="44" t="n">
        <x:v>46295</x:v>
      </x:c>
      <x:c r="E864" s="42" t="str">
        <x:v>Centroavante</x:v>
      </x:c>
      <x:c r="F864" s="42" t="str">
        <x:v>Chelsea FC</x:v>
      </x:c>
      <x:c r="G864" s="46"/>
      <x:c r="H864" s="46"/>
      <x:c r="I864" s="46"/>
      <x:c r="J864" s="46"/>
      <x:c r="K864" s="46" t="str">
        <x:f>IF(COUNT(G864,I864)=0,"",AVERAGE(G864,I864))</x:f>
      </x:c>
      <x:c r="L864" s="46" t="str">
        <x:f>IF(COUNT(H864,J864)=0,"",AVERAGE(H864,J864))</x:f>
      </x:c>
      <x:c r="M864" s="46" t="str">
        <x:f>IF(OR(K864="",L864=""),"",L864-K864)</x:f>
      </x:c>
      <x:c r="N864" s="46" t="str">
        <x:f>IF(OR(K864="",A863&lt;&gt;A864,K863=""),"",K864-K863)</x:f>
      </x:c>
      <x:c r="O864" s="42" t="str">
        <x:v>Sem informação</x:v>
      </x:c>
      <x:c r="P864" s="42"/>
      <x:c r="Q864" s="42" t="str"/>
      <x:c r="R864" s="42" t="str"/>
      <x:c r="S864" s="42" t="str"/>
      <x:c r="T864" s="42" t="str"/>
    </x:row>
    <x:row r="865">
      <x:c r="A865" s="42" t="str">
        <x:v>João Pedro</x:v>
      </x:c>
      <x:c r="B865" s="42" t="n">
        <x:v>2026</x:v>
      </x:c>
      <x:c r="C865" s="42" t="str">
        <x:v>T4</x:v>
      </x:c>
      <x:c r="D865" s="44" t="n">
        <x:v>46387</x:v>
      </x:c>
      <x:c r="E865" s="42" t="str">
        <x:v>Centroavante</x:v>
      </x:c>
      <x:c r="F865" s="42" t="str">
        <x:v>Chelsea FC</x:v>
      </x:c>
      <x:c r="G865" s="46"/>
      <x:c r="H865" s="46"/>
      <x:c r="I865" s="46"/>
      <x:c r="J865" s="46"/>
      <x:c r="K865" s="46" t="str">
        <x:f>IF(COUNT(G865,I865)=0,"",AVERAGE(G865,I865))</x:f>
      </x:c>
      <x:c r="L865" s="46" t="str">
        <x:f>IF(COUNT(H865,J865)=0,"",AVERAGE(H865,J865))</x:f>
      </x:c>
      <x:c r="M865" s="46" t="str">
        <x:f>IF(OR(K865="",L865=""),"",L865-K865)</x:f>
      </x:c>
      <x:c r="N865" s="46" t="str">
        <x:f>IF(OR(K865="",A864&lt;&gt;A865,K864=""),"",K865-K864)</x:f>
      </x:c>
      <x:c r="O865" s="42" t="str">
        <x:v>Sem informação</x:v>
      </x:c>
      <x:c r="P865" s="42"/>
      <x:c r="Q865" s="42" t="str"/>
      <x:c r="R865" s="42" t="str"/>
      <x:c r="S865" s="42" t="str"/>
      <x:c r="T865" s="42" t="str"/>
    </x:row>
    <x:row r="866">
      <x:c r="A866" s="42" t="str">
        <x:v>João Pedro</x:v>
      </x:c>
      <x:c r="B866" s="42" t="n">
        <x:v>2027</x:v>
      </x:c>
      <x:c r="C866" s="42" t="str">
        <x:v>T1</x:v>
      </x:c>
      <x:c r="D866" s="44" t="n">
        <x:v>46477</x:v>
      </x:c>
      <x:c r="E866" s="42" t="str">
        <x:v>Centroavante</x:v>
      </x:c>
      <x:c r="F866" s="42" t="str">
        <x:v>Chelsea FC</x:v>
      </x:c>
      <x:c r="G866" s="46"/>
      <x:c r="H866" s="46"/>
      <x:c r="I866" s="46"/>
      <x:c r="J866" s="46"/>
      <x:c r="K866" s="46" t="str">
        <x:f>IF(COUNT(G866,I866)=0,"",AVERAGE(G866,I866))</x:f>
      </x:c>
      <x:c r="L866" s="46" t="str">
        <x:f>IF(COUNT(H866,J866)=0,"",AVERAGE(H866,J866))</x:f>
      </x:c>
      <x:c r="M866" s="46" t="str">
        <x:f>IF(OR(K866="",L866=""),"",L866-K866)</x:f>
      </x:c>
      <x:c r="N866" s="46" t="str">
        <x:f>IF(OR(K866="",A865&lt;&gt;A866,K865=""),"",K866-K865)</x:f>
      </x:c>
      <x:c r="O866" s="42" t="str">
        <x:v>Sem informação</x:v>
      </x:c>
      <x:c r="P866" s="42"/>
      <x:c r="Q866" s="42" t="str"/>
      <x:c r="R866" s="42" t="str"/>
      <x:c r="S866" s="42" t="str"/>
      <x:c r="T866" s="42" t="str"/>
    </x:row>
    <x:row r="867">
      <x:c r="A867" s="42" t="str">
        <x:v>João Pedro</x:v>
      </x:c>
      <x:c r="B867" s="42" t="n">
        <x:v>2027</x:v>
      </x:c>
      <x:c r="C867" s="42" t="str">
        <x:v>T2</x:v>
      </x:c>
      <x:c r="D867" s="44" t="n">
        <x:v>46568</x:v>
      </x:c>
      <x:c r="E867" s="42" t="str">
        <x:v>Centroavante</x:v>
      </x:c>
      <x:c r="F867" s="42" t="str">
        <x:v>Chelsea FC</x:v>
      </x:c>
      <x:c r="G867" s="46"/>
      <x:c r="H867" s="46"/>
      <x:c r="I867" s="46"/>
      <x:c r="J867" s="46"/>
      <x:c r="K867" s="46" t="str">
        <x:f>IF(COUNT(G867,I867)=0,"",AVERAGE(G867,I867))</x:f>
      </x:c>
      <x:c r="L867" s="46" t="str">
        <x:f>IF(COUNT(H867,J867)=0,"",AVERAGE(H867,J867))</x:f>
      </x:c>
      <x:c r="M867" s="46" t="str">
        <x:f>IF(OR(K867="",L867=""),"",L867-K867)</x:f>
      </x:c>
      <x:c r="N867" s="46" t="str">
        <x:f>IF(OR(K867="",A866&lt;&gt;A867,K866=""),"",K867-K866)</x:f>
      </x:c>
      <x:c r="O867" s="42" t="str">
        <x:v>Sem informação</x:v>
      </x:c>
      <x:c r="P867" s="42"/>
      <x:c r="Q867" s="42" t="str"/>
      <x:c r="R867" s="42" t="str"/>
      <x:c r="S867" s="42" t="str"/>
      <x:c r="T867" s="42" t="str"/>
    </x:row>
    <x:row r="868">
      <x:c r="A868" s="42" t="str">
        <x:v>João Pedro</x:v>
      </x:c>
      <x:c r="B868" s="42" t="n">
        <x:v>2027</x:v>
      </x:c>
      <x:c r="C868" s="42" t="str">
        <x:v>T3</x:v>
      </x:c>
      <x:c r="D868" s="44" t="n">
        <x:v>46660</x:v>
      </x:c>
      <x:c r="E868" s="42" t="str">
        <x:v>Centroavante</x:v>
      </x:c>
      <x:c r="F868" s="42" t="str">
        <x:v>Chelsea FC</x:v>
      </x:c>
      <x:c r="G868" s="46"/>
      <x:c r="H868" s="46"/>
      <x:c r="I868" s="46"/>
      <x:c r="J868" s="46"/>
      <x:c r="K868" s="46" t="str">
        <x:f>IF(COUNT(G868,I868)=0,"",AVERAGE(G868,I868))</x:f>
      </x:c>
      <x:c r="L868" s="46" t="str">
        <x:f>IF(COUNT(H868,J868)=0,"",AVERAGE(H868,J868))</x:f>
      </x:c>
      <x:c r="M868" s="46" t="str">
        <x:f>IF(OR(K868="",L868=""),"",L868-K868)</x:f>
      </x:c>
      <x:c r="N868" s="46" t="str">
        <x:f>IF(OR(K868="",A867&lt;&gt;A868,K867=""),"",K868-K867)</x:f>
      </x:c>
      <x:c r="O868" s="42" t="str">
        <x:v>Sem informação</x:v>
      </x:c>
      <x:c r="P868" s="42"/>
      <x:c r="Q868" s="42" t="str"/>
      <x:c r="R868" s="42" t="str"/>
      <x:c r="S868" s="42" t="str"/>
      <x:c r="T868" s="42" t="str"/>
    </x:row>
    <x:row r="869">
      <x:c r="A869" s="42" t="str">
        <x:v>João Pedro</x:v>
      </x:c>
      <x:c r="B869" s="42" t="n">
        <x:v>2027</x:v>
      </x:c>
      <x:c r="C869" s="42" t="str">
        <x:v>T4</x:v>
      </x:c>
      <x:c r="D869" s="44" t="n">
        <x:v>46752</x:v>
      </x:c>
      <x:c r="E869" s="42" t="str">
        <x:v>Centroavante</x:v>
      </x:c>
      <x:c r="F869" s="42" t="str">
        <x:v>Chelsea FC</x:v>
      </x:c>
      <x:c r="G869" s="46"/>
      <x:c r="H869" s="46"/>
      <x:c r="I869" s="46"/>
      <x:c r="J869" s="46"/>
      <x:c r="K869" s="46" t="str">
        <x:f>IF(COUNT(G869,I869)=0,"",AVERAGE(G869,I869))</x:f>
      </x:c>
      <x:c r="L869" s="46" t="str">
        <x:f>IF(COUNT(H869,J869)=0,"",AVERAGE(H869,J869))</x:f>
      </x:c>
      <x:c r="M869" s="46" t="str">
        <x:f>IF(OR(K869="",L869=""),"",L869-K869)</x:f>
      </x:c>
      <x:c r="N869" s="46" t="str">
        <x:f>IF(OR(K869="",A868&lt;&gt;A869,K868=""),"",K869-K868)</x:f>
      </x:c>
      <x:c r="O869" s="42" t="str">
        <x:v>Sem informação</x:v>
      </x:c>
      <x:c r="P869" s="42"/>
      <x:c r="Q869" s="42" t="str"/>
      <x:c r="R869" s="42" t="str"/>
      <x:c r="S869" s="42" t="str"/>
      <x:c r="T869" s="42" t="str"/>
    </x:row>
    <x:row r="870">
      <x:c r="A870" s="42" t="str">
        <x:v>João Pedro</x:v>
      </x:c>
      <x:c r="B870" s="42" t="n">
        <x:v>2028</x:v>
      </x:c>
      <x:c r="C870" s="42" t="str">
        <x:v>T1</x:v>
      </x:c>
      <x:c r="D870" s="44" t="n">
        <x:v>46843</x:v>
      </x:c>
      <x:c r="E870" s="42" t="str">
        <x:v>Centroavante</x:v>
      </x:c>
      <x:c r="F870" s="42" t="str">
        <x:v>Chelsea FC</x:v>
      </x:c>
      <x:c r="G870" s="46"/>
      <x:c r="H870" s="46"/>
      <x:c r="I870" s="46"/>
      <x:c r="J870" s="46"/>
      <x:c r="K870" s="46" t="str">
        <x:f>IF(COUNT(G870,I870)=0,"",AVERAGE(G870,I870))</x:f>
      </x:c>
      <x:c r="L870" s="46" t="str">
        <x:f>IF(COUNT(H870,J870)=0,"",AVERAGE(H870,J870))</x:f>
      </x:c>
      <x:c r="M870" s="46" t="str">
        <x:f>IF(OR(K870="",L870=""),"",L870-K870)</x:f>
      </x:c>
      <x:c r="N870" s="46" t="str">
        <x:f>IF(OR(K870="",A869&lt;&gt;A870,K869=""),"",K870-K869)</x:f>
      </x:c>
      <x:c r="O870" s="42" t="str">
        <x:v>Sem informação</x:v>
      </x:c>
      <x:c r="P870" s="42"/>
      <x:c r="Q870" s="42" t="str"/>
      <x:c r="R870" s="42" t="str"/>
      <x:c r="S870" s="42" t="str"/>
      <x:c r="T870" s="42" t="str"/>
    </x:row>
    <x:row r="871">
      <x:c r="A871" s="42" t="str">
        <x:v>João Pedro</x:v>
      </x:c>
      <x:c r="B871" s="42" t="n">
        <x:v>2028</x:v>
      </x:c>
      <x:c r="C871" s="42" t="str">
        <x:v>T2</x:v>
      </x:c>
      <x:c r="D871" s="44" t="n">
        <x:v>46934</x:v>
      </x:c>
      <x:c r="E871" s="42" t="str">
        <x:v>Centroavante</x:v>
      </x:c>
      <x:c r="F871" s="42" t="str">
        <x:v>Chelsea FC</x:v>
      </x:c>
      <x:c r="G871" s="46"/>
      <x:c r="H871" s="46"/>
      <x:c r="I871" s="46"/>
      <x:c r="J871" s="46"/>
      <x:c r="K871" s="46" t="str">
        <x:f>IF(COUNT(G871,I871)=0,"",AVERAGE(G871,I871))</x:f>
      </x:c>
      <x:c r="L871" s="46" t="str">
        <x:f>IF(COUNT(H871,J871)=0,"",AVERAGE(H871,J871))</x:f>
      </x:c>
      <x:c r="M871" s="46" t="str">
        <x:f>IF(OR(K871="",L871=""),"",L871-K871)</x:f>
      </x:c>
      <x:c r="N871" s="46" t="str">
        <x:f>IF(OR(K871="",A870&lt;&gt;A871,K870=""),"",K871-K870)</x:f>
      </x:c>
      <x:c r="O871" s="42" t="str">
        <x:v>Sem informação</x:v>
      </x:c>
      <x:c r="P871" s="42"/>
      <x:c r="Q871" s="42" t="str"/>
      <x:c r="R871" s="42" t="str"/>
      <x:c r="S871" s="42" t="str"/>
      <x:c r="T871" s="42" t="str"/>
    </x:row>
    <x:row r="872">
      <x:c r="A872" s="42" t="str">
        <x:v>João Pedro</x:v>
      </x:c>
      <x:c r="B872" s="42" t="n">
        <x:v>2028</x:v>
      </x:c>
      <x:c r="C872" s="42" t="str">
        <x:v>T3</x:v>
      </x:c>
      <x:c r="D872" s="44" t="n">
        <x:v>47026</x:v>
      </x:c>
      <x:c r="E872" s="42" t="str">
        <x:v>Centroavante</x:v>
      </x:c>
      <x:c r="F872" s="42" t="str">
        <x:v>Chelsea FC</x:v>
      </x:c>
      <x:c r="G872" s="46"/>
      <x:c r="H872" s="46"/>
      <x:c r="I872" s="46"/>
      <x:c r="J872" s="46"/>
      <x:c r="K872" s="46" t="str">
        <x:f>IF(COUNT(G872,I872)=0,"",AVERAGE(G872,I872))</x:f>
      </x:c>
      <x:c r="L872" s="46" t="str">
        <x:f>IF(COUNT(H872,J872)=0,"",AVERAGE(H872,J872))</x:f>
      </x:c>
      <x:c r="M872" s="46" t="str">
        <x:f>IF(OR(K872="",L872=""),"",L872-K872)</x:f>
      </x:c>
      <x:c r="N872" s="46" t="str">
        <x:f>IF(OR(K872="",A871&lt;&gt;A872,K871=""),"",K872-K871)</x:f>
      </x:c>
      <x:c r="O872" s="42" t="str">
        <x:v>Sem informação</x:v>
      </x:c>
      <x:c r="P872" s="42"/>
      <x:c r="Q872" s="42" t="str"/>
      <x:c r="R872" s="42" t="str"/>
      <x:c r="S872" s="42" t="str"/>
      <x:c r="T872" s="42" t="str"/>
    </x:row>
    <x:row r="873">
      <x:c r="A873" s="42" t="str">
        <x:v>João Pedro</x:v>
      </x:c>
      <x:c r="B873" s="42" t="n">
        <x:v>2028</x:v>
      </x:c>
      <x:c r="C873" s="42" t="str">
        <x:v>T4</x:v>
      </x:c>
      <x:c r="D873" s="44" t="n">
        <x:v>47118</x:v>
      </x:c>
      <x:c r="E873" s="42" t="str">
        <x:v>Centroavante</x:v>
      </x:c>
      <x:c r="F873" s="42" t="str">
        <x:v>Chelsea FC</x:v>
      </x:c>
      <x:c r="G873" s="46"/>
      <x:c r="H873" s="46"/>
      <x:c r="I873" s="46"/>
      <x:c r="J873" s="46"/>
      <x:c r="K873" s="46" t="str">
        <x:f>IF(COUNT(G873,I873)=0,"",AVERAGE(G873,I873))</x:f>
      </x:c>
      <x:c r="L873" s="46" t="str">
        <x:f>IF(COUNT(H873,J873)=0,"",AVERAGE(H873,J873))</x:f>
      </x:c>
      <x:c r="M873" s="46" t="str">
        <x:f>IF(OR(K873="",L873=""),"",L873-K873)</x:f>
      </x:c>
      <x:c r="N873" s="46" t="str">
        <x:f>IF(OR(K873="",A872&lt;&gt;A873,K872=""),"",K873-K872)</x:f>
      </x:c>
      <x:c r="O873" s="42" t="str">
        <x:v>Sem informação</x:v>
      </x:c>
      <x:c r="P873" s="42"/>
      <x:c r="Q873" s="42" t="str"/>
      <x:c r="R873" s="42" t="str"/>
      <x:c r="S873" s="42" t="str"/>
      <x:c r="T873" s="42" t="str"/>
    </x:row>
    <x:row r="874">
      <x:c r="A874" s="42" t="str">
        <x:v>João Pedro</x:v>
      </x:c>
      <x:c r="B874" s="42" t="n">
        <x:v>2029</x:v>
      </x:c>
      <x:c r="C874" s="42" t="str">
        <x:v>T1</x:v>
      </x:c>
      <x:c r="D874" s="44" t="n">
        <x:v>47208</x:v>
      </x:c>
      <x:c r="E874" s="42" t="str">
        <x:v>Centroavante</x:v>
      </x:c>
      <x:c r="F874" s="42" t="str">
        <x:v>Chelsea FC</x:v>
      </x:c>
      <x:c r="G874" s="46"/>
      <x:c r="H874" s="46"/>
      <x:c r="I874" s="46"/>
      <x:c r="J874" s="46"/>
      <x:c r="K874" s="46" t="str">
        <x:f>IF(COUNT(G874,I874)=0,"",AVERAGE(G874,I874))</x:f>
      </x:c>
      <x:c r="L874" s="46" t="str">
        <x:f>IF(COUNT(H874,J874)=0,"",AVERAGE(H874,J874))</x:f>
      </x:c>
      <x:c r="M874" s="46" t="str">
        <x:f>IF(OR(K874="",L874=""),"",L874-K874)</x:f>
      </x:c>
      <x:c r="N874" s="46" t="str">
        <x:f>IF(OR(K874="",A873&lt;&gt;A874,K873=""),"",K874-K873)</x:f>
      </x:c>
      <x:c r="O874" s="42" t="str">
        <x:v>Sem informação</x:v>
      </x:c>
      <x:c r="P874" s="42"/>
      <x:c r="Q874" s="42" t="str"/>
      <x:c r="R874" s="42" t="str"/>
      <x:c r="S874" s="42" t="str"/>
      <x:c r="T874" s="42" t="str"/>
    </x:row>
    <x:row r="875">
      <x:c r="A875" s="42" t="str">
        <x:v>João Pedro</x:v>
      </x:c>
      <x:c r="B875" s="42" t="n">
        <x:v>2029</x:v>
      </x:c>
      <x:c r="C875" s="42" t="str">
        <x:v>T2</x:v>
      </x:c>
      <x:c r="D875" s="44" t="n">
        <x:v>47299</x:v>
      </x:c>
      <x:c r="E875" s="42" t="str">
        <x:v>Centroavante</x:v>
      </x:c>
      <x:c r="F875" s="42" t="str">
        <x:v>Chelsea FC</x:v>
      </x:c>
      <x:c r="G875" s="46"/>
      <x:c r="H875" s="46"/>
      <x:c r="I875" s="46"/>
      <x:c r="J875" s="46"/>
      <x:c r="K875" s="46" t="str">
        <x:f>IF(COUNT(G875,I875)=0,"",AVERAGE(G875,I875))</x:f>
      </x:c>
      <x:c r="L875" s="46" t="str">
        <x:f>IF(COUNT(H875,J875)=0,"",AVERAGE(H875,J875))</x:f>
      </x:c>
      <x:c r="M875" s="46" t="str">
        <x:f>IF(OR(K875="",L875=""),"",L875-K875)</x:f>
      </x:c>
      <x:c r="N875" s="46" t="str">
        <x:f>IF(OR(K875="",A874&lt;&gt;A875,K874=""),"",K875-K874)</x:f>
      </x:c>
      <x:c r="O875" s="42" t="str">
        <x:v>Sem informação</x:v>
      </x:c>
      <x:c r="P875" s="42"/>
      <x:c r="Q875" s="42" t="str"/>
      <x:c r="R875" s="42" t="str"/>
      <x:c r="S875" s="42" t="str"/>
      <x:c r="T875" s="42" t="str"/>
    </x:row>
    <x:row r="876">
      <x:c r="A876" s="42" t="str">
        <x:v>João Pedro</x:v>
      </x:c>
      <x:c r="B876" s="42" t="n">
        <x:v>2029</x:v>
      </x:c>
      <x:c r="C876" s="42" t="str">
        <x:v>T3</x:v>
      </x:c>
      <x:c r="D876" s="44" t="n">
        <x:v>47391</x:v>
      </x:c>
      <x:c r="E876" s="42" t="str">
        <x:v>Centroavante</x:v>
      </x:c>
      <x:c r="F876" s="42" t="str">
        <x:v>Chelsea FC</x:v>
      </x:c>
      <x:c r="G876" s="46"/>
      <x:c r="H876" s="46"/>
      <x:c r="I876" s="46"/>
      <x:c r="J876" s="46"/>
      <x:c r="K876" s="46" t="str">
        <x:f>IF(COUNT(G876,I876)=0,"",AVERAGE(G876,I876))</x:f>
      </x:c>
      <x:c r="L876" s="46" t="str">
        <x:f>IF(COUNT(H876,J876)=0,"",AVERAGE(H876,J876))</x:f>
      </x:c>
      <x:c r="M876" s="46" t="str">
        <x:f>IF(OR(K876="",L876=""),"",L876-K876)</x:f>
      </x:c>
      <x:c r="N876" s="46" t="str">
        <x:f>IF(OR(K876="",A875&lt;&gt;A876,K875=""),"",K876-K875)</x:f>
      </x:c>
      <x:c r="O876" s="42" t="str">
        <x:v>Sem informação</x:v>
      </x:c>
      <x:c r="P876" s="42"/>
      <x:c r="Q876" s="42" t="str"/>
      <x:c r="R876" s="42" t="str"/>
      <x:c r="S876" s="42" t="str"/>
      <x:c r="T876" s="42" t="str"/>
    </x:row>
    <x:row r="877">
      <x:c r="A877" s="42" t="str">
        <x:v>João Pedro</x:v>
      </x:c>
      <x:c r="B877" s="42" t="n">
        <x:v>2029</x:v>
      </x:c>
      <x:c r="C877" s="42" t="str">
        <x:v>T4</x:v>
      </x:c>
      <x:c r="D877" s="44" t="n">
        <x:v>47483</x:v>
      </x:c>
      <x:c r="E877" s="42" t="str">
        <x:v>Centroavante</x:v>
      </x:c>
      <x:c r="F877" s="42" t="str">
        <x:v>Chelsea FC</x:v>
      </x:c>
      <x:c r="G877" s="46"/>
      <x:c r="H877" s="46"/>
      <x:c r="I877" s="46"/>
      <x:c r="J877" s="46"/>
      <x:c r="K877" s="46" t="str">
        <x:f>IF(COUNT(G877,I877)=0,"",AVERAGE(G877,I877))</x:f>
      </x:c>
      <x:c r="L877" s="46" t="str">
        <x:f>IF(COUNT(H877,J877)=0,"",AVERAGE(H877,J877))</x:f>
      </x:c>
      <x:c r="M877" s="46" t="str">
        <x:f>IF(OR(K877="",L877=""),"",L877-K877)</x:f>
      </x:c>
      <x:c r="N877" s="46" t="str">
        <x:f>IF(OR(K877="",A876&lt;&gt;A877,K876=""),"",K877-K876)</x:f>
      </x:c>
      <x:c r="O877" s="42" t="str">
        <x:v>Sem informação</x:v>
      </x:c>
      <x:c r="P877" s="42"/>
      <x:c r="Q877" s="42" t="str"/>
      <x:c r="R877" s="42" t="str"/>
      <x:c r="S877" s="42" t="str"/>
      <x:c r="T877" s="42" t="str"/>
    </x:row>
    <x:row r="878">
      <x:c r="A878" s="42" t="str">
        <x:v>João Pedro</x:v>
      </x:c>
      <x:c r="B878" s="42" t="n">
        <x:v>2030</x:v>
      </x:c>
      <x:c r="C878" s="42" t="str">
        <x:v>T1</x:v>
      </x:c>
      <x:c r="D878" s="44" t="n">
        <x:v>47573</x:v>
      </x:c>
      <x:c r="E878" s="42" t="str">
        <x:v>Centroavante</x:v>
      </x:c>
      <x:c r="F878" s="42" t="str">
        <x:v>Chelsea FC</x:v>
      </x:c>
      <x:c r="G878" s="46"/>
      <x:c r="H878" s="46"/>
      <x:c r="I878" s="46"/>
      <x:c r="J878" s="46"/>
      <x:c r="K878" s="46" t="str">
        <x:f>IF(COUNT(G878,I878)=0,"",AVERAGE(G878,I878))</x:f>
      </x:c>
      <x:c r="L878" s="46" t="str">
        <x:f>IF(COUNT(H878,J878)=0,"",AVERAGE(H878,J878))</x:f>
      </x:c>
      <x:c r="M878" s="46" t="str">
        <x:f>IF(OR(K878="",L878=""),"",L878-K878)</x:f>
      </x:c>
      <x:c r="N878" s="46" t="str">
        <x:f>IF(OR(K878="",A877&lt;&gt;A878,K877=""),"",K878-K877)</x:f>
      </x:c>
      <x:c r="O878" s="42" t="str">
        <x:v>Sem informação</x:v>
      </x:c>
      <x:c r="P878" s="42"/>
      <x:c r="Q878" s="42" t="str"/>
      <x:c r="R878" s="42" t="str"/>
      <x:c r="S878" s="42" t="str"/>
      <x:c r="T878" s="42" t="str"/>
    </x:row>
    <x:row r="879">
      <x:c r="A879" s="42" t="str">
        <x:v>João Pedro</x:v>
      </x:c>
      <x:c r="B879" s="42" t="n">
        <x:v>2030</x:v>
      </x:c>
      <x:c r="C879" s="42" t="str">
        <x:v>T2</x:v>
      </x:c>
      <x:c r="D879" s="44" t="n">
        <x:v>47664</x:v>
      </x:c>
      <x:c r="E879" s="42" t="str">
        <x:v>Centroavante</x:v>
      </x:c>
      <x:c r="F879" s="42" t="str">
        <x:v>Chelsea FC</x:v>
      </x:c>
      <x:c r="G879" s="46"/>
      <x:c r="H879" s="46"/>
      <x:c r="I879" s="46"/>
      <x:c r="J879" s="46"/>
      <x:c r="K879" s="46" t="str">
        <x:f>IF(COUNT(G879,I879)=0,"",AVERAGE(G879,I879))</x:f>
      </x:c>
      <x:c r="L879" s="46" t="str">
        <x:f>IF(COUNT(H879,J879)=0,"",AVERAGE(H879,J879))</x:f>
      </x:c>
      <x:c r="M879" s="46" t="str">
        <x:f>IF(OR(K879="",L879=""),"",L879-K879)</x:f>
      </x:c>
      <x:c r="N879" s="46" t="str">
        <x:f>IF(OR(K879="",A878&lt;&gt;A879,K878=""),"",K879-K878)</x:f>
      </x:c>
      <x:c r="O879" s="42" t="str">
        <x:v>Sem informação</x:v>
      </x:c>
      <x:c r="P879" s="42"/>
      <x:c r="Q879" s="42" t="str"/>
      <x:c r="R879" s="42" t="str"/>
      <x:c r="S879" s="42" t="str"/>
      <x:c r="T879" s="42" t="str"/>
    </x:row>
    <x:row r="880">
      <x:c r="A880" s="42" t="str">
        <x:v>João Pedro</x:v>
      </x:c>
      <x:c r="B880" s="42" t="n">
        <x:v>2030</x:v>
      </x:c>
      <x:c r="C880" s="42" t="str">
        <x:v>T3</x:v>
      </x:c>
      <x:c r="D880" s="44" t="n">
        <x:v>47756</x:v>
      </x:c>
      <x:c r="E880" s="42" t="str">
        <x:v>Centroavante</x:v>
      </x:c>
      <x:c r="F880" s="42" t="str">
        <x:v>Chelsea FC</x:v>
      </x:c>
      <x:c r="G880" s="46"/>
      <x:c r="H880" s="46"/>
      <x:c r="I880" s="46"/>
      <x:c r="J880" s="46"/>
      <x:c r="K880" s="46" t="str">
        <x:f>IF(COUNT(G880,I880)=0,"",AVERAGE(G880,I880))</x:f>
      </x:c>
      <x:c r="L880" s="46" t="str">
        <x:f>IF(COUNT(H880,J880)=0,"",AVERAGE(H880,J880))</x:f>
      </x:c>
      <x:c r="M880" s="46" t="str">
        <x:f>IF(OR(K880="",L880=""),"",L880-K880)</x:f>
      </x:c>
      <x:c r="N880" s="46" t="str">
        <x:f>IF(OR(K880="",A879&lt;&gt;A880,K879=""),"",K880-K879)</x:f>
      </x:c>
      <x:c r="O880" s="42" t="str">
        <x:v>Sem informação</x:v>
      </x:c>
      <x:c r="P880" s="42"/>
      <x:c r="Q880" s="42" t="str"/>
      <x:c r="R880" s="42" t="str"/>
      <x:c r="S880" s="42" t="str"/>
      <x:c r="T880" s="42" t="str"/>
    </x:row>
    <x:row r="881">
      <x:c r="A881" s="42" t="str">
        <x:v>João Pedro</x:v>
      </x:c>
      <x:c r="B881" s="42" t="n">
        <x:v>2030</x:v>
      </x:c>
      <x:c r="C881" s="42" t="str">
        <x:v>T4</x:v>
      </x:c>
      <x:c r="D881" s="44" t="n">
        <x:v>47848</x:v>
      </x:c>
      <x:c r="E881" s="42" t="str">
        <x:v>Centroavante</x:v>
      </x:c>
      <x:c r="F881" s="42" t="str">
        <x:v>Chelsea FC</x:v>
      </x:c>
      <x:c r="G881" s="46"/>
      <x:c r="H881" s="46"/>
      <x:c r="I881" s="46"/>
      <x:c r="J881" s="46"/>
      <x:c r="K881" s="46" t="str">
        <x:f>IF(COUNT(G881,I881)=0,"",AVERAGE(G881,I881))</x:f>
      </x:c>
      <x:c r="L881" s="46" t="str">
        <x:f>IF(COUNT(H881,J881)=0,"",AVERAGE(H881,J881))</x:f>
      </x:c>
      <x:c r="M881" s="46" t="str">
        <x:f>IF(OR(K881="",L881=""),"",L881-K881)</x:f>
      </x:c>
      <x:c r="N881" s="46" t="str">
        <x:f>IF(OR(K881="",A880&lt;&gt;A881,K880=""),"",K881-K880)</x:f>
      </x:c>
      <x:c r="O881" s="42" t="str">
        <x:v>Sem informação</x:v>
      </x:c>
      <x:c r="P881" s="42"/>
      <x:c r="Q881" s="42" t="str"/>
      <x:c r="R881" s="42" t="str"/>
      <x:c r="S881" s="42" t="str"/>
      <x:c r="T881" s="42" t="str"/>
    </x:row>
    <x:row r="882">
      <x:c r="A882" s="42" t="str">
        <x:v>João Victor</x:v>
      </x:c>
      <x:c r="B882" s="42" t="n">
        <x:v>2026</x:v>
      </x:c>
      <x:c r="C882" s="42" t="str">
        <x:v>T1</x:v>
      </x:c>
      <x:c r="D882" s="44" t="n">
        <x:v>46112</x:v>
      </x:c>
      <x:c r="E882" s="42" t="str">
        <x:v>Lateral-esquerdo</x:v>
      </x:c>
      <x:c r="F882" s="42" t="str">
        <x:v>Tottenham Hotspur</x:v>
      </x:c>
      <x:c r="G882" s="46"/>
      <x:c r="H882" s="46"/>
      <x:c r="I882" s="46"/>
      <x:c r="J882" s="46"/>
      <x:c r="K882" s="46" t="str">
        <x:f>IF(COUNT(G882,I882)=0,"",AVERAGE(G882,I882))</x:f>
      </x:c>
      <x:c r="L882" s="46" t="str">
        <x:f>IF(COUNT(H882,J882)=0,"",AVERAGE(H882,J882))</x:f>
      </x:c>
      <x:c r="M882" s="46" t="str">
        <x:f>IF(OR(K882="",L882=""),"",L882-K882)</x:f>
      </x:c>
      <x:c r="N882" s="46" t="str">
        <x:f>IF(OR(K882="",A881&lt;&gt;A882,K881=""),"",K882-K881)</x:f>
      </x:c>
      <x:c r="O882" s="42" t="str">
        <x:v>Sem informação</x:v>
      </x:c>
      <x:c r="P882" s="42"/>
      <x:c r="Q882" s="42" t="str"/>
      <x:c r="R882" s="42" t="str"/>
      <x:c r="S882" s="42" t="str"/>
      <x:c r="T882" s="42" t="str"/>
    </x:row>
    <x:row r="883">
      <x:c r="A883" s="42" t="str">
        <x:v>João Victor</x:v>
      </x:c>
      <x:c r="B883" s="42" t="n">
        <x:v>2026</x:v>
      </x:c>
      <x:c r="C883" s="42" t="str">
        <x:v>T2</x:v>
      </x:c>
      <x:c r="D883" s="44" t="n">
        <x:v>46203</x:v>
      </x:c>
      <x:c r="E883" s="42" t="str">
        <x:v>Lateral-esquerdo</x:v>
      </x:c>
      <x:c r="F883" s="42" t="str">
        <x:v>Tottenham Hotspur</x:v>
      </x:c>
      <x:c r="G883" s="46" t="n">
        <x:v>6.5</x:v>
      </x:c>
      <x:c r="H883" s="46" t="n">
        <x:v>8</x:v>
      </x:c>
      <x:c r="I883" s="46" t="n">
        <x:v>6.5</x:v>
      </x:c>
      <x:c r="J883" s="46" t="n">
        <x:v>8</x:v>
      </x:c>
      <x:c r="K883" s="46" t="n">
        <x:f>IF(COUNT(G883,I883)=0,"",AVERAGE(G883,I883))</x:f>
        <x:v>6.5</x:v>
      </x:c>
      <x:c r="L883" s="46" t="n">
        <x:f>IF(COUNT(H883,J883)=0,"",AVERAGE(H883,J883))</x:f>
        <x:v>8</x:v>
      </x:c>
      <x:c r="M883" s="46" t="n">
        <x:f>IF(OR(K883="",L883=""),"",L883-K883)</x:f>
        <x:v>1.5</x:v>
      </x:c>
      <x:c r="N883" s="46" t="str">
        <x:f>IF(OR(K883="",A882&lt;&gt;A883,K882=""),"",K883-K882)</x:f>
      </x:c>
      <x:c r="O883" s="42" t="str">
        <x:v>Sem informação</x:v>
      </x:c>
      <x:c r="P883" s="42"/>
      <x:c r="Q883" s="42" t="str"/>
      <x:c r="R883" s="42" t="str"/>
      <x:c r="S883" s="42" t="str"/>
      <x:c r="T883" s="42" t="str"/>
    </x:row>
    <x:row r="884">
      <x:c r="A884" s="42" t="str">
        <x:v>João Victor</x:v>
      </x:c>
      <x:c r="B884" s="42" t="n">
        <x:v>2026</x:v>
      </x:c>
      <x:c r="C884" s="42" t="str">
        <x:v>T3</x:v>
      </x:c>
      <x:c r="D884" s="44" t="n">
        <x:v>46295</x:v>
      </x:c>
      <x:c r="E884" s="42" t="str">
        <x:v>Lateral-esquerdo</x:v>
      </x:c>
      <x:c r="F884" s="42" t="str">
        <x:v>Tottenham Hotspur</x:v>
      </x:c>
      <x:c r="G884" s="46"/>
      <x:c r="H884" s="46"/>
      <x:c r="I884" s="46"/>
      <x:c r="J884" s="46"/>
      <x:c r="K884" s="46" t="str">
        <x:f>IF(COUNT(G884,I884)=0,"",AVERAGE(G884,I884))</x:f>
      </x:c>
      <x:c r="L884" s="46" t="str">
        <x:f>IF(COUNT(H884,J884)=0,"",AVERAGE(H884,J884))</x:f>
      </x:c>
      <x:c r="M884" s="46" t="str">
        <x:f>IF(OR(K884="",L884=""),"",L884-K884)</x:f>
      </x:c>
      <x:c r="N884" s="46" t="str">
        <x:f>IF(OR(K884="",A883&lt;&gt;A884,K883=""),"",K884-K883)</x:f>
      </x:c>
      <x:c r="O884" s="42" t="str">
        <x:v>Sem informação</x:v>
      </x:c>
      <x:c r="P884" s="42"/>
      <x:c r="Q884" s="42" t="str"/>
      <x:c r="R884" s="42" t="str"/>
      <x:c r="S884" s="42" t="str"/>
      <x:c r="T884" s="42" t="str"/>
    </x:row>
    <x:row r="885">
      <x:c r="A885" s="42" t="str">
        <x:v>João Victor</x:v>
      </x:c>
      <x:c r="B885" s="42" t="n">
        <x:v>2026</x:v>
      </x:c>
      <x:c r="C885" s="42" t="str">
        <x:v>T4</x:v>
      </x:c>
      <x:c r="D885" s="44" t="n">
        <x:v>46387</x:v>
      </x:c>
      <x:c r="E885" s="42" t="str">
        <x:v>Lateral-esquerdo</x:v>
      </x:c>
      <x:c r="F885" s="42" t="str">
        <x:v>Tottenham Hotspur</x:v>
      </x:c>
      <x:c r="G885" s="46"/>
      <x:c r="H885" s="46"/>
      <x:c r="I885" s="46"/>
      <x:c r="J885" s="46"/>
      <x:c r="K885" s="46" t="str">
        <x:f>IF(COUNT(G885,I885)=0,"",AVERAGE(G885,I885))</x:f>
      </x:c>
      <x:c r="L885" s="46" t="str">
        <x:f>IF(COUNT(H885,J885)=0,"",AVERAGE(H885,J885))</x:f>
      </x:c>
      <x:c r="M885" s="46" t="str">
        <x:f>IF(OR(K885="",L885=""),"",L885-K885)</x:f>
      </x:c>
      <x:c r="N885" s="46" t="str">
        <x:f>IF(OR(K885="",A884&lt;&gt;A885,K884=""),"",K885-K884)</x:f>
      </x:c>
      <x:c r="O885" s="42" t="str">
        <x:v>Sem informação</x:v>
      </x:c>
      <x:c r="P885" s="42"/>
      <x:c r="Q885" s="42" t="str"/>
      <x:c r="R885" s="42" t="str"/>
      <x:c r="S885" s="42" t="str"/>
      <x:c r="T885" s="42" t="str"/>
    </x:row>
    <x:row r="886">
      <x:c r="A886" s="42" t="str">
        <x:v>João Victor</x:v>
      </x:c>
      <x:c r="B886" s="42" t="n">
        <x:v>2027</x:v>
      </x:c>
      <x:c r="C886" s="42" t="str">
        <x:v>T1</x:v>
      </x:c>
      <x:c r="D886" s="44" t="n">
        <x:v>46477</x:v>
      </x:c>
      <x:c r="E886" s="42" t="str">
        <x:v>Lateral-esquerdo</x:v>
      </x:c>
      <x:c r="F886" s="42" t="str">
        <x:v>Tottenham Hotspur</x:v>
      </x:c>
      <x:c r="G886" s="46"/>
      <x:c r="H886" s="46"/>
      <x:c r="I886" s="46"/>
      <x:c r="J886" s="46"/>
      <x:c r="K886" s="46" t="str">
        <x:f>IF(COUNT(G886,I886)=0,"",AVERAGE(G886,I886))</x:f>
      </x:c>
      <x:c r="L886" s="46" t="str">
        <x:f>IF(COUNT(H886,J886)=0,"",AVERAGE(H886,J886))</x:f>
      </x:c>
      <x:c r="M886" s="46" t="str">
        <x:f>IF(OR(K886="",L886=""),"",L886-K886)</x:f>
      </x:c>
      <x:c r="N886" s="46" t="str">
        <x:f>IF(OR(K886="",A885&lt;&gt;A886,K885=""),"",K886-K885)</x:f>
      </x:c>
      <x:c r="O886" s="42" t="str">
        <x:v>Sem informação</x:v>
      </x:c>
      <x:c r="P886" s="42"/>
      <x:c r="Q886" s="42" t="str"/>
      <x:c r="R886" s="42" t="str"/>
      <x:c r="S886" s="42" t="str"/>
      <x:c r="T886" s="42" t="str"/>
    </x:row>
    <x:row r="887">
      <x:c r="A887" s="42" t="str">
        <x:v>João Victor</x:v>
      </x:c>
      <x:c r="B887" s="42" t="n">
        <x:v>2027</x:v>
      </x:c>
      <x:c r="C887" s="42" t="str">
        <x:v>T2</x:v>
      </x:c>
      <x:c r="D887" s="44" t="n">
        <x:v>46568</x:v>
      </x:c>
      <x:c r="E887" s="42" t="str">
        <x:v>Lateral-esquerdo</x:v>
      </x:c>
      <x:c r="F887" s="42" t="str">
        <x:v>Tottenham Hotspur</x:v>
      </x:c>
      <x:c r="G887" s="46"/>
      <x:c r="H887" s="46"/>
      <x:c r="I887" s="46"/>
      <x:c r="J887" s="46"/>
      <x:c r="K887" s="46" t="str">
        <x:f>IF(COUNT(G887,I887)=0,"",AVERAGE(G887,I887))</x:f>
      </x:c>
      <x:c r="L887" s="46" t="str">
        <x:f>IF(COUNT(H887,J887)=0,"",AVERAGE(H887,J887))</x:f>
      </x:c>
      <x:c r="M887" s="46" t="str">
        <x:f>IF(OR(K887="",L887=""),"",L887-K887)</x:f>
      </x:c>
      <x:c r="N887" s="46" t="str">
        <x:f>IF(OR(K887="",A886&lt;&gt;A887,K886=""),"",K887-K886)</x:f>
      </x:c>
      <x:c r="O887" s="42" t="str">
        <x:v>Sem informação</x:v>
      </x:c>
      <x:c r="P887" s="42"/>
      <x:c r="Q887" s="42" t="str"/>
      <x:c r="R887" s="42" t="str"/>
      <x:c r="S887" s="42" t="str"/>
      <x:c r="T887" s="42" t="str"/>
    </x:row>
    <x:row r="888">
      <x:c r="A888" s="42" t="str">
        <x:v>João Victor</x:v>
      </x:c>
      <x:c r="B888" s="42" t="n">
        <x:v>2027</x:v>
      </x:c>
      <x:c r="C888" s="42" t="str">
        <x:v>T3</x:v>
      </x:c>
      <x:c r="D888" s="44" t="n">
        <x:v>46660</x:v>
      </x:c>
      <x:c r="E888" s="42" t="str">
        <x:v>Lateral-esquerdo</x:v>
      </x:c>
      <x:c r="F888" s="42" t="str">
        <x:v>Tottenham Hotspur</x:v>
      </x:c>
      <x:c r="G888" s="46"/>
      <x:c r="H888" s="46"/>
      <x:c r="I888" s="46"/>
      <x:c r="J888" s="46"/>
      <x:c r="K888" s="46" t="str">
        <x:f>IF(COUNT(G888,I888)=0,"",AVERAGE(G888,I888))</x:f>
      </x:c>
      <x:c r="L888" s="46" t="str">
        <x:f>IF(COUNT(H888,J888)=0,"",AVERAGE(H888,J888))</x:f>
      </x:c>
      <x:c r="M888" s="46" t="str">
        <x:f>IF(OR(K888="",L888=""),"",L888-K888)</x:f>
      </x:c>
      <x:c r="N888" s="46" t="str">
        <x:f>IF(OR(K888="",A887&lt;&gt;A888,K887=""),"",K888-K887)</x:f>
      </x:c>
      <x:c r="O888" s="42" t="str">
        <x:v>Sem informação</x:v>
      </x:c>
      <x:c r="P888" s="42"/>
      <x:c r="Q888" s="42" t="str"/>
      <x:c r="R888" s="42" t="str"/>
      <x:c r="S888" s="42" t="str"/>
      <x:c r="T888" s="42" t="str"/>
    </x:row>
    <x:row r="889">
      <x:c r="A889" s="42" t="str">
        <x:v>João Victor</x:v>
      </x:c>
      <x:c r="B889" s="42" t="n">
        <x:v>2027</x:v>
      </x:c>
      <x:c r="C889" s="42" t="str">
        <x:v>T4</x:v>
      </x:c>
      <x:c r="D889" s="44" t="n">
        <x:v>46752</x:v>
      </x:c>
      <x:c r="E889" s="42" t="str">
        <x:v>Lateral-esquerdo</x:v>
      </x:c>
      <x:c r="F889" s="42" t="str">
        <x:v>Tottenham Hotspur</x:v>
      </x:c>
      <x:c r="G889" s="46"/>
      <x:c r="H889" s="46"/>
      <x:c r="I889" s="46"/>
      <x:c r="J889" s="46"/>
      <x:c r="K889" s="46" t="str">
        <x:f>IF(COUNT(G889,I889)=0,"",AVERAGE(G889,I889))</x:f>
      </x:c>
      <x:c r="L889" s="46" t="str">
        <x:f>IF(COUNT(H889,J889)=0,"",AVERAGE(H889,J889))</x:f>
      </x:c>
      <x:c r="M889" s="46" t="str">
        <x:f>IF(OR(K889="",L889=""),"",L889-K889)</x:f>
      </x:c>
      <x:c r="N889" s="46" t="str">
        <x:f>IF(OR(K889="",A888&lt;&gt;A889,K888=""),"",K889-K888)</x:f>
      </x:c>
      <x:c r="O889" s="42" t="str">
        <x:v>Sem informação</x:v>
      </x:c>
      <x:c r="P889" s="42"/>
      <x:c r="Q889" s="42" t="str"/>
      <x:c r="R889" s="42" t="str"/>
      <x:c r="S889" s="42" t="str"/>
      <x:c r="T889" s="42" t="str"/>
    </x:row>
    <x:row r="890">
      <x:c r="A890" s="42" t="str">
        <x:v>João Victor</x:v>
      </x:c>
      <x:c r="B890" s="42" t="n">
        <x:v>2028</x:v>
      </x:c>
      <x:c r="C890" s="42" t="str">
        <x:v>T1</x:v>
      </x:c>
      <x:c r="D890" s="44" t="n">
        <x:v>46843</x:v>
      </x:c>
      <x:c r="E890" s="42" t="str">
        <x:v>Lateral-esquerdo</x:v>
      </x:c>
      <x:c r="F890" s="42" t="str">
        <x:v>Tottenham Hotspur</x:v>
      </x:c>
      <x:c r="G890" s="46"/>
      <x:c r="H890" s="46"/>
      <x:c r="I890" s="46"/>
      <x:c r="J890" s="46"/>
      <x:c r="K890" s="46" t="str">
        <x:f>IF(COUNT(G890,I890)=0,"",AVERAGE(G890,I890))</x:f>
      </x:c>
      <x:c r="L890" s="46" t="str">
        <x:f>IF(COUNT(H890,J890)=0,"",AVERAGE(H890,J890))</x:f>
      </x:c>
      <x:c r="M890" s="46" t="str">
        <x:f>IF(OR(K890="",L890=""),"",L890-K890)</x:f>
      </x:c>
      <x:c r="N890" s="46" t="str">
        <x:f>IF(OR(K890="",A889&lt;&gt;A890,K889=""),"",K890-K889)</x:f>
      </x:c>
      <x:c r="O890" s="42" t="str">
        <x:v>Sem informação</x:v>
      </x:c>
      <x:c r="P890" s="42"/>
      <x:c r="Q890" s="42" t="str"/>
      <x:c r="R890" s="42" t="str"/>
      <x:c r="S890" s="42" t="str"/>
      <x:c r="T890" s="42" t="str"/>
    </x:row>
    <x:row r="891">
      <x:c r="A891" s="42" t="str">
        <x:v>João Victor</x:v>
      </x:c>
      <x:c r="B891" s="42" t="n">
        <x:v>2028</x:v>
      </x:c>
      <x:c r="C891" s="42" t="str">
        <x:v>T2</x:v>
      </x:c>
      <x:c r="D891" s="44" t="n">
        <x:v>46934</x:v>
      </x:c>
      <x:c r="E891" s="42" t="str">
        <x:v>Lateral-esquerdo</x:v>
      </x:c>
      <x:c r="F891" s="42" t="str">
        <x:v>Tottenham Hotspur</x:v>
      </x:c>
      <x:c r="G891" s="46"/>
      <x:c r="H891" s="46"/>
      <x:c r="I891" s="46"/>
      <x:c r="J891" s="46"/>
      <x:c r="K891" s="46" t="str">
        <x:f>IF(COUNT(G891,I891)=0,"",AVERAGE(G891,I891))</x:f>
      </x:c>
      <x:c r="L891" s="46" t="str">
        <x:f>IF(COUNT(H891,J891)=0,"",AVERAGE(H891,J891))</x:f>
      </x:c>
      <x:c r="M891" s="46" t="str">
        <x:f>IF(OR(K891="",L891=""),"",L891-K891)</x:f>
      </x:c>
      <x:c r="N891" s="46" t="str">
        <x:f>IF(OR(K891="",A890&lt;&gt;A891,K890=""),"",K891-K890)</x:f>
      </x:c>
      <x:c r="O891" s="42" t="str">
        <x:v>Sem informação</x:v>
      </x:c>
      <x:c r="P891" s="42"/>
      <x:c r="Q891" s="42" t="str"/>
      <x:c r="R891" s="42" t="str"/>
      <x:c r="S891" s="42" t="str"/>
      <x:c r="T891" s="42" t="str"/>
    </x:row>
    <x:row r="892">
      <x:c r="A892" s="42" t="str">
        <x:v>João Victor</x:v>
      </x:c>
      <x:c r="B892" s="42" t="n">
        <x:v>2028</x:v>
      </x:c>
      <x:c r="C892" s="42" t="str">
        <x:v>T3</x:v>
      </x:c>
      <x:c r="D892" s="44" t="n">
        <x:v>47026</x:v>
      </x:c>
      <x:c r="E892" s="42" t="str">
        <x:v>Lateral-esquerdo</x:v>
      </x:c>
      <x:c r="F892" s="42" t="str">
        <x:v>Tottenham Hotspur</x:v>
      </x:c>
      <x:c r="G892" s="46"/>
      <x:c r="H892" s="46"/>
      <x:c r="I892" s="46"/>
      <x:c r="J892" s="46"/>
      <x:c r="K892" s="46" t="str">
        <x:f>IF(COUNT(G892,I892)=0,"",AVERAGE(G892,I892))</x:f>
      </x:c>
      <x:c r="L892" s="46" t="str">
        <x:f>IF(COUNT(H892,J892)=0,"",AVERAGE(H892,J892))</x:f>
      </x:c>
      <x:c r="M892" s="46" t="str">
        <x:f>IF(OR(K892="",L892=""),"",L892-K892)</x:f>
      </x:c>
      <x:c r="N892" s="46" t="str">
        <x:f>IF(OR(K892="",A891&lt;&gt;A892,K891=""),"",K892-K891)</x:f>
      </x:c>
      <x:c r="O892" s="42" t="str">
        <x:v>Sem informação</x:v>
      </x:c>
      <x:c r="P892" s="42"/>
      <x:c r="Q892" s="42" t="str"/>
      <x:c r="R892" s="42" t="str"/>
      <x:c r="S892" s="42" t="str"/>
      <x:c r="T892" s="42" t="str"/>
    </x:row>
    <x:row r="893">
      <x:c r="A893" s="42" t="str">
        <x:v>João Victor</x:v>
      </x:c>
      <x:c r="B893" s="42" t="n">
        <x:v>2028</x:v>
      </x:c>
      <x:c r="C893" s="42" t="str">
        <x:v>T4</x:v>
      </x:c>
      <x:c r="D893" s="44" t="n">
        <x:v>47118</x:v>
      </x:c>
      <x:c r="E893" s="42" t="str">
        <x:v>Lateral-esquerdo</x:v>
      </x:c>
      <x:c r="F893" s="42" t="str">
        <x:v>Tottenham Hotspur</x:v>
      </x:c>
      <x:c r="G893" s="46"/>
      <x:c r="H893" s="46"/>
      <x:c r="I893" s="46"/>
      <x:c r="J893" s="46"/>
      <x:c r="K893" s="46" t="str">
        <x:f>IF(COUNT(G893,I893)=0,"",AVERAGE(G893,I893))</x:f>
      </x:c>
      <x:c r="L893" s="46" t="str">
        <x:f>IF(COUNT(H893,J893)=0,"",AVERAGE(H893,J893))</x:f>
      </x:c>
      <x:c r="M893" s="46" t="str">
        <x:f>IF(OR(K893="",L893=""),"",L893-K893)</x:f>
      </x:c>
      <x:c r="N893" s="46" t="str">
        <x:f>IF(OR(K893="",A892&lt;&gt;A893,K892=""),"",K893-K892)</x:f>
      </x:c>
      <x:c r="O893" s="42" t="str">
        <x:v>Sem informação</x:v>
      </x:c>
      <x:c r="P893" s="42"/>
      <x:c r="Q893" s="42" t="str"/>
      <x:c r="R893" s="42" t="str"/>
      <x:c r="S893" s="42" t="str"/>
      <x:c r="T893" s="42" t="str"/>
    </x:row>
    <x:row r="894">
      <x:c r="A894" s="42" t="str">
        <x:v>João Victor</x:v>
      </x:c>
      <x:c r="B894" s="42" t="n">
        <x:v>2029</x:v>
      </x:c>
      <x:c r="C894" s="42" t="str">
        <x:v>T1</x:v>
      </x:c>
      <x:c r="D894" s="44" t="n">
        <x:v>47208</x:v>
      </x:c>
      <x:c r="E894" s="42" t="str">
        <x:v>Lateral-esquerdo</x:v>
      </x:c>
      <x:c r="F894" s="42" t="str">
        <x:v>Tottenham Hotspur</x:v>
      </x:c>
      <x:c r="G894" s="46"/>
      <x:c r="H894" s="46"/>
      <x:c r="I894" s="46"/>
      <x:c r="J894" s="46"/>
      <x:c r="K894" s="46" t="str">
        <x:f>IF(COUNT(G894,I894)=0,"",AVERAGE(G894,I894))</x:f>
      </x:c>
      <x:c r="L894" s="46" t="str">
        <x:f>IF(COUNT(H894,J894)=0,"",AVERAGE(H894,J894))</x:f>
      </x:c>
      <x:c r="M894" s="46" t="str">
        <x:f>IF(OR(K894="",L894=""),"",L894-K894)</x:f>
      </x:c>
      <x:c r="N894" s="46" t="str">
        <x:f>IF(OR(K894="",A893&lt;&gt;A894,K893=""),"",K894-K893)</x:f>
      </x:c>
      <x:c r="O894" s="42" t="str">
        <x:v>Sem informação</x:v>
      </x:c>
      <x:c r="P894" s="42"/>
      <x:c r="Q894" s="42" t="str"/>
      <x:c r="R894" s="42" t="str"/>
      <x:c r="S894" s="42" t="str"/>
      <x:c r="T894" s="42" t="str"/>
    </x:row>
    <x:row r="895">
      <x:c r="A895" s="42" t="str">
        <x:v>João Victor</x:v>
      </x:c>
      <x:c r="B895" s="42" t="n">
        <x:v>2029</x:v>
      </x:c>
      <x:c r="C895" s="42" t="str">
        <x:v>T2</x:v>
      </x:c>
      <x:c r="D895" s="44" t="n">
        <x:v>47299</x:v>
      </x:c>
      <x:c r="E895" s="42" t="str">
        <x:v>Lateral-esquerdo</x:v>
      </x:c>
      <x:c r="F895" s="42" t="str">
        <x:v>Tottenham Hotspur</x:v>
      </x:c>
      <x:c r="G895" s="46"/>
      <x:c r="H895" s="46"/>
      <x:c r="I895" s="46"/>
      <x:c r="J895" s="46"/>
      <x:c r="K895" s="46" t="str">
        <x:f>IF(COUNT(G895,I895)=0,"",AVERAGE(G895,I895))</x:f>
      </x:c>
      <x:c r="L895" s="46" t="str">
        <x:f>IF(COUNT(H895,J895)=0,"",AVERAGE(H895,J895))</x:f>
      </x:c>
      <x:c r="M895" s="46" t="str">
        <x:f>IF(OR(K895="",L895=""),"",L895-K895)</x:f>
      </x:c>
      <x:c r="N895" s="46" t="str">
        <x:f>IF(OR(K895="",A894&lt;&gt;A895,K894=""),"",K895-K894)</x:f>
      </x:c>
      <x:c r="O895" s="42" t="str">
        <x:v>Sem informação</x:v>
      </x:c>
      <x:c r="P895" s="42"/>
      <x:c r="Q895" s="42" t="str"/>
      <x:c r="R895" s="42" t="str"/>
      <x:c r="S895" s="42" t="str"/>
      <x:c r="T895" s="42" t="str"/>
    </x:row>
    <x:row r="896">
      <x:c r="A896" s="42" t="str">
        <x:v>João Victor</x:v>
      </x:c>
      <x:c r="B896" s="42" t="n">
        <x:v>2029</x:v>
      </x:c>
      <x:c r="C896" s="42" t="str">
        <x:v>T3</x:v>
      </x:c>
      <x:c r="D896" s="44" t="n">
        <x:v>47391</x:v>
      </x:c>
      <x:c r="E896" s="42" t="str">
        <x:v>Lateral-esquerdo</x:v>
      </x:c>
      <x:c r="F896" s="42" t="str">
        <x:v>Tottenham Hotspur</x:v>
      </x:c>
      <x:c r="G896" s="46"/>
      <x:c r="H896" s="46"/>
      <x:c r="I896" s="46"/>
      <x:c r="J896" s="46"/>
      <x:c r="K896" s="46" t="str">
        <x:f>IF(COUNT(G896,I896)=0,"",AVERAGE(G896,I896))</x:f>
      </x:c>
      <x:c r="L896" s="46" t="str">
        <x:f>IF(COUNT(H896,J896)=0,"",AVERAGE(H896,J896))</x:f>
      </x:c>
      <x:c r="M896" s="46" t="str">
        <x:f>IF(OR(K896="",L896=""),"",L896-K896)</x:f>
      </x:c>
      <x:c r="N896" s="46" t="str">
        <x:f>IF(OR(K896="",A895&lt;&gt;A896,K895=""),"",K896-K895)</x:f>
      </x:c>
      <x:c r="O896" s="42" t="str">
        <x:v>Sem informação</x:v>
      </x:c>
      <x:c r="P896" s="42"/>
      <x:c r="Q896" s="42" t="str"/>
      <x:c r="R896" s="42" t="str"/>
      <x:c r="S896" s="42" t="str"/>
      <x:c r="T896" s="42" t="str"/>
    </x:row>
    <x:row r="897">
      <x:c r="A897" s="42" t="str">
        <x:v>João Victor</x:v>
      </x:c>
      <x:c r="B897" s="42" t="n">
        <x:v>2029</x:v>
      </x:c>
      <x:c r="C897" s="42" t="str">
        <x:v>T4</x:v>
      </x:c>
      <x:c r="D897" s="44" t="n">
        <x:v>47483</x:v>
      </x:c>
      <x:c r="E897" s="42" t="str">
        <x:v>Lateral-esquerdo</x:v>
      </x:c>
      <x:c r="F897" s="42" t="str">
        <x:v>Tottenham Hotspur</x:v>
      </x:c>
      <x:c r="G897" s="46"/>
      <x:c r="H897" s="46"/>
      <x:c r="I897" s="46"/>
      <x:c r="J897" s="46"/>
      <x:c r="K897" s="46" t="str">
        <x:f>IF(COUNT(G897,I897)=0,"",AVERAGE(G897,I897))</x:f>
      </x:c>
      <x:c r="L897" s="46" t="str">
        <x:f>IF(COUNT(H897,J897)=0,"",AVERAGE(H897,J897))</x:f>
      </x:c>
      <x:c r="M897" s="46" t="str">
        <x:f>IF(OR(K897="",L897=""),"",L897-K897)</x:f>
      </x:c>
      <x:c r="N897" s="46" t="str">
        <x:f>IF(OR(K897="",A896&lt;&gt;A897,K896=""),"",K897-K896)</x:f>
      </x:c>
      <x:c r="O897" s="42" t="str">
        <x:v>Sem informação</x:v>
      </x:c>
      <x:c r="P897" s="42"/>
      <x:c r="Q897" s="42" t="str"/>
      <x:c r="R897" s="42" t="str"/>
      <x:c r="S897" s="42" t="str"/>
      <x:c r="T897" s="42" t="str"/>
    </x:row>
    <x:row r="898">
      <x:c r="A898" s="42" t="str">
        <x:v>João Victor</x:v>
      </x:c>
      <x:c r="B898" s="42" t="n">
        <x:v>2030</x:v>
      </x:c>
      <x:c r="C898" s="42" t="str">
        <x:v>T1</x:v>
      </x:c>
      <x:c r="D898" s="44" t="n">
        <x:v>47573</x:v>
      </x:c>
      <x:c r="E898" s="42" t="str">
        <x:v>Lateral-esquerdo</x:v>
      </x:c>
      <x:c r="F898" s="42" t="str">
        <x:v>Tottenham Hotspur</x:v>
      </x:c>
      <x:c r="G898" s="46"/>
      <x:c r="H898" s="46"/>
      <x:c r="I898" s="46"/>
      <x:c r="J898" s="46"/>
      <x:c r="K898" s="46" t="str">
        <x:f>IF(COUNT(G898,I898)=0,"",AVERAGE(G898,I898))</x:f>
      </x:c>
      <x:c r="L898" s="46" t="str">
        <x:f>IF(COUNT(H898,J898)=0,"",AVERAGE(H898,J898))</x:f>
      </x:c>
      <x:c r="M898" s="46" t="str">
        <x:f>IF(OR(K898="",L898=""),"",L898-K898)</x:f>
      </x:c>
      <x:c r="N898" s="46" t="str">
        <x:f>IF(OR(K898="",A897&lt;&gt;A898,K897=""),"",K898-K897)</x:f>
      </x:c>
      <x:c r="O898" s="42" t="str">
        <x:v>Sem informação</x:v>
      </x:c>
      <x:c r="P898" s="42"/>
      <x:c r="Q898" s="42" t="str"/>
      <x:c r="R898" s="42" t="str"/>
      <x:c r="S898" s="42" t="str"/>
      <x:c r="T898" s="42" t="str"/>
    </x:row>
    <x:row r="899">
      <x:c r="A899" s="42" t="str">
        <x:v>João Victor</x:v>
      </x:c>
      <x:c r="B899" s="42" t="n">
        <x:v>2030</x:v>
      </x:c>
      <x:c r="C899" s="42" t="str">
        <x:v>T2</x:v>
      </x:c>
      <x:c r="D899" s="44" t="n">
        <x:v>47664</x:v>
      </x:c>
      <x:c r="E899" s="42" t="str">
        <x:v>Lateral-esquerdo</x:v>
      </x:c>
      <x:c r="F899" s="42" t="str">
        <x:v>Tottenham Hotspur</x:v>
      </x:c>
      <x:c r="G899" s="46"/>
      <x:c r="H899" s="46"/>
      <x:c r="I899" s="46"/>
      <x:c r="J899" s="46"/>
      <x:c r="K899" s="46" t="str">
        <x:f>IF(COUNT(G899,I899)=0,"",AVERAGE(G899,I899))</x:f>
      </x:c>
      <x:c r="L899" s="46" t="str">
        <x:f>IF(COUNT(H899,J899)=0,"",AVERAGE(H899,J899))</x:f>
      </x:c>
      <x:c r="M899" s="46" t="str">
        <x:f>IF(OR(K899="",L899=""),"",L899-K899)</x:f>
      </x:c>
      <x:c r="N899" s="46" t="str">
        <x:f>IF(OR(K899="",A898&lt;&gt;A899,K898=""),"",K899-K898)</x:f>
      </x:c>
      <x:c r="O899" s="42" t="str">
        <x:v>Sem informação</x:v>
      </x:c>
      <x:c r="P899" s="42"/>
      <x:c r="Q899" s="42" t="str"/>
      <x:c r="R899" s="42" t="str"/>
      <x:c r="S899" s="42" t="str"/>
      <x:c r="T899" s="42" t="str"/>
    </x:row>
    <x:row r="900">
      <x:c r="A900" s="42" t="str">
        <x:v>João Victor</x:v>
      </x:c>
      <x:c r="B900" s="42" t="n">
        <x:v>2030</x:v>
      </x:c>
      <x:c r="C900" s="42" t="str">
        <x:v>T3</x:v>
      </x:c>
      <x:c r="D900" s="44" t="n">
        <x:v>47756</x:v>
      </x:c>
      <x:c r="E900" s="42" t="str">
        <x:v>Lateral-esquerdo</x:v>
      </x:c>
      <x:c r="F900" s="42" t="str">
        <x:v>Tottenham Hotspur</x:v>
      </x:c>
      <x:c r="G900" s="46"/>
      <x:c r="H900" s="46"/>
      <x:c r="I900" s="46"/>
      <x:c r="J900" s="46"/>
      <x:c r="K900" s="46" t="str">
        <x:f>IF(COUNT(G900,I900)=0,"",AVERAGE(G900,I900))</x:f>
      </x:c>
      <x:c r="L900" s="46" t="str">
        <x:f>IF(COUNT(H900,J900)=0,"",AVERAGE(H900,J900))</x:f>
      </x:c>
      <x:c r="M900" s="46" t="str">
        <x:f>IF(OR(K900="",L900=""),"",L900-K900)</x:f>
      </x:c>
      <x:c r="N900" s="46" t="str">
        <x:f>IF(OR(K900="",A899&lt;&gt;A900,K899=""),"",K900-K899)</x:f>
      </x:c>
      <x:c r="O900" s="42" t="str">
        <x:v>Sem informação</x:v>
      </x:c>
      <x:c r="P900" s="42"/>
      <x:c r="Q900" s="42" t="str"/>
      <x:c r="R900" s="42" t="str"/>
      <x:c r="S900" s="42" t="str"/>
      <x:c r="T900" s="42" t="str"/>
    </x:row>
    <x:row r="901">
      <x:c r="A901" s="42" t="str">
        <x:v>João Victor</x:v>
      </x:c>
      <x:c r="B901" s="42" t="n">
        <x:v>2030</x:v>
      </x:c>
      <x:c r="C901" s="42" t="str">
        <x:v>T4</x:v>
      </x:c>
      <x:c r="D901" s="44" t="n">
        <x:v>47848</x:v>
      </x:c>
      <x:c r="E901" s="42" t="str">
        <x:v>Lateral-esquerdo</x:v>
      </x:c>
      <x:c r="F901" s="42" t="str">
        <x:v>Tottenham Hotspur</x:v>
      </x:c>
      <x:c r="G901" s="46"/>
      <x:c r="H901" s="46"/>
      <x:c r="I901" s="46"/>
      <x:c r="J901" s="46"/>
      <x:c r="K901" s="46" t="str">
        <x:f>IF(COUNT(G901,I901)=0,"",AVERAGE(G901,I901))</x:f>
      </x:c>
      <x:c r="L901" s="46" t="str">
        <x:f>IF(COUNT(H901,J901)=0,"",AVERAGE(H901,J901))</x:f>
      </x:c>
      <x:c r="M901" s="46" t="str">
        <x:f>IF(OR(K901="",L901=""),"",L901-K901)</x:f>
      </x:c>
      <x:c r="N901" s="46" t="str">
        <x:f>IF(OR(K901="",A900&lt;&gt;A901,K900=""),"",K901-K900)</x:f>
      </x:c>
      <x:c r="O901" s="42" t="str">
        <x:v>Sem informação</x:v>
      </x:c>
      <x:c r="P901" s="42"/>
      <x:c r="Q901" s="42" t="str"/>
      <x:c r="R901" s="42" t="str"/>
      <x:c r="S901" s="42" t="str"/>
      <x:c r="T901" s="42" t="str"/>
    </x:row>
    <x:row r="902">
      <x:c r="A902" s="42" t="str">
        <x:v>Kauã Prates</x:v>
      </x:c>
      <x:c r="B902" s="42" t="n">
        <x:v>2026</x:v>
      </x:c>
      <x:c r="C902" s="42" t="str">
        <x:v>T1</x:v>
      </x:c>
      <x:c r="D902" s="44" t="n">
        <x:v>46112</x:v>
      </x:c>
      <x:c r="E902" s="42" t="str">
        <x:v>Lateral-esquerdo</x:v>
      </x:c>
      <x:c r="F902" s="42" t="str">
        <x:v>Cruzeiro EC</x:v>
      </x:c>
      <x:c r="G902" s="46"/>
      <x:c r="H902" s="46"/>
      <x:c r="I902" s="46"/>
      <x:c r="J902" s="46"/>
      <x:c r="K902" s="46" t="str">
        <x:f>IF(COUNT(G902,I902)=0,"",AVERAGE(G902,I902))</x:f>
      </x:c>
      <x:c r="L902" s="46" t="str">
        <x:f>IF(COUNT(H902,J902)=0,"",AVERAGE(H902,J902))</x:f>
      </x:c>
      <x:c r="M902" s="46" t="str">
        <x:f>IF(OR(K902="",L902=""),"",L902-K902)</x:f>
      </x:c>
      <x:c r="N902" s="46" t="str">
        <x:f>IF(OR(K902="",A901&lt;&gt;A902,K901=""),"",K902-K901)</x:f>
      </x:c>
      <x:c r="O902" s="42" t="str">
        <x:v>Sem informação</x:v>
      </x:c>
      <x:c r="P902" s="42"/>
      <x:c r="Q902" s="42" t="str"/>
      <x:c r="R902" s="42" t="str"/>
      <x:c r="S902" s="42" t="str"/>
      <x:c r="T902" s="42" t="str"/>
    </x:row>
    <x:row r="903">
      <x:c r="A903" s="42" t="str">
        <x:v>Kauã Prates</x:v>
      </x:c>
      <x:c r="B903" s="42" t="n">
        <x:v>2026</x:v>
      </x:c>
      <x:c r="C903" s="42" t="str">
        <x:v>T2</x:v>
      </x:c>
      <x:c r="D903" s="44" t="n">
        <x:v>46203</x:v>
      </x:c>
      <x:c r="E903" s="42" t="str">
        <x:v>Lateral-esquerdo</x:v>
      </x:c>
      <x:c r="F903" s="42" t="str">
        <x:v>Cruzeiro EC</x:v>
      </x:c>
      <x:c r="G903" s="46"/>
      <x:c r="H903" s="46"/>
      <x:c r="I903" s="46"/>
      <x:c r="J903" s="46"/>
      <x:c r="K903" s="46" t="str">
        <x:f>IF(COUNT(G903,I903)=0,"",AVERAGE(G903,I903))</x:f>
      </x:c>
      <x:c r="L903" s="46" t="str">
        <x:f>IF(COUNT(H903,J903)=0,"",AVERAGE(H903,J903))</x:f>
      </x:c>
      <x:c r="M903" s="46" t="str">
        <x:f>IF(OR(K903="",L903=""),"",L903-K903)</x:f>
      </x:c>
      <x:c r="N903" s="46" t="str">
        <x:f>IF(OR(K903="",A902&lt;&gt;A903,K902=""),"",K903-K902)</x:f>
      </x:c>
      <x:c r="O903" s="42" t="str">
        <x:v>Sem informação</x:v>
      </x:c>
      <x:c r="P903" s="42"/>
      <x:c r="Q903" s="42" t="str"/>
      <x:c r="R903" s="42" t="str"/>
      <x:c r="S903" s="42" t="str"/>
      <x:c r="T903" s="42" t="str"/>
    </x:row>
    <x:row r="904">
      <x:c r="A904" s="42" t="str">
        <x:v>Kauã Prates</x:v>
      </x:c>
      <x:c r="B904" s="42" t="n">
        <x:v>2026</x:v>
      </x:c>
      <x:c r="C904" s="42" t="str">
        <x:v>T3</x:v>
      </x:c>
      <x:c r="D904" s="44" t="n">
        <x:v>46295</x:v>
      </x:c>
      <x:c r="E904" s="42" t="str">
        <x:v>Lateral-esquerdo</x:v>
      </x:c>
      <x:c r="F904" s="42" t="str">
        <x:v>Cruzeiro EC</x:v>
      </x:c>
      <x:c r="G904" s="46"/>
      <x:c r="H904" s="46"/>
      <x:c r="I904" s="46"/>
      <x:c r="J904" s="46"/>
      <x:c r="K904" s="46" t="str">
        <x:f>IF(COUNT(G904,I904)=0,"",AVERAGE(G904,I904))</x:f>
      </x:c>
      <x:c r="L904" s="46" t="str">
        <x:f>IF(COUNT(H904,J904)=0,"",AVERAGE(H904,J904))</x:f>
      </x:c>
      <x:c r="M904" s="46" t="str">
        <x:f>IF(OR(K904="",L904=""),"",L904-K904)</x:f>
      </x:c>
      <x:c r="N904" s="46" t="str">
        <x:f>IF(OR(K904="",A903&lt;&gt;A904,K903=""),"",K904-K903)</x:f>
      </x:c>
      <x:c r="O904" s="42" t="str">
        <x:v>Sem informação</x:v>
      </x:c>
      <x:c r="P904" s="42"/>
      <x:c r="Q904" s="42" t="str"/>
      <x:c r="R904" s="42" t="str"/>
      <x:c r="S904" s="42" t="str"/>
      <x:c r="T904" s="42" t="str"/>
    </x:row>
    <x:row r="905">
      <x:c r="A905" s="42" t="str">
        <x:v>Kauã Prates</x:v>
      </x:c>
      <x:c r="B905" s="42" t="n">
        <x:v>2026</x:v>
      </x:c>
      <x:c r="C905" s="42" t="str">
        <x:v>T4</x:v>
      </x:c>
      <x:c r="D905" s="44" t="n">
        <x:v>46387</x:v>
      </x:c>
      <x:c r="E905" s="42" t="str">
        <x:v>Lateral-esquerdo</x:v>
      </x:c>
      <x:c r="F905" s="42" t="str">
        <x:v>Cruzeiro EC</x:v>
      </x:c>
      <x:c r="G905" s="46"/>
      <x:c r="H905" s="46"/>
      <x:c r="I905" s="46"/>
      <x:c r="J905" s="46"/>
      <x:c r="K905" s="46" t="str">
        <x:f>IF(COUNT(G905,I905)=0,"",AVERAGE(G905,I905))</x:f>
      </x:c>
      <x:c r="L905" s="46" t="str">
        <x:f>IF(COUNT(H905,J905)=0,"",AVERAGE(H905,J905))</x:f>
      </x:c>
      <x:c r="M905" s="46" t="str">
        <x:f>IF(OR(K905="",L905=""),"",L905-K905)</x:f>
      </x:c>
      <x:c r="N905" s="46" t="str">
        <x:f>IF(OR(K905="",A904&lt;&gt;A905,K904=""),"",K905-K904)</x:f>
      </x:c>
      <x:c r="O905" s="42" t="str">
        <x:v>Sem informação</x:v>
      </x:c>
      <x:c r="P905" s="42"/>
      <x:c r="Q905" s="42" t="str"/>
      <x:c r="R905" s="42" t="str"/>
      <x:c r="S905" s="42" t="str"/>
      <x:c r="T905" s="42" t="str"/>
    </x:row>
    <x:row r="906">
      <x:c r="A906" s="42" t="str">
        <x:v>Kauã Prates</x:v>
      </x:c>
      <x:c r="B906" s="42" t="n">
        <x:v>2027</x:v>
      </x:c>
      <x:c r="C906" s="42" t="str">
        <x:v>T1</x:v>
      </x:c>
      <x:c r="D906" s="44" t="n">
        <x:v>46477</x:v>
      </x:c>
      <x:c r="E906" s="42" t="str">
        <x:v>Lateral-esquerdo</x:v>
      </x:c>
      <x:c r="F906" s="42" t="str">
        <x:v>Cruzeiro EC</x:v>
      </x:c>
      <x:c r="G906" s="46"/>
      <x:c r="H906" s="46"/>
      <x:c r="I906" s="46"/>
      <x:c r="J906" s="46"/>
      <x:c r="K906" s="46" t="str">
        <x:f>IF(COUNT(G906,I906)=0,"",AVERAGE(G906,I906))</x:f>
      </x:c>
      <x:c r="L906" s="46" t="str">
        <x:f>IF(COUNT(H906,J906)=0,"",AVERAGE(H906,J906))</x:f>
      </x:c>
      <x:c r="M906" s="46" t="str">
        <x:f>IF(OR(K906="",L906=""),"",L906-K906)</x:f>
      </x:c>
      <x:c r="N906" s="46" t="str">
        <x:f>IF(OR(K906="",A905&lt;&gt;A906,K905=""),"",K906-K905)</x:f>
      </x:c>
      <x:c r="O906" s="42" t="str">
        <x:v>Sem informação</x:v>
      </x:c>
      <x:c r="P906" s="42"/>
      <x:c r="Q906" s="42" t="str"/>
      <x:c r="R906" s="42" t="str"/>
      <x:c r="S906" s="42" t="str"/>
      <x:c r="T906" s="42" t="str"/>
    </x:row>
    <x:row r="907">
      <x:c r="A907" s="42" t="str">
        <x:v>Kauã Prates</x:v>
      </x:c>
      <x:c r="B907" s="42" t="n">
        <x:v>2027</x:v>
      </x:c>
      <x:c r="C907" s="42" t="str">
        <x:v>T2</x:v>
      </x:c>
      <x:c r="D907" s="44" t="n">
        <x:v>46568</x:v>
      </x:c>
      <x:c r="E907" s="42" t="str">
        <x:v>Lateral-esquerdo</x:v>
      </x:c>
      <x:c r="F907" s="42" t="str">
        <x:v>Cruzeiro EC</x:v>
      </x:c>
      <x:c r="G907" s="46"/>
      <x:c r="H907" s="46"/>
      <x:c r="I907" s="46"/>
      <x:c r="J907" s="46"/>
      <x:c r="K907" s="46" t="str">
        <x:f>IF(COUNT(G907,I907)=0,"",AVERAGE(G907,I907))</x:f>
      </x:c>
      <x:c r="L907" s="46" t="str">
        <x:f>IF(COUNT(H907,J907)=0,"",AVERAGE(H907,J907))</x:f>
      </x:c>
      <x:c r="M907" s="46" t="str">
        <x:f>IF(OR(K907="",L907=""),"",L907-K907)</x:f>
      </x:c>
      <x:c r="N907" s="46" t="str">
        <x:f>IF(OR(K907="",A906&lt;&gt;A907,K906=""),"",K907-K906)</x:f>
      </x:c>
      <x:c r="O907" s="42" t="str">
        <x:v>Sem informação</x:v>
      </x:c>
      <x:c r="P907" s="42"/>
      <x:c r="Q907" s="42" t="str"/>
      <x:c r="R907" s="42" t="str"/>
      <x:c r="S907" s="42" t="str"/>
      <x:c r="T907" s="42" t="str"/>
    </x:row>
    <x:row r="908">
      <x:c r="A908" s="42" t="str">
        <x:v>Kauã Prates</x:v>
      </x:c>
      <x:c r="B908" s="42" t="n">
        <x:v>2027</x:v>
      </x:c>
      <x:c r="C908" s="42" t="str">
        <x:v>T3</x:v>
      </x:c>
      <x:c r="D908" s="44" t="n">
        <x:v>46660</x:v>
      </x:c>
      <x:c r="E908" s="42" t="str">
        <x:v>Lateral-esquerdo</x:v>
      </x:c>
      <x:c r="F908" s="42" t="str">
        <x:v>Cruzeiro EC</x:v>
      </x:c>
      <x:c r="G908" s="46"/>
      <x:c r="H908" s="46"/>
      <x:c r="I908" s="46"/>
      <x:c r="J908" s="46"/>
      <x:c r="K908" s="46" t="str">
        <x:f>IF(COUNT(G908,I908)=0,"",AVERAGE(G908,I908))</x:f>
      </x:c>
      <x:c r="L908" s="46" t="str">
        <x:f>IF(COUNT(H908,J908)=0,"",AVERAGE(H908,J908))</x:f>
      </x:c>
      <x:c r="M908" s="46" t="str">
        <x:f>IF(OR(K908="",L908=""),"",L908-K908)</x:f>
      </x:c>
      <x:c r="N908" s="46" t="str">
        <x:f>IF(OR(K908="",A907&lt;&gt;A908,K907=""),"",K908-K907)</x:f>
      </x:c>
      <x:c r="O908" s="42" t="str">
        <x:v>Sem informação</x:v>
      </x:c>
      <x:c r="P908" s="42"/>
      <x:c r="Q908" s="42" t="str"/>
      <x:c r="R908" s="42" t="str"/>
      <x:c r="S908" s="42" t="str"/>
      <x:c r="T908" s="42" t="str"/>
    </x:row>
    <x:row r="909">
      <x:c r="A909" s="42" t="str">
        <x:v>Kauã Prates</x:v>
      </x:c>
      <x:c r="B909" s="42" t="n">
        <x:v>2027</x:v>
      </x:c>
      <x:c r="C909" s="42" t="str">
        <x:v>T4</x:v>
      </x:c>
      <x:c r="D909" s="44" t="n">
        <x:v>46752</x:v>
      </x:c>
      <x:c r="E909" s="42" t="str">
        <x:v>Lateral-esquerdo</x:v>
      </x:c>
      <x:c r="F909" s="42" t="str">
        <x:v>Cruzeiro EC</x:v>
      </x:c>
      <x:c r="G909" s="46"/>
      <x:c r="H909" s="46"/>
      <x:c r="I909" s="46"/>
      <x:c r="J909" s="46"/>
      <x:c r="K909" s="46" t="str">
        <x:f>IF(COUNT(G909,I909)=0,"",AVERAGE(G909,I909))</x:f>
      </x:c>
      <x:c r="L909" s="46" t="str">
        <x:f>IF(COUNT(H909,J909)=0,"",AVERAGE(H909,J909))</x:f>
      </x:c>
      <x:c r="M909" s="46" t="str">
        <x:f>IF(OR(K909="",L909=""),"",L909-K909)</x:f>
      </x:c>
      <x:c r="N909" s="46" t="str">
        <x:f>IF(OR(K909="",A908&lt;&gt;A909,K908=""),"",K909-K908)</x:f>
      </x:c>
      <x:c r="O909" s="42" t="str">
        <x:v>Sem informação</x:v>
      </x:c>
      <x:c r="P909" s="42"/>
      <x:c r="Q909" s="42" t="str"/>
      <x:c r="R909" s="42" t="str"/>
      <x:c r="S909" s="42" t="str"/>
      <x:c r="T909" s="42" t="str"/>
    </x:row>
    <x:row r="910">
      <x:c r="A910" s="42" t="str">
        <x:v>Kauã Prates</x:v>
      </x:c>
      <x:c r="B910" s="42" t="n">
        <x:v>2028</x:v>
      </x:c>
      <x:c r="C910" s="42" t="str">
        <x:v>T1</x:v>
      </x:c>
      <x:c r="D910" s="44" t="n">
        <x:v>46843</x:v>
      </x:c>
      <x:c r="E910" s="42" t="str">
        <x:v>Lateral-esquerdo</x:v>
      </x:c>
      <x:c r="F910" s="42" t="str">
        <x:v>Cruzeiro EC</x:v>
      </x:c>
      <x:c r="G910" s="46"/>
      <x:c r="H910" s="46"/>
      <x:c r="I910" s="46"/>
      <x:c r="J910" s="46"/>
      <x:c r="K910" s="46" t="str">
        <x:f>IF(COUNT(G910,I910)=0,"",AVERAGE(G910,I910))</x:f>
      </x:c>
      <x:c r="L910" s="46" t="str">
        <x:f>IF(COUNT(H910,J910)=0,"",AVERAGE(H910,J910))</x:f>
      </x:c>
      <x:c r="M910" s="46" t="str">
        <x:f>IF(OR(K910="",L910=""),"",L910-K910)</x:f>
      </x:c>
      <x:c r="N910" s="46" t="str">
        <x:f>IF(OR(K910="",A909&lt;&gt;A910,K909=""),"",K910-K909)</x:f>
      </x:c>
      <x:c r="O910" s="42" t="str">
        <x:v>Sem informação</x:v>
      </x:c>
      <x:c r="P910" s="42"/>
      <x:c r="Q910" s="42" t="str"/>
      <x:c r="R910" s="42" t="str"/>
      <x:c r="S910" s="42" t="str"/>
      <x:c r="T910" s="42" t="str"/>
    </x:row>
    <x:row r="911">
      <x:c r="A911" s="42" t="str">
        <x:v>Kauã Prates</x:v>
      </x:c>
      <x:c r="B911" s="42" t="n">
        <x:v>2028</x:v>
      </x:c>
      <x:c r="C911" s="42" t="str">
        <x:v>T2</x:v>
      </x:c>
      <x:c r="D911" s="44" t="n">
        <x:v>46934</x:v>
      </x:c>
      <x:c r="E911" s="42" t="str">
        <x:v>Lateral-esquerdo</x:v>
      </x:c>
      <x:c r="F911" s="42" t="str">
        <x:v>Cruzeiro EC</x:v>
      </x:c>
      <x:c r="G911" s="46"/>
      <x:c r="H911" s="46"/>
      <x:c r="I911" s="46"/>
      <x:c r="J911" s="46"/>
      <x:c r="K911" s="46" t="str">
        <x:f>IF(COUNT(G911,I911)=0,"",AVERAGE(G911,I911))</x:f>
      </x:c>
      <x:c r="L911" s="46" t="str">
        <x:f>IF(COUNT(H911,J911)=0,"",AVERAGE(H911,J911))</x:f>
      </x:c>
      <x:c r="M911" s="46" t="str">
        <x:f>IF(OR(K911="",L911=""),"",L911-K911)</x:f>
      </x:c>
      <x:c r="N911" s="46" t="str">
        <x:f>IF(OR(K911="",A910&lt;&gt;A911,K910=""),"",K911-K910)</x:f>
      </x:c>
      <x:c r="O911" s="42" t="str">
        <x:v>Sem informação</x:v>
      </x:c>
      <x:c r="P911" s="42"/>
      <x:c r="Q911" s="42" t="str"/>
      <x:c r="R911" s="42" t="str"/>
      <x:c r="S911" s="42" t="str"/>
      <x:c r="T911" s="42" t="str"/>
    </x:row>
    <x:row r="912">
      <x:c r="A912" s="42" t="str">
        <x:v>Kauã Prates</x:v>
      </x:c>
      <x:c r="B912" s="42" t="n">
        <x:v>2028</x:v>
      </x:c>
      <x:c r="C912" s="42" t="str">
        <x:v>T3</x:v>
      </x:c>
      <x:c r="D912" s="44" t="n">
        <x:v>47026</x:v>
      </x:c>
      <x:c r="E912" s="42" t="str">
        <x:v>Lateral-esquerdo</x:v>
      </x:c>
      <x:c r="F912" s="42" t="str">
        <x:v>Cruzeiro EC</x:v>
      </x:c>
      <x:c r="G912" s="46"/>
      <x:c r="H912" s="46"/>
      <x:c r="I912" s="46"/>
      <x:c r="J912" s="46"/>
      <x:c r="K912" s="46" t="str">
        <x:f>IF(COUNT(G912,I912)=0,"",AVERAGE(G912,I912))</x:f>
      </x:c>
      <x:c r="L912" s="46" t="str">
        <x:f>IF(COUNT(H912,J912)=0,"",AVERAGE(H912,J912))</x:f>
      </x:c>
      <x:c r="M912" s="46" t="str">
        <x:f>IF(OR(K912="",L912=""),"",L912-K912)</x:f>
      </x:c>
      <x:c r="N912" s="46" t="str">
        <x:f>IF(OR(K912="",A911&lt;&gt;A912,K911=""),"",K912-K911)</x:f>
      </x:c>
      <x:c r="O912" s="42" t="str">
        <x:v>Sem informação</x:v>
      </x:c>
      <x:c r="P912" s="42"/>
      <x:c r="Q912" s="42" t="str"/>
      <x:c r="R912" s="42" t="str"/>
      <x:c r="S912" s="42" t="str"/>
      <x:c r="T912" s="42" t="str"/>
    </x:row>
    <x:row r="913">
      <x:c r="A913" s="42" t="str">
        <x:v>Kauã Prates</x:v>
      </x:c>
      <x:c r="B913" s="42" t="n">
        <x:v>2028</x:v>
      </x:c>
      <x:c r="C913" s="42" t="str">
        <x:v>T4</x:v>
      </x:c>
      <x:c r="D913" s="44" t="n">
        <x:v>47118</x:v>
      </x:c>
      <x:c r="E913" s="42" t="str">
        <x:v>Lateral-esquerdo</x:v>
      </x:c>
      <x:c r="F913" s="42" t="str">
        <x:v>Cruzeiro EC</x:v>
      </x:c>
      <x:c r="G913" s="46"/>
      <x:c r="H913" s="46"/>
      <x:c r="I913" s="46"/>
      <x:c r="J913" s="46"/>
      <x:c r="K913" s="46" t="str">
        <x:f>IF(COUNT(G913,I913)=0,"",AVERAGE(G913,I913))</x:f>
      </x:c>
      <x:c r="L913" s="46" t="str">
        <x:f>IF(COUNT(H913,J913)=0,"",AVERAGE(H913,J913))</x:f>
      </x:c>
      <x:c r="M913" s="46" t="str">
        <x:f>IF(OR(K913="",L913=""),"",L913-K913)</x:f>
      </x:c>
      <x:c r="N913" s="46" t="str">
        <x:f>IF(OR(K913="",A912&lt;&gt;A913,K912=""),"",K913-K912)</x:f>
      </x:c>
      <x:c r="O913" s="42" t="str">
        <x:v>Sem informação</x:v>
      </x:c>
      <x:c r="P913" s="42"/>
      <x:c r="Q913" s="42" t="str"/>
      <x:c r="R913" s="42" t="str"/>
      <x:c r="S913" s="42" t="str"/>
      <x:c r="T913" s="42" t="str"/>
    </x:row>
    <x:row r="914">
      <x:c r="A914" s="42" t="str">
        <x:v>Kauã Prates</x:v>
      </x:c>
      <x:c r="B914" s="42" t="n">
        <x:v>2029</x:v>
      </x:c>
      <x:c r="C914" s="42" t="str">
        <x:v>T1</x:v>
      </x:c>
      <x:c r="D914" s="44" t="n">
        <x:v>47208</x:v>
      </x:c>
      <x:c r="E914" s="42" t="str">
        <x:v>Lateral-esquerdo</x:v>
      </x:c>
      <x:c r="F914" s="42" t="str">
        <x:v>Cruzeiro EC</x:v>
      </x:c>
      <x:c r="G914" s="46"/>
      <x:c r="H914" s="46"/>
      <x:c r="I914" s="46"/>
      <x:c r="J914" s="46"/>
      <x:c r="K914" s="46" t="str">
        <x:f>IF(COUNT(G914,I914)=0,"",AVERAGE(G914,I914))</x:f>
      </x:c>
      <x:c r="L914" s="46" t="str">
        <x:f>IF(COUNT(H914,J914)=0,"",AVERAGE(H914,J914))</x:f>
      </x:c>
      <x:c r="M914" s="46" t="str">
        <x:f>IF(OR(K914="",L914=""),"",L914-K914)</x:f>
      </x:c>
      <x:c r="N914" s="46" t="str">
        <x:f>IF(OR(K914="",A913&lt;&gt;A914,K913=""),"",K914-K913)</x:f>
      </x:c>
      <x:c r="O914" s="42" t="str">
        <x:v>Sem informação</x:v>
      </x:c>
      <x:c r="P914" s="42"/>
      <x:c r="Q914" s="42" t="str"/>
      <x:c r="R914" s="42" t="str"/>
      <x:c r="S914" s="42" t="str"/>
      <x:c r="T914" s="42" t="str"/>
    </x:row>
    <x:row r="915">
      <x:c r="A915" s="42" t="str">
        <x:v>Kauã Prates</x:v>
      </x:c>
      <x:c r="B915" s="42" t="n">
        <x:v>2029</x:v>
      </x:c>
      <x:c r="C915" s="42" t="str">
        <x:v>T2</x:v>
      </x:c>
      <x:c r="D915" s="44" t="n">
        <x:v>47299</x:v>
      </x:c>
      <x:c r="E915" s="42" t="str">
        <x:v>Lateral-esquerdo</x:v>
      </x:c>
      <x:c r="F915" s="42" t="str">
        <x:v>Cruzeiro EC</x:v>
      </x:c>
      <x:c r="G915" s="46"/>
      <x:c r="H915" s="46"/>
      <x:c r="I915" s="46"/>
      <x:c r="J915" s="46"/>
      <x:c r="K915" s="46" t="str">
        <x:f>IF(COUNT(G915,I915)=0,"",AVERAGE(G915,I915))</x:f>
      </x:c>
      <x:c r="L915" s="46" t="str">
        <x:f>IF(COUNT(H915,J915)=0,"",AVERAGE(H915,J915))</x:f>
      </x:c>
      <x:c r="M915" s="46" t="str">
        <x:f>IF(OR(K915="",L915=""),"",L915-K915)</x:f>
      </x:c>
      <x:c r="N915" s="46" t="str">
        <x:f>IF(OR(K915="",A914&lt;&gt;A915,K914=""),"",K915-K914)</x:f>
      </x:c>
      <x:c r="O915" s="42" t="str">
        <x:v>Sem informação</x:v>
      </x:c>
      <x:c r="P915" s="42"/>
      <x:c r="Q915" s="42" t="str"/>
      <x:c r="R915" s="42" t="str"/>
      <x:c r="S915" s="42" t="str"/>
      <x:c r="T915" s="42" t="str"/>
    </x:row>
    <x:row r="916">
      <x:c r="A916" s="42" t="str">
        <x:v>Kauã Prates</x:v>
      </x:c>
      <x:c r="B916" s="42" t="n">
        <x:v>2029</x:v>
      </x:c>
      <x:c r="C916" s="42" t="str">
        <x:v>T3</x:v>
      </x:c>
      <x:c r="D916" s="44" t="n">
        <x:v>47391</x:v>
      </x:c>
      <x:c r="E916" s="42" t="str">
        <x:v>Lateral-esquerdo</x:v>
      </x:c>
      <x:c r="F916" s="42" t="str">
        <x:v>Cruzeiro EC</x:v>
      </x:c>
      <x:c r="G916" s="46"/>
      <x:c r="H916" s="46"/>
      <x:c r="I916" s="46"/>
      <x:c r="J916" s="46"/>
      <x:c r="K916" s="46" t="str">
        <x:f>IF(COUNT(G916,I916)=0,"",AVERAGE(G916,I916))</x:f>
      </x:c>
      <x:c r="L916" s="46" t="str">
        <x:f>IF(COUNT(H916,J916)=0,"",AVERAGE(H916,J916))</x:f>
      </x:c>
      <x:c r="M916" s="46" t="str">
        <x:f>IF(OR(K916="",L916=""),"",L916-K916)</x:f>
      </x:c>
      <x:c r="N916" s="46" t="str">
        <x:f>IF(OR(K916="",A915&lt;&gt;A916,K915=""),"",K916-K915)</x:f>
      </x:c>
      <x:c r="O916" s="42" t="str">
        <x:v>Sem informação</x:v>
      </x:c>
      <x:c r="P916" s="42"/>
      <x:c r="Q916" s="42" t="str"/>
      <x:c r="R916" s="42" t="str"/>
      <x:c r="S916" s="42" t="str"/>
      <x:c r="T916" s="42" t="str"/>
    </x:row>
    <x:row r="917">
      <x:c r="A917" s="42" t="str">
        <x:v>Kauã Prates</x:v>
      </x:c>
      <x:c r="B917" s="42" t="n">
        <x:v>2029</x:v>
      </x:c>
      <x:c r="C917" s="42" t="str">
        <x:v>T4</x:v>
      </x:c>
      <x:c r="D917" s="44" t="n">
        <x:v>47483</x:v>
      </x:c>
      <x:c r="E917" s="42" t="str">
        <x:v>Lateral-esquerdo</x:v>
      </x:c>
      <x:c r="F917" s="42" t="str">
        <x:v>Cruzeiro EC</x:v>
      </x:c>
      <x:c r="G917" s="46"/>
      <x:c r="H917" s="46"/>
      <x:c r="I917" s="46"/>
      <x:c r="J917" s="46"/>
      <x:c r="K917" s="46" t="str">
        <x:f>IF(COUNT(G917,I917)=0,"",AVERAGE(G917,I917))</x:f>
      </x:c>
      <x:c r="L917" s="46" t="str">
        <x:f>IF(COUNT(H917,J917)=0,"",AVERAGE(H917,J917))</x:f>
      </x:c>
      <x:c r="M917" s="46" t="str">
        <x:f>IF(OR(K917="",L917=""),"",L917-K917)</x:f>
      </x:c>
      <x:c r="N917" s="46" t="str">
        <x:f>IF(OR(K917="",A916&lt;&gt;A917,K916=""),"",K917-K916)</x:f>
      </x:c>
      <x:c r="O917" s="42" t="str">
        <x:v>Sem informação</x:v>
      </x:c>
      <x:c r="P917" s="42"/>
      <x:c r="Q917" s="42" t="str"/>
      <x:c r="R917" s="42" t="str"/>
      <x:c r="S917" s="42" t="str"/>
      <x:c r="T917" s="42" t="str"/>
    </x:row>
    <x:row r="918">
      <x:c r="A918" s="42" t="str">
        <x:v>Kauã Prates</x:v>
      </x:c>
      <x:c r="B918" s="42" t="n">
        <x:v>2030</x:v>
      </x:c>
      <x:c r="C918" s="42" t="str">
        <x:v>T1</x:v>
      </x:c>
      <x:c r="D918" s="44" t="n">
        <x:v>47573</x:v>
      </x:c>
      <x:c r="E918" s="42" t="str">
        <x:v>Lateral-esquerdo</x:v>
      </x:c>
      <x:c r="F918" s="42" t="str">
        <x:v>Cruzeiro EC</x:v>
      </x:c>
      <x:c r="G918" s="46"/>
      <x:c r="H918" s="46"/>
      <x:c r="I918" s="46"/>
      <x:c r="J918" s="46"/>
      <x:c r="K918" s="46" t="str">
        <x:f>IF(COUNT(G918,I918)=0,"",AVERAGE(G918,I918))</x:f>
      </x:c>
      <x:c r="L918" s="46" t="str">
        <x:f>IF(COUNT(H918,J918)=0,"",AVERAGE(H918,J918))</x:f>
      </x:c>
      <x:c r="M918" s="46" t="str">
        <x:f>IF(OR(K918="",L918=""),"",L918-K918)</x:f>
      </x:c>
      <x:c r="N918" s="46" t="str">
        <x:f>IF(OR(K918="",A917&lt;&gt;A918,K917=""),"",K918-K917)</x:f>
      </x:c>
      <x:c r="O918" s="42" t="str">
        <x:v>Sem informação</x:v>
      </x:c>
      <x:c r="P918" s="42"/>
      <x:c r="Q918" s="42" t="str"/>
      <x:c r="R918" s="42" t="str"/>
      <x:c r="S918" s="42" t="str"/>
      <x:c r="T918" s="42" t="str"/>
    </x:row>
    <x:row r="919">
      <x:c r="A919" s="42" t="str">
        <x:v>Kauã Prates</x:v>
      </x:c>
      <x:c r="B919" s="42" t="n">
        <x:v>2030</x:v>
      </x:c>
      <x:c r="C919" s="42" t="str">
        <x:v>T2</x:v>
      </x:c>
      <x:c r="D919" s="44" t="n">
        <x:v>47664</x:v>
      </x:c>
      <x:c r="E919" s="42" t="str">
        <x:v>Lateral-esquerdo</x:v>
      </x:c>
      <x:c r="F919" s="42" t="str">
        <x:v>Cruzeiro EC</x:v>
      </x:c>
      <x:c r="G919" s="46"/>
      <x:c r="H919" s="46"/>
      <x:c r="I919" s="46"/>
      <x:c r="J919" s="46"/>
      <x:c r="K919" s="46" t="str">
        <x:f>IF(COUNT(G919,I919)=0,"",AVERAGE(G919,I919))</x:f>
      </x:c>
      <x:c r="L919" s="46" t="str">
        <x:f>IF(COUNT(H919,J919)=0,"",AVERAGE(H919,J919))</x:f>
      </x:c>
      <x:c r="M919" s="46" t="str">
        <x:f>IF(OR(K919="",L919=""),"",L919-K919)</x:f>
      </x:c>
      <x:c r="N919" s="46" t="str">
        <x:f>IF(OR(K919="",A918&lt;&gt;A919,K918=""),"",K919-K918)</x:f>
      </x:c>
      <x:c r="O919" s="42" t="str">
        <x:v>Sem informação</x:v>
      </x:c>
      <x:c r="P919" s="42"/>
      <x:c r="Q919" s="42" t="str"/>
      <x:c r="R919" s="42" t="str"/>
      <x:c r="S919" s="42" t="str"/>
      <x:c r="T919" s="42" t="str"/>
    </x:row>
    <x:row r="920">
      <x:c r="A920" s="42" t="str">
        <x:v>Kauã Prates</x:v>
      </x:c>
      <x:c r="B920" s="42" t="n">
        <x:v>2030</x:v>
      </x:c>
      <x:c r="C920" s="42" t="str">
        <x:v>T3</x:v>
      </x:c>
      <x:c r="D920" s="44" t="n">
        <x:v>47756</x:v>
      </x:c>
      <x:c r="E920" s="42" t="str">
        <x:v>Lateral-esquerdo</x:v>
      </x:c>
      <x:c r="F920" s="42" t="str">
        <x:v>Cruzeiro EC</x:v>
      </x:c>
      <x:c r="G920" s="46"/>
      <x:c r="H920" s="46"/>
      <x:c r="I920" s="46"/>
      <x:c r="J920" s="46"/>
      <x:c r="K920" s="46" t="str">
        <x:f>IF(COUNT(G920,I920)=0,"",AVERAGE(G920,I920))</x:f>
      </x:c>
      <x:c r="L920" s="46" t="str">
        <x:f>IF(COUNT(H920,J920)=0,"",AVERAGE(H920,J920))</x:f>
      </x:c>
      <x:c r="M920" s="46" t="str">
        <x:f>IF(OR(K920="",L920=""),"",L920-K920)</x:f>
      </x:c>
      <x:c r="N920" s="46" t="str">
        <x:f>IF(OR(K920="",A919&lt;&gt;A920,K919=""),"",K920-K919)</x:f>
      </x:c>
      <x:c r="O920" s="42" t="str">
        <x:v>Sem informação</x:v>
      </x:c>
      <x:c r="P920" s="42"/>
      <x:c r="Q920" s="42" t="str"/>
      <x:c r="R920" s="42" t="str"/>
      <x:c r="S920" s="42" t="str"/>
      <x:c r="T920" s="42" t="str"/>
    </x:row>
    <x:row r="921">
      <x:c r="A921" s="42" t="str">
        <x:v>Kauã Prates</x:v>
      </x:c>
      <x:c r="B921" s="42" t="n">
        <x:v>2030</x:v>
      </x:c>
      <x:c r="C921" s="42" t="str">
        <x:v>T4</x:v>
      </x:c>
      <x:c r="D921" s="44" t="n">
        <x:v>47848</x:v>
      </x:c>
      <x:c r="E921" s="42" t="str">
        <x:v>Lateral-esquerdo</x:v>
      </x:c>
      <x:c r="F921" s="42" t="str">
        <x:v>Cruzeiro EC</x:v>
      </x:c>
      <x:c r="G921" s="46"/>
      <x:c r="H921" s="46"/>
      <x:c r="I921" s="46"/>
      <x:c r="J921" s="46"/>
      <x:c r="K921" s="46" t="str">
        <x:f>IF(COUNT(G921,I921)=0,"",AVERAGE(G921,I921))</x:f>
      </x:c>
      <x:c r="L921" s="46" t="str">
        <x:f>IF(COUNT(H921,J921)=0,"",AVERAGE(H921,J921))</x:f>
      </x:c>
      <x:c r="M921" s="46" t="str">
        <x:f>IF(OR(K921="",L921=""),"",L921-K921)</x:f>
      </x:c>
      <x:c r="N921" s="46" t="str">
        <x:f>IF(OR(K921="",A920&lt;&gt;A921,K920=""),"",K921-K920)</x:f>
      </x:c>
      <x:c r="O921" s="42" t="str">
        <x:v>Sem informação</x:v>
      </x:c>
      <x:c r="P921" s="42"/>
      <x:c r="Q921" s="42" t="str"/>
      <x:c r="R921" s="42" t="str"/>
      <x:c r="S921" s="42" t="str"/>
      <x:c r="T921" s="42" t="str"/>
    </x:row>
    <x:row r="922">
      <x:c r="A922" s="42" t="str">
        <x:v>Kevin</x:v>
      </x:c>
      <x:c r="B922" s="42" t="n">
        <x:v>2026</x:v>
      </x:c>
      <x:c r="C922" s="42" t="str">
        <x:v>T1</x:v>
      </x:c>
      <x:c r="D922" s="44" t="n">
        <x:v>46112</x:v>
      </x:c>
      <x:c r="E922" s="42" t="str">
        <x:v>Ponta-esquerda</x:v>
      </x:c>
      <x:c r="F922" s="42" t="str">
        <x:v>FC Fulham</x:v>
      </x:c>
      <x:c r="G922" s="46"/>
      <x:c r="H922" s="46"/>
      <x:c r="I922" s="46"/>
      <x:c r="J922" s="46"/>
      <x:c r="K922" s="46" t="str">
        <x:f>IF(COUNT(G922,I922)=0,"",AVERAGE(G922,I922))</x:f>
      </x:c>
      <x:c r="L922" s="46" t="str">
        <x:f>IF(COUNT(H922,J922)=0,"",AVERAGE(H922,J922))</x:f>
      </x:c>
      <x:c r="M922" s="46" t="str">
        <x:f>IF(OR(K922="",L922=""),"",L922-K922)</x:f>
      </x:c>
      <x:c r="N922" s="46" t="str">
        <x:f>IF(OR(K922="",A921&lt;&gt;A922,K921=""),"",K922-K921)</x:f>
      </x:c>
      <x:c r="O922" s="42" t="str">
        <x:v>Sem informação</x:v>
      </x:c>
      <x:c r="P922" s="42"/>
      <x:c r="Q922" s="42" t="str"/>
      <x:c r="R922" s="42" t="str"/>
      <x:c r="S922" s="42" t="str"/>
      <x:c r="T922" s="42" t="str"/>
    </x:row>
    <x:row r="923">
      <x:c r="A923" s="42" t="str">
        <x:v>Kevin</x:v>
      </x:c>
      <x:c r="B923" s="42" t="n">
        <x:v>2026</x:v>
      </x:c>
      <x:c r="C923" s="42" t="str">
        <x:v>T2</x:v>
      </x:c>
      <x:c r="D923" s="44" t="n">
        <x:v>46203</x:v>
      </x:c>
      <x:c r="E923" s="42" t="str">
        <x:v>Ponta-esquerda</x:v>
      </x:c>
      <x:c r="F923" s="42" t="str">
        <x:v>FC Fulham</x:v>
      </x:c>
      <x:c r="G923" s="46"/>
      <x:c r="H923" s="46"/>
      <x:c r="I923" s="46"/>
      <x:c r="J923" s="46"/>
      <x:c r="K923" s="46" t="str">
        <x:f>IF(COUNT(G923,I923)=0,"",AVERAGE(G923,I923))</x:f>
      </x:c>
      <x:c r="L923" s="46" t="str">
        <x:f>IF(COUNT(H923,J923)=0,"",AVERAGE(H923,J923))</x:f>
      </x:c>
      <x:c r="M923" s="46" t="str">
        <x:f>IF(OR(K923="",L923=""),"",L923-K923)</x:f>
      </x:c>
      <x:c r="N923" s="46" t="str">
        <x:f>IF(OR(K923="",A922&lt;&gt;A923,K922=""),"",K923-K922)</x:f>
      </x:c>
      <x:c r="O923" s="42" t="str">
        <x:v>Sem informação</x:v>
      </x:c>
      <x:c r="P923" s="42"/>
      <x:c r="Q923" s="42" t="str"/>
      <x:c r="R923" s="42" t="str"/>
      <x:c r="S923" s="42" t="str"/>
      <x:c r="T923" s="42" t="str"/>
    </x:row>
    <x:row r="924">
      <x:c r="A924" s="42" t="str">
        <x:v>Kevin</x:v>
      </x:c>
      <x:c r="B924" s="42" t="n">
        <x:v>2026</x:v>
      </x:c>
      <x:c r="C924" s="42" t="str">
        <x:v>T3</x:v>
      </x:c>
      <x:c r="D924" s="44" t="n">
        <x:v>46295</x:v>
      </x:c>
      <x:c r="E924" s="42" t="str">
        <x:v>Ponta-esquerda</x:v>
      </x:c>
      <x:c r="F924" s="42" t="str">
        <x:v>FC Fulham</x:v>
      </x:c>
      <x:c r="G924" s="46"/>
      <x:c r="H924" s="46"/>
      <x:c r="I924" s="46"/>
      <x:c r="J924" s="46"/>
      <x:c r="K924" s="46" t="str">
        <x:f>IF(COUNT(G924,I924)=0,"",AVERAGE(G924,I924))</x:f>
      </x:c>
      <x:c r="L924" s="46" t="str">
        <x:f>IF(COUNT(H924,J924)=0,"",AVERAGE(H924,J924))</x:f>
      </x:c>
      <x:c r="M924" s="46" t="str">
        <x:f>IF(OR(K924="",L924=""),"",L924-K924)</x:f>
      </x:c>
      <x:c r="N924" s="46" t="str">
        <x:f>IF(OR(K924="",A923&lt;&gt;A924,K923=""),"",K924-K923)</x:f>
      </x:c>
      <x:c r="O924" s="42" t="str">
        <x:v>Sem informação</x:v>
      </x:c>
      <x:c r="P924" s="42"/>
      <x:c r="Q924" s="42" t="str"/>
      <x:c r="R924" s="42" t="str"/>
      <x:c r="S924" s="42" t="str"/>
      <x:c r="T924" s="42" t="str"/>
    </x:row>
    <x:row r="925">
      <x:c r="A925" s="42" t="str">
        <x:v>Kevin</x:v>
      </x:c>
      <x:c r="B925" s="42" t="n">
        <x:v>2026</x:v>
      </x:c>
      <x:c r="C925" s="42" t="str">
        <x:v>T4</x:v>
      </x:c>
      <x:c r="D925" s="44" t="n">
        <x:v>46387</x:v>
      </x:c>
      <x:c r="E925" s="42" t="str">
        <x:v>Ponta-esquerda</x:v>
      </x:c>
      <x:c r="F925" s="42" t="str">
        <x:v>FC Fulham</x:v>
      </x:c>
      <x:c r="G925" s="46"/>
      <x:c r="H925" s="46"/>
      <x:c r="I925" s="46"/>
      <x:c r="J925" s="46"/>
      <x:c r="K925" s="46" t="str">
        <x:f>IF(COUNT(G925,I925)=0,"",AVERAGE(G925,I925))</x:f>
      </x:c>
      <x:c r="L925" s="46" t="str">
        <x:f>IF(COUNT(H925,J925)=0,"",AVERAGE(H925,J925))</x:f>
      </x:c>
      <x:c r="M925" s="46" t="str">
        <x:f>IF(OR(K925="",L925=""),"",L925-K925)</x:f>
      </x:c>
      <x:c r="N925" s="46" t="str">
        <x:f>IF(OR(K925="",A924&lt;&gt;A925,K924=""),"",K925-K924)</x:f>
      </x:c>
      <x:c r="O925" s="42" t="str">
        <x:v>Sem informação</x:v>
      </x:c>
      <x:c r="P925" s="42"/>
      <x:c r="Q925" s="42" t="str"/>
      <x:c r="R925" s="42" t="str"/>
      <x:c r="S925" s="42" t="str"/>
      <x:c r="T925" s="42" t="str"/>
    </x:row>
    <x:row r="926">
      <x:c r="A926" s="42" t="str">
        <x:v>Kevin</x:v>
      </x:c>
      <x:c r="B926" s="42" t="n">
        <x:v>2027</x:v>
      </x:c>
      <x:c r="C926" s="42" t="str">
        <x:v>T1</x:v>
      </x:c>
      <x:c r="D926" s="44" t="n">
        <x:v>46477</x:v>
      </x:c>
      <x:c r="E926" s="42" t="str">
        <x:v>Ponta-esquerda</x:v>
      </x:c>
      <x:c r="F926" s="42" t="str">
        <x:v>FC Fulham</x:v>
      </x:c>
      <x:c r="G926" s="46"/>
      <x:c r="H926" s="46"/>
      <x:c r="I926" s="46"/>
      <x:c r="J926" s="46"/>
      <x:c r="K926" s="46" t="str">
        <x:f>IF(COUNT(G926,I926)=0,"",AVERAGE(G926,I926))</x:f>
      </x:c>
      <x:c r="L926" s="46" t="str">
        <x:f>IF(COUNT(H926,J926)=0,"",AVERAGE(H926,J926))</x:f>
      </x:c>
      <x:c r="M926" s="46" t="str">
        <x:f>IF(OR(K926="",L926=""),"",L926-K926)</x:f>
      </x:c>
      <x:c r="N926" s="46" t="str">
        <x:f>IF(OR(K926="",A925&lt;&gt;A926,K925=""),"",K926-K925)</x:f>
      </x:c>
      <x:c r="O926" s="42" t="str">
        <x:v>Sem informação</x:v>
      </x:c>
      <x:c r="P926" s="42"/>
      <x:c r="Q926" s="42" t="str"/>
      <x:c r="R926" s="42" t="str"/>
      <x:c r="S926" s="42" t="str"/>
      <x:c r="T926" s="42" t="str"/>
    </x:row>
    <x:row r="927">
      <x:c r="A927" s="42" t="str">
        <x:v>Kevin</x:v>
      </x:c>
      <x:c r="B927" s="42" t="n">
        <x:v>2027</x:v>
      </x:c>
      <x:c r="C927" s="42" t="str">
        <x:v>T2</x:v>
      </x:c>
      <x:c r="D927" s="44" t="n">
        <x:v>46568</x:v>
      </x:c>
      <x:c r="E927" s="42" t="str">
        <x:v>Ponta-esquerda</x:v>
      </x:c>
      <x:c r="F927" s="42" t="str">
        <x:v>FC Fulham</x:v>
      </x:c>
      <x:c r="G927" s="46"/>
      <x:c r="H927" s="46"/>
      <x:c r="I927" s="46"/>
      <x:c r="J927" s="46"/>
      <x:c r="K927" s="46" t="str">
        <x:f>IF(COUNT(G927,I927)=0,"",AVERAGE(G927,I927))</x:f>
      </x:c>
      <x:c r="L927" s="46" t="str">
        <x:f>IF(COUNT(H927,J927)=0,"",AVERAGE(H927,J927))</x:f>
      </x:c>
      <x:c r="M927" s="46" t="str">
        <x:f>IF(OR(K927="",L927=""),"",L927-K927)</x:f>
      </x:c>
      <x:c r="N927" s="46" t="str">
        <x:f>IF(OR(K927="",A926&lt;&gt;A927,K926=""),"",K927-K926)</x:f>
      </x:c>
      <x:c r="O927" s="42" t="str">
        <x:v>Sem informação</x:v>
      </x:c>
      <x:c r="P927" s="42"/>
      <x:c r="Q927" s="42" t="str"/>
      <x:c r="R927" s="42" t="str"/>
      <x:c r="S927" s="42" t="str"/>
      <x:c r="T927" s="42" t="str"/>
    </x:row>
    <x:row r="928">
      <x:c r="A928" s="42" t="str">
        <x:v>Kevin</x:v>
      </x:c>
      <x:c r="B928" s="42" t="n">
        <x:v>2027</x:v>
      </x:c>
      <x:c r="C928" s="42" t="str">
        <x:v>T3</x:v>
      </x:c>
      <x:c r="D928" s="44" t="n">
        <x:v>46660</x:v>
      </x:c>
      <x:c r="E928" s="42" t="str">
        <x:v>Ponta-esquerda</x:v>
      </x:c>
      <x:c r="F928" s="42" t="str">
        <x:v>FC Fulham</x:v>
      </x:c>
      <x:c r="G928" s="46"/>
      <x:c r="H928" s="46"/>
      <x:c r="I928" s="46"/>
      <x:c r="J928" s="46"/>
      <x:c r="K928" s="46" t="str">
        <x:f>IF(COUNT(G928,I928)=0,"",AVERAGE(G928,I928))</x:f>
      </x:c>
      <x:c r="L928" s="46" t="str">
        <x:f>IF(COUNT(H928,J928)=0,"",AVERAGE(H928,J928))</x:f>
      </x:c>
      <x:c r="M928" s="46" t="str">
        <x:f>IF(OR(K928="",L928=""),"",L928-K928)</x:f>
      </x:c>
      <x:c r="N928" s="46" t="str">
        <x:f>IF(OR(K928="",A927&lt;&gt;A928,K927=""),"",K928-K927)</x:f>
      </x:c>
      <x:c r="O928" s="42" t="str">
        <x:v>Sem informação</x:v>
      </x:c>
      <x:c r="P928" s="42"/>
      <x:c r="Q928" s="42" t="str"/>
      <x:c r="R928" s="42" t="str"/>
      <x:c r="S928" s="42" t="str"/>
      <x:c r="T928" s="42" t="str"/>
    </x:row>
    <x:row r="929">
      <x:c r="A929" s="42" t="str">
        <x:v>Kevin</x:v>
      </x:c>
      <x:c r="B929" s="42" t="n">
        <x:v>2027</x:v>
      </x:c>
      <x:c r="C929" s="42" t="str">
        <x:v>T4</x:v>
      </x:c>
      <x:c r="D929" s="44" t="n">
        <x:v>46752</x:v>
      </x:c>
      <x:c r="E929" s="42" t="str">
        <x:v>Ponta-esquerda</x:v>
      </x:c>
      <x:c r="F929" s="42" t="str">
        <x:v>FC Fulham</x:v>
      </x:c>
      <x:c r="G929" s="46"/>
      <x:c r="H929" s="46"/>
      <x:c r="I929" s="46"/>
      <x:c r="J929" s="46"/>
      <x:c r="K929" s="46" t="str">
        <x:f>IF(COUNT(G929,I929)=0,"",AVERAGE(G929,I929))</x:f>
      </x:c>
      <x:c r="L929" s="46" t="str">
        <x:f>IF(COUNT(H929,J929)=0,"",AVERAGE(H929,J929))</x:f>
      </x:c>
      <x:c r="M929" s="46" t="str">
        <x:f>IF(OR(K929="",L929=""),"",L929-K929)</x:f>
      </x:c>
      <x:c r="N929" s="46" t="str">
        <x:f>IF(OR(K929="",A928&lt;&gt;A929,K928=""),"",K929-K928)</x:f>
      </x:c>
      <x:c r="O929" s="42" t="str">
        <x:v>Sem informação</x:v>
      </x:c>
      <x:c r="P929" s="42"/>
      <x:c r="Q929" s="42" t="str"/>
      <x:c r="R929" s="42" t="str"/>
      <x:c r="S929" s="42" t="str"/>
      <x:c r="T929" s="42" t="str"/>
    </x:row>
    <x:row r="930">
      <x:c r="A930" s="42" t="str">
        <x:v>Kevin</x:v>
      </x:c>
      <x:c r="B930" s="42" t="n">
        <x:v>2028</x:v>
      </x:c>
      <x:c r="C930" s="42" t="str">
        <x:v>T1</x:v>
      </x:c>
      <x:c r="D930" s="44" t="n">
        <x:v>46843</x:v>
      </x:c>
      <x:c r="E930" s="42" t="str">
        <x:v>Ponta-esquerda</x:v>
      </x:c>
      <x:c r="F930" s="42" t="str">
        <x:v>FC Fulham</x:v>
      </x:c>
      <x:c r="G930" s="46"/>
      <x:c r="H930" s="46"/>
      <x:c r="I930" s="46"/>
      <x:c r="J930" s="46"/>
      <x:c r="K930" s="46" t="str">
        <x:f>IF(COUNT(G930,I930)=0,"",AVERAGE(G930,I930))</x:f>
      </x:c>
      <x:c r="L930" s="46" t="str">
        <x:f>IF(COUNT(H930,J930)=0,"",AVERAGE(H930,J930))</x:f>
      </x:c>
      <x:c r="M930" s="46" t="str">
        <x:f>IF(OR(K930="",L930=""),"",L930-K930)</x:f>
      </x:c>
      <x:c r="N930" s="46" t="str">
        <x:f>IF(OR(K930="",A929&lt;&gt;A930,K929=""),"",K930-K929)</x:f>
      </x:c>
      <x:c r="O930" s="42" t="str">
        <x:v>Sem informação</x:v>
      </x:c>
      <x:c r="P930" s="42"/>
      <x:c r="Q930" s="42" t="str"/>
      <x:c r="R930" s="42" t="str"/>
      <x:c r="S930" s="42" t="str"/>
      <x:c r="T930" s="42" t="str"/>
    </x:row>
    <x:row r="931">
      <x:c r="A931" s="42" t="str">
        <x:v>Kevin</x:v>
      </x:c>
      <x:c r="B931" s="42" t="n">
        <x:v>2028</x:v>
      </x:c>
      <x:c r="C931" s="42" t="str">
        <x:v>T2</x:v>
      </x:c>
      <x:c r="D931" s="44" t="n">
        <x:v>46934</x:v>
      </x:c>
      <x:c r="E931" s="42" t="str">
        <x:v>Ponta-esquerda</x:v>
      </x:c>
      <x:c r="F931" s="42" t="str">
        <x:v>FC Fulham</x:v>
      </x:c>
      <x:c r="G931" s="46"/>
      <x:c r="H931" s="46"/>
      <x:c r="I931" s="46"/>
      <x:c r="J931" s="46"/>
      <x:c r="K931" s="46" t="str">
        <x:f>IF(COUNT(G931,I931)=0,"",AVERAGE(G931,I931))</x:f>
      </x:c>
      <x:c r="L931" s="46" t="str">
        <x:f>IF(COUNT(H931,J931)=0,"",AVERAGE(H931,J931))</x:f>
      </x:c>
      <x:c r="M931" s="46" t="str">
        <x:f>IF(OR(K931="",L931=""),"",L931-K931)</x:f>
      </x:c>
      <x:c r="N931" s="46" t="str">
        <x:f>IF(OR(K931="",A930&lt;&gt;A931,K930=""),"",K931-K930)</x:f>
      </x:c>
      <x:c r="O931" s="42" t="str">
        <x:v>Sem informação</x:v>
      </x:c>
      <x:c r="P931" s="42"/>
      <x:c r="Q931" s="42" t="str"/>
      <x:c r="R931" s="42" t="str"/>
      <x:c r="S931" s="42" t="str"/>
      <x:c r="T931" s="42" t="str"/>
    </x:row>
    <x:row r="932">
      <x:c r="A932" s="42" t="str">
        <x:v>Kevin</x:v>
      </x:c>
      <x:c r="B932" s="42" t="n">
        <x:v>2028</x:v>
      </x:c>
      <x:c r="C932" s="42" t="str">
        <x:v>T3</x:v>
      </x:c>
      <x:c r="D932" s="44" t="n">
        <x:v>47026</x:v>
      </x:c>
      <x:c r="E932" s="42" t="str">
        <x:v>Ponta-esquerda</x:v>
      </x:c>
      <x:c r="F932" s="42" t="str">
        <x:v>FC Fulham</x:v>
      </x:c>
      <x:c r="G932" s="46"/>
      <x:c r="H932" s="46"/>
      <x:c r="I932" s="46"/>
      <x:c r="J932" s="46"/>
      <x:c r="K932" s="46" t="str">
        <x:f>IF(COUNT(G932,I932)=0,"",AVERAGE(G932,I932))</x:f>
      </x:c>
      <x:c r="L932" s="46" t="str">
        <x:f>IF(COUNT(H932,J932)=0,"",AVERAGE(H932,J932))</x:f>
      </x:c>
      <x:c r="M932" s="46" t="str">
        <x:f>IF(OR(K932="",L932=""),"",L932-K932)</x:f>
      </x:c>
      <x:c r="N932" s="46" t="str">
        <x:f>IF(OR(K932="",A931&lt;&gt;A932,K931=""),"",K932-K931)</x:f>
      </x:c>
      <x:c r="O932" s="42" t="str">
        <x:v>Sem informação</x:v>
      </x:c>
      <x:c r="P932" s="42"/>
      <x:c r="Q932" s="42" t="str"/>
      <x:c r="R932" s="42" t="str"/>
      <x:c r="S932" s="42" t="str"/>
      <x:c r="T932" s="42" t="str"/>
    </x:row>
    <x:row r="933">
      <x:c r="A933" s="42" t="str">
        <x:v>Kevin</x:v>
      </x:c>
      <x:c r="B933" s="42" t="n">
        <x:v>2028</x:v>
      </x:c>
      <x:c r="C933" s="42" t="str">
        <x:v>T4</x:v>
      </x:c>
      <x:c r="D933" s="44" t="n">
        <x:v>47118</x:v>
      </x:c>
      <x:c r="E933" s="42" t="str">
        <x:v>Ponta-esquerda</x:v>
      </x:c>
      <x:c r="F933" s="42" t="str">
        <x:v>FC Fulham</x:v>
      </x:c>
      <x:c r="G933" s="46"/>
      <x:c r="H933" s="46"/>
      <x:c r="I933" s="46"/>
      <x:c r="J933" s="46"/>
      <x:c r="K933" s="46" t="str">
        <x:f>IF(COUNT(G933,I933)=0,"",AVERAGE(G933,I933))</x:f>
      </x:c>
      <x:c r="L933" s="46" t="str">
        <x:f>IF(COUNT(H933,J933)=0,"",AVERAGE(H933,J933))</x:f>
      </x:c>
      <x:c r="M933" s="46" t="str">
        <x:f>IF(OR(K933="",L933=""),"",L933-K933)</x:f>
      </x:c>
      <x:c r="N933" s="46" t="str">
        <x:f>IF(OR(K933="",A932&lt;&gt;A933,K932=""),"",K933-K932)</x:f>
      </x:c>
      <x:c r="O933" s="42" t="str">
        <x:v>Sem informação</x:v>
      </x:c>
      <x:c r="P933" s="42"/>
      <x:c r="Q933" s="42" t="str"/>
      <x:c r="R933" s="42" t="str"/>
      <x:c r="S933" s="42" t="str"/>
      <x:c r="T933" s="42" t="str"/>
    </x:row>
    <x:row r="934">
      <x:c r="A934" s="42" t="str">
        <x:v>Kevin</x:v>
      </x:c>
      <x:c r="B934" s="42" t="n">
        <x:v>2029</x:v>
      </x:c>
      <x:c r="C934" s="42" t="str">
        <x:v>T1</x:v>
      </x:c>
      <x:c r="D934" s="44" t="n">
        <x:v>47208</x:v>
      </x:c>
      <x:c r="E934" s="42" t="str">
        <x:v>Ponta-esquerda</x:v>
      </x:c>
      <x:c r="F934" s="42" t="str">
        <x:v>FC Fulham</x:v>
      </x:c>
      <x:c r="G934" s="46"/>
      <x:c r="H934" s="46"/>
      <x:c r="I934" s="46"/>
      <x:c r="J934" s="46"/>
      <x:c r="K934" s="46" t="str">
        <x:f>IF(COUNT(G934,I934)=0,"",AVERAGE(G934,I934))</x:f>
      </x:c>
      <x:c r="L934" s="46" t="str">
        <x:f>IF(COUNT(H934,J934)=0,"",AVERAGE(H934,J934))</x:f>
      </x:c>
      <x:c r="M934" s="46" t="str">
        <x:f>IF(OR(K934="",L934=""),"",L934-K934)</x:f>
      </x:c>
      <x:c r="N934" s="46" t="str">
        <x:f>IF(OR(K934="",A933&lt;&gt;A934,K933=""),"",K934-K933)</x:f>
      </x:c>
      <x:c r="O934" s="42" t="str">
        <x:v>Sem informação</x:v>
      </x:c>
      <x:c r="P934" s="42"/>
      <x:c r="Q934" s="42" t="str"/>
      <x:c r="R934" s="42" t="str"/>
      <x:c r="S934" s="42" t="str"/>
      <x:c r="T934" s="42" t="str"/>
    </x:row>
    <x:row r="935">
      <x:c r="A935" s="42" t="str">
        <x:v>Kevin</x:v>
      </x:c>
      <x:c r="B935" s="42" t="n">
        <x:v>2029</x:v>
      </x:c>
      <x:c r="C935" s="42" t="str">
        <x:v>T2</x:v>
      </x:c>
      <x:c r="D935" s="44" t="n">
        <x:v>47299</x:v>
      </x:c>
      <x:c r="E935" s="42" t="str">
        <x:v>Ponta-esquerda</x:v>
      </x:c>
      <x:c r="F935" s="42" t="str">
        <x:v>FC Fulham</x:v>
      </x:c>
      <x:c r="G935" s="46"/>
      <x:c r="H935" s="46"/>
      <x:c r="I935" s="46"/>
      <x:c r="J935" s="46"/>
      <x:c r="K935" s="46" t="str">
        <x:f>IF(COUNT(G935,I935)=0,"",AVERAGE(G935,I935))</x:f>
      </x:c>
      <x:c r="L935" s="46" t="str">
        <x:f>IF(COUNT(H935,J935)=0,"",AVERAGE(H935,J935))</x:f>
      </x:c>
      <x:c r="M935" s="46" t="str">
        <x:f>IF(OR(K935="",L935=""),"",L935-K935)</x:f>
      </x:c>
      <x:c r="N935" s="46" t="str">
        <x:f>IF(OR(K935="",A934&lt;&gt;A935,K934=""),"",K935-K934)</x:f>
      </x:c>
      <x:c r="O935" s="42" t="str">
        <x:v>Sem informação</x:v>
      </x:c>
      <x:c r="P935" s="42"/>
      <x:c r="Q935" s="42" t="str"/>
      <x:c r="R935" s="42" t="str"/>
      <x:c r="S935" s="42" t="str"/>
      <x:c r="T935" s="42" t="str"/>
    </x:row>
    <x:row r="936">
      <x:c r="A936" s="42" t="str">
        <x:v>Kevin</x:v>
      </x:c>
      <x:c r="B936" s="42" t="n">
        <x:v>2029</x:v>
      </x:c>
      <x:c r="C936" s="42" t="str">
        <x:v>T3</x:v>
      </x:c>
      <x:c r="D936" s="44" t="n">
        <x:v>47391</x:v>
      </x:c>
      <x:c r="E936" s="42" t="str">
        <x:v>Ponta-esquerda</x:v>
      </x:c>
      <x:c r="F936" s="42" t="str">
        <x:v>FC Fulham</x:v>
      </x:c>
      <x:c r="G936" s="46"/>
      <x:c r="H936" s="46"/>
      <x:c r="I936" s="46"/>
      <x:c r="J936" s="46"/>
      <x:c r="K936" s="46" t="str">
        <x:f>IF(COUNT(G936,I936)=0,"",AVERAGE(G936,I936))</x:f>
      </x:c>
      <x:c r="L936" s="46" t="str">
        <x:f>IF(COUNT(H936,J936)=0,"",AVERAGE(H936,J936))</x:f>
      </x:c>
      <x:c r="M936" s="46" t="str">
        <x:f>IF(OR(K936="",L936=""),"",L936-K936)</x:f>
      </x:c>
      <x:c r="N936" s="46" t="str">
        <x:f>IF(OR(K936="",A935&lt;&gt;A936,K935=""),"",K936-K935)</x:f>
      </x:c>
      <x:c r="O936" s="42" t="str">
        <x:v>Sem informação</x:v>
      </x:c>
      <x:c r="P936" s="42"/>
      <x:c r="Q936" s="42" t="str"/>
      <x:c r="R936" s="42" t="str"/>
      <x:c r="S936" s="42" t="str"/>
      <x:c r="T936" s="42" t="str"/>
    </x:row>
    <x:row r="937">
      <x:c r="A937" s="42" t="str">
        <x:v>Kevin</x:v>
      </x:c>
      <x:c r="B937" s="42" t="n">
        <x:v>2029</x:v>
      </x:c>
      <x:c r="C937" s="42" t="str">
        <x:v>T4</x:v>
      </x:c>
      <x:c r="D937" s="44" t="n">
        <x:v>47483</x:v>
      </x:c>
      <x:c r="E937" s="42" t="str">
        <x:v>Ponta-esquerda</x:v>
      </x:c>
      <x:c r="F937" s="42" t="str">
        <x:v>FC Fulham</x:v>
      </x:c>
      <x:c r="G937" s="46"/>
      <x:c r="H937" s="46"/>
      <x:c r="I937" s="46"/>
      <x:c r="J937" s="46"/>
      <x:c r="K937" s="46" t="str">
        <x:f>IF(COUNT(G937,I937)=0,"",AVERAGE(G937,I937))</x:f>
      </x:c>
      <x:c r="L937" s="46" t="str">
        <x:f>IF(COUNT(H937,J937)=0,"",AVERAGE(H937,J937))</x:f>
      </x:c>
      <x:c r="M937" s="46" t="str">
        <x:f>IF(OR(K937="",L937=""),"",L937-K937)</x:f>
      </x:c>
      <x:c r="N937" s="46" t="str">
        <x:f>IF(OR(K937="",A936&lt;&gt;A937,K936=""),"",K937-K936)</x:f>
      </x:c>
      <x:c r="O937" s="42" t="str">
        <x:v>Sem informação</x:v>
      </x:c>
      <x:c r="P937" s="42"/>
      <x:c r="Q937" s="42" t="str"/>
      <x:c r="R937" s="42" t="str"/>
      <x:c r="S937" s="42" t="str"/>
      <x:c r="T937" s="42" t="str"/>
    </x:row>
    <x:row r="938">
      <x:c r="A938" s="42" t="str">
        <x:v>Kevin</x:v>
      </x:c>
      <x:c r="B938" s="42" t="n">
        <x:v>2030</x:v>
      </x:c>
      <x:c r="C938" s="42" t="str">
        <x:v>T1</x:v>
      </x:c>
      <x:c r="D938" s="44" t="n">
        <x:v>47573</x:v>
      </x:c>
      <x:c r="E938" s="42" t="str">
        <x:v>Ponta-esquerda</x:v>
      </x:c>
      <x:c r="F938" s="42" t="str">
        <x:v>FC Fulham</x:v>
      </x:c>
      <x:c r="G938" s="46"/>
      <x:c r="H938" s="46"/>
      <x:c r="I938" s="46"/>
      <x:c r="J938" s="46"/>
      <x:c r="K938" s="46" t="str">
        <x:f>IF(COUNT(G938,I938)=0,"",AVERAGE(G938,I938))</x:f>
      </x:c>
      <x:c r="L938" s="46" t="str">
        <x:f>IF(COUNT(H938,J938)=0,"",AVERAGE(H938,J938))</x:f>
      </x:c>
      <x:c r="M938" s="46" t="str">
        <x:f>IF(OR(K938="",L938=""),"",L938-K938)</x:f>
      </x:c>
      <x:c r="N938" s="46" t="str">
        <x:f>IF(OR(K938="",A937&lt;&gt;A938,K937=""),"",K938-K937)</x:f>
      </x:c>
      <x:c r="O938" s="42" t="str">
        <x:v>Sem informação</x:v>
      </x:c>
      <x:c r="P938" s="42"/>
      <x:c r="Q938" s="42" t="str"/>
      <x:c r="R938" s="42" t="str"/>
      <x:c r="S938" s="42" t="str"/>
      <x:c r="T938" s="42" t="str"/>
    </x:row>
    <x:row r="939">
      <x:c r="A939" s="42" t="str">
        <x:v>Kevin</x:v>
      </x:c>
      <x:c r="B939" s="42" t="n">
        <x:v>2030</x:v>
      </x:c>
      <x:c r="C939" s="42" t="str">
        <x:v>T2</x:v>
      </x:c>
      <x:c r="D939" s="44" t="n">
        <x:v>47664</x:v>
      </x:c>
      <x:c r="E939" s="42" t="str">
        <x:v>Ponta-esquerda</x:v>
      </x:c>
      <x:c r="F939" s="42" t="str">
        <x:v>FC Fulham</x:v>
      </x:c>
      <x:c r="G939" s="46"/>
      <x:c r="H939" s="46"/>
      <x:c r="I939" s="46"/>
      <x:c r="J939" s="46"/>
      <x:c r="K939" s="46" t="str">
        <x:f>IF(COUNT(G939,I939)=0,"",AVERAGE(G939,I939))</x:f>
      </x:c>
      <x:c r="L939" s="46" t="str">
        <x:f>IF(COUNT(H939,J939)=0,"",AVERAGE(H939,J939))</x:f>
      </x:c>
      <x:c r="M939" s="46" t="str">
        <x:f>IF(OR(K939="",L939=""),"",L939-K939)</x:f>
      </x:c>
      <x:c r="N939" s="46" t="str">
        <x:f>IF(OR(K939="",A938&lt;&gt;A939,K938=""),"",K939-K938)</x:f>
      </x:c>
      <x:c r="O939" s="42" t="str">
        <x:v>Sem informação</x:v>
      </x:c>
      <x:c r="P939" s="42"/>
      <x:c r="Q939" s="42" t="str"/>
      <x:c r="R939" s="42" t="str"/>
      <x:c r="S939" s="42" t="str"/>
      <x:c r="T939" s="42" t="str"/>
    </x:row>
    <x:row r="940">
      <x:c r="A940" s="42" t="str">
        <x:v>Kevin</x:v>
      </x:c>
      <x:c r="B940" s="42" t="n">
        <x:v>2030</x:v>
      </x:c>
      <x:c r="C940" s="42" t="str">
        <x:v>T3</x:v>
      </x:c>
      <x:c r="D940" s="44" t="n">
        <x:v>47756</x:v>
      </x:c>
      <x:c r="E940" s="42" t="str">
        <x:v>Ponta-esquerda</x:v>
      </x:c>
      <x:c r="F940" s="42" t="str">
        <x:v>FC Fulham</x:v>
      </x:c>
      <x:c r="G940" s="46"/>
      <x:c r="H940" s="46"/>
      <x:c r="I940" s="46"/>
      <x:c r="J940" s="46"/>
      <x:c r="K940" s="46" t="str">
        <x:f>IF(COUNT(G940,I940)=0,"",AVERAGE(G940,I940))</x:f>
      </x:c>
      <x:c r="L940" s="46" t="str">
        <x:f>IF(COUNT(H940,J940)=0,"",AVERAGE(H940,J940))</x:f>
      </x:c>
      <x:c r="M940" s="46" t="str">
        <x:f>IF(OR(K940="",L940=""),"",L940-K940)</x:f>
      </x:c>
      <x:c r="N940" s="46" t="str">
        <x:f>IF(OR(K940="",A939&lt;&gt;A940,K939=""),"",K940-K939)</x:f>
      </x:c>
      <x:c r="O940" s="42" t="str">
        <x:v>Sem informação</x:v>
      </x:c>
      <x:c r="P940" s="42"/>
      <x:c r="Q940" s="42" t="str"/>
      <x:c r="R940" s="42" t="str"/>
      <x:c r="S940" s="42" t="str"/>
      <x:c r="T940" s="42" t="str"/>
    </x:row>
    <x:row r="941">
      <x:c r="A941" s="42" t="str">
        <x:v>Kevin</x:v>
      </x:c>
      <x:c r="B941" s="42" t="n">
        <x:v>2030</x:v>
      </x:c>
      <x:c r="C941" s="42" t="str">
        <x:v>T4</x:v>
      </x:c>
      <x:c r="D941" s="44" t="n">
        <x:v>47848</x:v>
      </x:c>
      <x:c r="E941" s="42" t="str">
        <x:v>Ponta-esquerda</x:v>
      </x:c>
      <x:c r="F941" s="42" t="str">
        <x:v>FC Fulham</x:v>
      </x:c>
      <x:c r="G941" s="46"/>
      <x:c r="H941" s="46"/>
      <x:c r="I941" s="46"/>
      <x:c r="J941" s="46"/>
      <x:c r="K941" s="46" t="str">
        <x:f>IF(COUNT(G941,I941)=0,"",AVERAGE(G941,I941))</x:f>
      </x:c>
      <x:c r="L941" s="46" t="str">
        <x:f>IF(COUNT(H941,J941)=0,"",AVERAGE(H941,J941))</x:f>
      </x:c>
      <x:c r="M941" s="46" t="str">
        <x:f>IF(OR(K941="",L941=""),"",L941-K941)</x:f>
      </x:c>
      <x:c r="N941" s="46" t="str">
        <x:f>IF(OR(K941="",A940&lt;&gt;A941,K940=""),"",K941-K940)</x:f>
      </x:c>
      <x:c r="O941" s="42" t="str">
        <x:v>Sem informação</x:v>
      </x:c>
      <x:c r="P941" s="42"/>
      <x:c r="Q941" s="42" t="str"/>
      <x:c r="R941" s="42" t="str"/>
      <x:c r="S941" s="42" t="str"/>
      <x:c r="T941" s="42" t="str"/>
    </x:row>
    <x:row r="942">
      <x:c r="A942" s="42" t="str">
        <x:v>Lucca Meirelles</x:v>
      </x:c>
      <x:c r="B942" s="42" t="n">
        <x:v>2026</x:v>
      </x:c>
      <x:c r="C942" s="42" t="str">
        <x:v>T1</x:v>
      </x:c>
      <x:c r="D942" s="44" t="n">
        <x:v>46112</x:v>
      </x:c>
      <x:c r="E942" s="42" t="str">
        <x:v>Centroavante</x:v>
      </x:c>
      <x:c r="F942" s="42" t="str">
        <x:v>Shakhtar Donetsk</x:v>
      </x:c>
      <x:c r="G942" s="46"/>
      <x:c r="H942" s="46"/>
      <x:c r="I942" s="46"/>
      <x:c r="J942" s="46"/>
      <x:c r="K942" s="46" t="str">
        <x:f>IF(COUNT(G942,I942)=0,"",AVERAGE(G942,I942))</x:f>
      </x:c>
      <x:c r="L942" s="46" t="str">
        <x:f>IF(COUNT(H942,J942)=0,"",AVERAGE(H942,J942))</x:f>
      </x:c>
      <x:c r="M942" s="46" t="str">
        <x:f>IF(OR(K942="",L942=""),"",L942-K942)</x:f>
      </x:c>
      <x:c r="N942" s="46" t="str">
        <x:f>IF(OR(K942="",A941&lt;&gt;A942,K941=""),"",K942-K941)</x:f>
      </x:c>
      <x:c r="O942" s="42" t="str">
        <x:v>Sem informação</x:v>
      </x:c>
      <x:c r="P942" s="42"/>
      <x:c r="Q942" s="42" t="str"/>
      <x:c r="R942" s="42" t="str"/>
      <x:c r="S942" s="42" t="str"/>
      <x:c r="T942" s="42" t="str"/>
    </x:row>
    <x:row r="943">
      <x:c r="A943" s="42" t="str">
        <x:v>Lucca Meirelles</x:v>
      </x:c>
      <x:c r="B943" s="42" t="n">
        <x:v>2026</x:v>
      </x:c>
      <x:c r="C943" s="42" t="str">
        <x:v>T2</x:v>
      </x:c>
      <x:c r="D943" s="44" t="n">
        <x:v>46203</x:v>
      </x:c>
      <x:c r="E943" s="42" t="str">
        <x:v>Centroavante</x:v>
      </x:c>
      <x:c r="F943" s="42" t="str">
        <x:v>Shakhtar Donetsk</x:v>
      </x:c>
      <x:c r="G943" s="46"/>
      <x:c r="H943" s="46"/>
      <x:c r="I943" s="46"/>
      <x:c r="J943" s="46"/>
      <x:c r="K943" s="46" t="str">
        <x:f>IF(COUNT(G943,I943)=0,"",AVERAGE(G943,I943))</x:f>
      </x:c>
      <x:c r="L943" s="46" t="str">
        <x:f>IF(COUNT(H943,J943)=0,"",AVERAGE(H943,J943))</x:f>
      </x:c>
      <x:c r="M943" s="46" t="str">
        <x:f>IF(OR(K943="",L943=""),"",L943-K943)</x:f>
      </x:c>
      <x:c r="N943" s="46" t="str">
        <x:f>IF(OR(K943="",A942&lt;&gt;A943,K942=""),"",K943-K942)</x:f>
      </x:c>
      <x:c r="O943" s="42" t="str">
        <x:v>Sem informação</x:v>
      </x:c>
      <x:c r="P943" s="42"/>
      <x:c r="Q943" s="42" t="str"/>
      <x:c r="R943" s="42" t="str"/>
      <x:c r="S943" s="42" t="str"/>
      <x:c r="T943" s="42" t="str"/>
    </x:row>
    <x:row r="944">
      <x:c r="A944" s="42" t="str">
        <x:v>Lucca Meirelles</x:v>
      </x:c>
      <x:c r="B944" s="42" t="n">
        <x:v>2026</x:v>
      </x:c>
      <x:c r="C944" s="42" t="str">
        <x:v>T3</x:v>
      </x:c>
      <x:c r="D944" s="44" t="n">
        <x:v>46295</x:v>
      </x:c>
      <x:c r="E944" s="42" t="str">
        <x:v>Centroavante</x:v>
      </x:c>
      <x:c r="F944" s="42" t="str">
        <x:v>Shakhtar Donetsk</x:v>
      </x:c>
      <x:c r="G944" s="46"/>
      <x:c r="H944" s="46"/>
      <x:c r="I944" s="46"/>
      <x:c r="J944" s="46"/>
      <x:c r="K944" s="46" t="str">
        <x:f>IF(COUNT(G944,I944)=0,"",AVERAGE(G944,I944))</x:f>
      </x:c>
      <x:c r="L944" s="46" t="str">
        <x:f>IF(COUNT(H944,J944)=0,"",AVERAGE(H944,J944))</x:f>
      </x:c>
      <x:c r="M944" s="46" t="str">
        <x:f>IF(OR(K944="",L944=""),"",L944-K944)</x:f>
      </x:c>
      <x:c r="N944" s="46" t="str">
        <x:f>IF(OR(K944="",A943&lt;&gt;A944,K943=""),"",K944-K943)</x:f>
      </x:c>
      <x:c r="O944" s="42" t="str">
        <x:v>Sem informação</x:v>
      </x:c>
      <x:c r="P944" s="42"/>
      <x:c r="Q944" s="42" t="str"/>
      <x:c r="R944" s="42" t="str"/>
      <x:c r="S944" s="42" t="str"/>
      <x:c r="T944" s="42" t="str"/>
    </x:row>
    <x:row r="945">
      <x:c r="A945" s="42" t="str">
        <x:v>Lucca Meirelles</x:v>
      </x:c>
      <x:c r="B945" s="42" t="n">
        <x:v>2026</x:v>
      </x:c>
      <x:c r="C945" s="42" t="str">
        <x:v>T4</x:v>
      </x:c>
      <x:c r="D945" s="44" t="n">
        <x:v>46387</x:v>
      </x:c>
      <x:c r="E945" s="42" t="str">
        <x:v>Centroavante</x:v>
      </x:c>
      <x:c r="F945" s="42" t="str">
        <x:v>Shakhtar Donetsk</x:v>
      </x:c>
      <x:c r="G945" s="46"/>
      <x:c r="H945" s="46"/>
      <x:c r="I945" s="46"/>
      <x:c r="J945" s="46"/>
      <x:c r="K945" s="46" t="str">
        <x:f>IF(COUNT(G945,I945)=0,"",AVERAGE(G945,I945))</x:f>
      </x:c>
      <x:c r="L945" s="46" t="str">
        <x:f>IF(COUNT(H945,J945)=0,"",AVERAGE(H945,J945))</x:f>
      </x:c>
      <x:c r="M945" s="46" t="str">
        <x:f>IF(OR(K945="",L945=""),"",L945-K945)</x:f>
      </x:c>
      <x:c r="N945" s="46" t="str">
        <x:f>IF(OR(K945="",A944&lt;&gt;A945,K944=""),"",K945-K944)</x:f>
      </x:c>
      <x:c r="O945" s="42" t="str">
        <x:v>Sem informação</x:v>
      </x:c>
      <x:c r="P945" s="42"/>
      <x:c r="Q945" s="42" t="str"/>
      <x:c r="R945" s="42" t="str"/>
      <x:c r="S945" s="42" t="str"/>
      <x:c r="T945" s="42" t="str"/>
    </x:row>
    <x:row r="946">
      <x:c r="A946" s="42" t="str">
        <x:v>Lucca Meirelles</x:v>
      </x:c>
      <x:c r="B946" s="42" t="n">
        <x:v>2027</x:v>
      </x:c>
      <x:c r="C946" s="42" t="str">
        <x:v>T1</x:v>
      </x:c>
      <x:c r="D946" s="44" t="n">
        <x:v>46477</x:v>
      </x:c>
      <x:c r="E946" s="42" t="str">
        <x:v>Centroavante</x:v>
      </x:c>
      <x:c r="F946" s="42" t="str">
        <x:v>Shakhtar Donetsk</x:v>
      </x:c>
      <x:c r="G946" s="46"/>
      <x:c r="H946" s="46"/>
      <x:c r="I946" s="46"/>
      <x:c r="J946" s="46"/>
      <x:c r="K946" s="46" t="str">
        <x:f>IF(COUNT(G946,I946)=0,"",AVERAGE(G946,I946))</x:f>
      </x:c>
      <x:c r="L946" s="46" t="str">
        <x:f>IF(COUNT(H946,J946)=0,"",AVERAGE(H946,J946))</x:f>
      </x:c>
      <x:c r="M946" s="46" t="str">
        <x:f>IF(OR(K946="",L946=""),"",L946-K946)</x:f>
      </x:c>
      <x:c r="N946" s="46" t="str">
        <x:f>IF(OR(K946="",A945&lt;&gt;A946,K945=""),"",K946-K945)</x:f>
      </x:c>
      <x:c r="O946" s="42" t="str">
        <x:v>Sem informação</x:v>
      </x:c>
      <x:c r="P946" s="42"/>
      <x:c r="Q946" s="42" t="str"/>
      <x:c r="R946" s="42" t="str"/>
      <x:c r="S946" s="42" t="str"/>
      <x:c r="T946" s="42" t="str"/>
    </x:row>
    <x:row r="947">
      <x:c r="A947" s="42" t="str">
        <x:v>Lucca Meirelles</x:v>
      </x:c>
      <x:c r="B947" s="42" t="n">
        <x:v>2027</x:v>
      </x:c>
      <x:c r="C947" s="42" t="str">
        <x:v>T2</x:v>
      </x:c>
      <x:c r="D947" s="44" t="n">
        <x:v>46568</x:v>
      </x:c>
      <x:c r="E947" s="42" t="str">
        <x:v>Centroavante</x:v>
      </x:c>
      <x:c r="F947" s="42" t="str">
        <x:v>Shakhtar Donetsk</x:v>
      </x:c>
      <x:c r="G947" s="46"/>
      <x:c r="H947" s="46"/>
      <x:c r="I947" s="46"/>
      <x:c r="J947" s="46"/>
      <x:c r="K947" s="46" t="str">
        <x:f>IF(COUNT(G947,I947)=0,"",AVERAGE(G947,I947))</x:f>
      </x:c>
      <x:c r="L947" s="46" t="str">
        <x:f>IF(COUNT(H947,J947)=0,"",AVERAGE(H947,J947))</x:f>
      </x:c>
      <x:c r="M947" s="46" t="str">
        <x:f>IF(OR(K947="",L947=""),"",L947-K947)</x:f>
      </x:c>
      <x:c r="N947" s="46" t="str">
        <x:f>IF(OR(K947="",A946&lt;&gt;A947,K946=""),"",K947-K946)</x:f>
      </x:c>
      <x:c r="O947" s="42" t="str">
        <x:v>Sem informação</x:v>
      </x:c>
      <x:c r="P947" s="42"/>
      <x:c r="Q947" s="42" t="str"/>
      <x:c r="R947" s="42" t="str"/>
      <x:c r="S947" s="42" t="str"/>
      <x:c r="T947" s="42" t="str"/>
    </x:row>
    <x:row r="948">
      <x:c r="A948" s="42" t="str">
        <x:v>Lucca Meirelles</x:v>
      </x:c>
      <x:c r="B948" s="42" t="n">
        <x:v>2027</x:v>
      </x:c>
      <x:c r="C948" s="42" t="str">
        <x:v>T3</x:v>
      </x:c>
      <x:c r="D948" s="44" t="n">
        <x:v>46660</x:v>
      </x:c>
      <x:c r="E948" s="42" t="str">
        <x:v>Centroavante</x:v>
      </x:c>
      <x:c r="F948" s="42" t="str">
        <x:v>Shakhtar Donetsk</x:v>
      </x:c>
      <x:c r="G948" s="46"/>
      <x:c r="H948" s="46"/>
      <x:c r="I948" s="46"/>
      <x:c r="J948" s="46"/>
      <x:c r="K948" s="46" t="str">
        <x:f>IF(COUNT(G948,I948)=0,"",AVERAGE(G948,I948))</x:f>
      </x:c>
      <x:c r="L948" s="46" t="str">
        <x:f>IF(COUNT(H948,J948)=0,"",AVERAGE(H948,J948))</x:f>
      </x:c>
      <x:c r="M948" s="46" t="str">
        <x:f>IF(OR(K948="",L948=""),"",L948-K948)</x:f>
      </x:c>
      <x:c r="N948" s="46" t="str">
        <x:f>IF(OR(K948="",A947&lt;&gt;A948,K947=""),"",K948-K947)</x:f>
      </x:c>
      <x:c r="O948" s="42" t="str">
        <x:v>Sem informação</x:v>
      </x:c>
      <x:c r="P948" s="42"/>
      <x:c r="Q948" s="42" t="str"/>
      <x:c r="R948" s="42" t="str"/>
      <x:c r="S948" s="42" t="str"/>
      <x:c r="T948" s="42" t="str"/>
    </x:row>
    <x:row r="949">
      <x:c r="A949" s="42" t="str">
        <x:v>Lucca Meirelles</x:v>
      </x:c>
      <x:c r="B949" s="42" t="n">
        <x:v>2027</x:v>
      </x:c>
      <x:c r="C949" s="42" t="str">
        <x:v>T4</x:v>
      </x:c>
      <x:c r="D949" s="44" t="n">
        <x:v>46752</x:v>
      </x:c>
      <x:c r="E949" s="42" t="str">
        <x:v>Centroavante</x:v>
      </x:c>
      <x:c r="F949" s="42" t="str">
        <x:v>Shakhtar Donetsk</x:v>
      </x:c>
      <x:c r="G949" s="46"/>
      <x:c r="H949" s="46"/>
      <x:c r="I949" s="46"/>
      <x:c r="J949" s="46"/>
      <x:c r="K949" s="46" t="str">
        <x:f>IF(COUNT(G949,I949)=0,"",AVERAGE(G949,I949))</x:f>
      </x:c>
      <x:c r="L949" s="46" t="str">
        <x:f>IF(COUNT(H949,J949)=0,"",AVERAGE(H949,J949))</x:f>
      </x:c>
      <x:c r="M949" s="46" t="str">
        <x:f>IF(OR(K949="",L949=""),"",L949-K949)</x:f>
      </x:c>
      <x:c r="N949" s="46" t="str">
        <x:f>IF(OR(K949="",A948&lt;&gt;A949,K948=""),"",K949-K948)</x:f>
      </x:c>
      <x:c r="O949" s="42" t="str">
        <x:v>Sem informação</x:v>
      </x:c>
      <x:c r="P949" s="42"/>
      <x:c r="Q949" s="42" t="str"/>
      <x:c r="R949" s="42" t="str"/>
      <x:c r="S949" s="42" t="str"/>
      <x:c r="T949" s="42" t="str"/>
    </x:row>
    <x:row r="950">
      <x:c r="A950" s="42" t="str">
        <x:v>Lucca Meirelles</x:v>
      </x:c>
      <x:c r="B950" s="42" t="n">
        <x:v>2028</x:v>
      </x:c>
      <x:c r="C950" s="42" t="str">
        <x:v>T1</x:v>
      </x:c>
      <x:c r="D950" s="44" t="n">
        <x:v>46843</x:v>
      </x:c>
      <x:c r="E950" s="42" t="str">
        <x:v>Centroavante</x:v>
      </x:c>
      <x:c r="F950" s="42" t="str">
        <x:v>Shakhtar Donetsk</x:v>
      </x:c>
      <x:c r="G950" s="46"/>
      <x:c r="H950" s="46"/>
      <x:c r="I950" s="46"/>
      <x:c r="J950" s="46"/>
      <x:c r="K950" s="46" t="str">
        <x:f>IF(COUNT(G950,I950)=0,"",AVERAGE(G950,I950))</x:f>
      </x:c>
      <x:c r="L950" s="46" t="str">
        <x:f>IF(COUNT(H950,J950)=0,"",AVERAGE(H950,J950))</x:f>
      </x:c>
      <x:c r="M950" s="46" t="str">
        <x:f>IF(OR(K950="",L950=""),"",L950-K950)</x:f>
      </x:c>
      <x:c r="N950" s="46" t="str">
        <x:f>IF(OR(K950="",A949&lt;&gt;A950,K949=""),"",K950-K949)</x:f>
      </x:c>
      <x:c r="O950" s="42" t="str">
        <x:v>Sem informação</x:v>
      </x:c>
      <x:c r="P950" s="42"/>
      <x:c r="Q950" s="42" t="str"/>
      <x:c r="R950" s="42" t="str"/>
      <x:c r="S950" s="42" t="str"/>
      <x:c r="T950" s="42" t="str"/>
    </x:row>
    <x:row r="951">
      <x:c r="A951" s="42" t="str">
        <x:v>Lucca Meirelles</x:v>
      </x:c>
      <x:c r="B951" s="42" t="n">
        <x:v>2028</x:v>
      </x:c>
      <x:c r="C951" s="42" t="str">
        <x:v>T2</x:v>
      </x:c>
      <x:c r="D951" s="44" t="n">
        <x:v>46934</x:v>
      </x:c>
      <x:c r="E951" s="42" t="str">
        <x:v>Centroavante</x:v>
      </x:c>
      <x:c r="F951" s="42" t="str">
        <x:v>Shakhtar Donetsk</x:v>
      </x:c>
      <x:c r="G951" s="46"/>
      <x:c r="H951" s="46"/>
      <x:c r="I951" s="46"/>
      <x:c r="J951" s="46"/>
      <x:c r="K951" s="46" t="str">
        <x:f>IF(COUNT(G951,I951)=0,"",AVERAGE(G951,I951))</x:f>
      </x:c>
      <x:c r="L951" s="46" t="str">
        <x:f>IF(COUNT(H951,J951)=0,"",AVERAGE(H951,J951))</x:f>
      </x:c>
      <x:c r="M951" s="46" t="str">
        <x:f>IF(OR(K951="",L951=""),"",L951-K951)</x:f>
      </x:c>
      <x:c r="N951" s="46" t="str">
        <x:f>IF(OR(K951="",A950&lt;&gt;A951,K950=""),"",K951-K950)</x:f>
      </x:c>
      <x:c r="O951" s="42" t="str">
        <x:v>Sem informação</x:v>
      </x:c>
      <x:c r="P951" s="42"/>
      <x:c r="Q951" s="42" t="str"/>
      <x:c r="R951" s="42" t="str"/>
      <x:c r="S951" s="42" t="str"/>
      <x:c r="T951" s="42" t="str"/>
    </x:row>
    <x:row r="952">
      <x:c r="A952" s="42" t="str">
        <x:v>Lucca Meirelles</x:v>
      </x:c>
      <x:c r="B952" s="42" t="n">
        <x:v>2028</x:v>
      </x:c>
      <x:c r="C952" s="42" t="str">
        <x:v>T3</x:v>
      </x:c>
      <x:c r="D952" s="44" t="n">
        <x:v>47026</x:v>
      </x:c>
      <x:c r="E952" s="42" t="str">
        <x:v>Centroavante</x:v>
      </x:c>
      <x:c r="F952" s="42" t="str">
        <x:v>Shakhtar Donetsk</x:v>
      </x:c>
      <x:c r="G952" s="46"/>
      <x:c r="H952" s="46"/>
      <x:c r="I952" s="46"/>
      <x:c r="J952" s="46"/>
      <x:c r="K952" s="46" t="str">
        <x:f>IF(COUNT(G952,I952)=0,"",AVERAGE(G952,I952))</x:f>
      </x:c>
      <x:c r="L952" s="46" t="str">
        <x:f>IF(COUNT(H952,J952)=0,"",AVERAGE(H952,J952))</x:f>
      </x:c>
      <x:c r="M952" s="46" t="str">
        <x:f>IF(OR(K952="",L952=""),"",L952-K952)</x:f>
      </x:c>
      <x:c r="N952" s="46" t="str">
        <x:f>IF(OR(K952="",A951&lt;&gt;A952,K951=""),"",K952-K951)</x:f>
      </x:c>
      <x:c r="O952" s="42" t="str">
        <x:v>Sem informação</x:v>
      </x:c>
      <x:c r="P952" s="42"/>
      <x:c r="Q952" s="42" t="str"/>
      <x:c r="R952" s="42" t="str"/>
      <x:c r="S952" s="42" t="str"/>
      <x:c r="T952" s="42" t="str"/>
    </x:row>
    <x:row r="953">
      <x:c r="A953" s="42" t="str">
        <x:v>Lucca Meirelles</x:v>
      </x:c>
      <x:c r="B953" s="42" t="n">
        <x:v>2028</x:v>
      </x:c>
      <x:c r="C953" s="42" t="str">
        <x:v>T4</x:v>
      </x:c>
      <x:c r="D953" s="44" t="n">
        <x:v>47118</x:v>
      </x:c>
      <x:c r="E953" s="42" t="str">
        <x:v>Centroavante</x:v>
      </x:c>
      <x:c r="F953" s="42" t="str">
        <x:v>Shakhtar Donetsk</x:v>
      </x:c>
      <x:c r="G953" s="46"/>
      <x:c r="H953" s="46"/>
      <x:c r="I953" s="46"/>
      <x:c r="J953" s="46"/>
      <x:c r="K953" s="46" t="str">
        <x:f>IF(COUNT(G953,I953)=0,"",AVERAGE(G953,I953))</x:f>
      </x:c>
      <x:c r="L953" s="46" t="str">
        <x:f>IF(COUNT(H953,J953)=0,"",AVERAGE(H953,J953))</x:f>
      </x:c>
      <x:c r="M953" s="46" t="str">
        <x:f>IF(OR(K953="",L953=""),"",L953-K953)</x:f>
      </x:c>
      <x:c r="N953" s="46" t="str">
        <x:f>IF(OR(K953="",A952&lt;&gt;A953,K952=""),"",K953-K952)</x:f>
      </x:c>
      <x:c r="O953" s="42" t="str">
        <x:v>Sem informação</x:v>
      </x:c>
      <x:c r="P953" s="42"/>
      <x:c r="Q953" s="42" t="str"/>
      <x:c r="R953" s="42" t="str"/>
      <x:c r="S953" s="42" t="str"/>
      <x:c r="T953" s="42" t="str"/>
    </x:row>
    <x:row r="954">
      <x:c r="A954" s="42" t="str">
        <x:v>Lucca Meirelles</x:v>
      </x:c>
      <x:c r="B954" s="42" t="n">
        <x:v>2029</x:v>
      </x:c>
      <x:c r="C954" s="42" t="str">
        <x:v>T1</x:v>
      </x:c>
      <x:c r="D954" s="44" t="n">
        <x:v>47208</x:v>
      </x:c>
      <x:c r="E954" s="42" t="str">
        <x:v>Centroavante</x:v>
      </x:c>
      <x:c r="F954" s="42" t="str">
        <x:v>Shakhtar Donetsk</x:v>
      </x:c>
      <x:c r="G954" s="46"/>
      <x:c r="H954" s="46"/>
      <x:c r="I954" s="46"/>
      <x:c r="J954" s="46"/>
      <x:c r="K954" s="46" t="str">
        <x:f>IF(COUNT(G954,I954)=0,"",AVERAGE(G954,I954))</x:f>
      </x:c>
      <x:c r="L954" s="46" t="str">
        <x:f>IF(COUNT(H954,J954)=0,"",AVERAGE(H954,J954))</x:f>
      </x:c>
      <x:c r="M954" s="46" t="str">
        <x:f>IF(OR(K954="",L954=""),"",L954-K954)</x:f>
      </x:c>
      <x:c r="N954" s="46" t="str">
        <x:f>IF(OR(K954="",A953&lt;&gt;A954,K953=""),"",K954-K953)</x:f>
      </x:c>
      <x:c r="O954" s="42" t="str">
        <x:v>Sem informação</x:v>
      </x:c>
      <x:c r="P954" s="42"/>
      <x:c r="Q954" s="42" t="str"/>
      <x:c r="R954" s="42" t="str"/>
      <x:c r="S954" s="42" t="str"/>
      <x:c r="T954" s="42" t="str"/>
    </x:row>
    <x:row r="955">
      <x:c r="A955" s="42" t="str">
        <x:v>Lucca Meirelles</x:v>
      </x:c>
      <x:c r="B955" s="42" t="n">
        <x:v>2029</x:v>
      </x:c>
      <x:c r="C955" s="42" t="str">
        <x:v>T2</x:v>
      </x:c>
      <x:c r="D955" s="44" t="n">
        <x:v>47299</x:v>
      </x:c>
      <x:c r="E955" s="42" t="str">
        <x:v>Centroavante</x:v>
      </x:c>
      <x:c r="F955" s="42" t="str">
        <x:v>Shakhtar Donetsk</x:v>
      </x:c>
      <x:c r="G955" s="46"/>
      <x:c r="H955" s="46"/>
      <x:c r="I955" s="46"/>
      <x:c r="J955" s="46"/>
      <x:c r="K955" s="46" t="str">
        <x:f>IF(COUNT(G955,I955)=0,"",AVERAGE(G955,I955))</x:f>
      </x:c>
      <x:c r="L955" s="46" t="str">
        <x:f>IF(COUNT(H955,J955)=0,"",AVERAGE(H955,J955))</x:f>
      </x:c>
      <x:c r="M955" s="46" t="str">
        <x:f>IF(OR(K955="",L955=""),"",L955-K955)</x:f>
      </x:c>
      <x:c r="N955" s="46" t="str">
        <x:f>IF(OR(K955="",A954&lt;&gt;A955,K954=""),"",K955-K954)</x:f>
      </x:c>
      <x:c r="O955" s="42" t="str">
        <x:v>Sem informação</x:v>
      </x:c>
      <x:c r="P955" s="42"/>
      <x:c r="Q955" s="42" t="str"/>
      <x:c r="R955" s="42" t="str"/>
      <x:c r="S955" s="42" t="str"/>
      <x:c r="T955" s="42" t="str"/>
    </x:row>
    <x:row r="956">
      <x:c r="A956" s="42" t="str">
        <x:v>Lucca Meirelles</x:v>
      </x:c>
      <x:c r="B956" s="42" t="n">
        <x:v>2029</x:v>
      </x:c>
      <x:c r="C956" s="42" t="str">
        <x:v>T3</x:v>
      </x:c>
      <x:c r="D956" s="44" t="n">
        <x:v>47391</x:v>
      </x:c>
      <x:c r="E956" s="42" t="str">
        <x:v>Centroavante</x:v>
      </x:c>
      <x:c r="F956" s="42" t="str">
        <x:v>Shakhtar Donetsk</x:v>
      </x:c>
      <x:c r="G956" s="46"/>
      <x:c r="H956" s="46"/>
      <x:c r="I956" s="46"/>
      <x:c r="J956" s="46"/>
      <x:c r="K956" s="46" t="str">
        <x:f>IF(COUNT(G956,I956)=0,"",AVERAGE(G956,I956))</x:f>
      </x:c>
      <x:c r="L956" s="46" t="str">
        <x:f>IF(COUNT(H956,J956)=0,"",AVERAGE(H956,J956))</x:f>
      </x:c>
      <x:c r="M956" s="46" t="str">
        <x:f>IF(OR(K956="",L956=""),"",L956-K956)</x:f>
      </x:c>
      <x:c r="N956" s="46" t="str">
        <x:f>IF(OR(K956="",A955&lt;&gt;A956,K955=""),"",K956-K955)</x:f>
      </x:c>
      <x:c r="O956" s="42" t="str">
        <x:v>Sem informação</x:v>
      </x:c>
      <x:c r="P956" s="42"/>
      <x:c r="Q956" s="42" t="str"/>
      <x:c r="R956" s="42" t="str"/>
      <x:c r="S956" s="42" t="str"/>
      <x:c r="T956" s="42" t="str"/>
    </x:row>
    <x:row r="957">
      <x:c r="A957" s="42" t="str">
        <x:v>Lucca Meirelles</x:v>
      </x:c>
      <x:c r="B957" s="42" t="n">
        <x:v>2029</x:v>
      </x:c>
      <x:c r="C957" s="42" t="str">
        <x:v>T4</x:v>
      </x:c>
      <x:c r="D957" s="44" t="n">
        <x:v>47483</x:v>
      </x:c>
      <x:c r="E957" s="42" t="str">
        <x:v>Centroavante</x:v>
      </x:c>
      <x:c r="F957" s="42" t="str">
        <x:v>Shakhtar Donetsk</x:v>
      </x:c>
      <x:c r="G957" s="46"/>
      <x:c r="H957" s="46"/>
      <x:c r="I957" s="46"/>
      <x:c r="J957" s="46"/>
      <x:c r="K957" s="46" t="str">
        <x:f>IF(COUNT(G957,I957)=0,"",AVERAGE(G957,I957))</x:f>
      </x:c>
      <x:c r="L957" s="46" t="str">
        <x:f>IF(COUNT(H957,J957)=0,"",AVERAGE(H957,J957))</x:f>
      </x:c>
      <x:c r="M957" s="46" t="str">
        <x:f>IF(OR(K957="",L957=""),"",L957-K957)</x:f>
      </x:c>
      <x:c r="N957" s="46" t="str">
        <x:f>IF(OR(K957="",A956&lt;&gt;A957,K956=""),"",K957-K956)</x:f>
      </x:c>
      <x:c r="O957" s="42" t="str">
        <x:v>Sem informação</x:v>
      </x:c>
      <x:c r="P957" s="42"/>
      <x:c r="Q957" s="42" t="str"/>
      <x:c r="R957" s="42" t="str"/>
      <x:c r="S957" s="42" t="str"/>
      <x:c r="T957" s="42" t="str"/>
    </x:row>
    <x:row r="958">
      <x:c r="A958" s="42" t="str">
        <x:v>Lucca Meirelles</x:v>
      </x:c>
      <x:c r="B958" s="42" t="n">
        <x:v>2030</x:v>
      </x:c>
      <x:c r="C958" s="42" t="str">
        <x:v>T1</x:v>
      </x:c>
      <x:c r="D958" s="44" t="n">
        <x:v>47573</x:v>
      </x:c>
      <x:c r="E958" s="42" t="str">
        <x:v>Centroavante</x:v>
      </x:c>
      <x:c r="F958" s="42" t="str">
        <x:v>Shakhtar Donetsk</x:v>
      </x:c>
      <x:c r="G958" s="46"/>
      <x:c r="H958" s="46"/>
      <x:c r="I958" s="46"/>
      <x:c r="J958" s="46"/>
      <x:c r="K958" s="46" t="str">
        <x:f>IF(COUNT(G958,I958)=0,"",AVERAGE(G958,I958))</x:f>
      </x:c>
      <x:c r="L958" s="46" t="str">
        <x:f>IF(COUNT(H958,J958)=0,"",AVERAGE(H958,J958))</x:f>
      </x:c>
      <x:c r="M958" s="46" t="str">
        <x:f>IF(OR(K958="",L958=""),"",L958-K958)</x:f>
      </x:c>
      <x:c r="N958" s="46" t="str">
        <x:f>IF(OR(K958="",A957&lt;&gt;A958,K957=""),"",K958-K957)</x:f>
      </x:c>
      <x:c r="O958" s="42" t="str">
        <x:v>Sem informação</x:v>
      </x:c>
      <x:c r="P958" s="42"/>
      <x:c r="Q958" s="42" t="str"/>
      <x:c r="R958" s="42" t="str"/>
      <x:c r="S958" s="42" t="str"/>
      <x:c r="T958" s="42" t="str"/>
    </x:row>
    <x:row r="959">
      <x:c r="A959" s="42" t="str">
        <x:v>Lucca Meirelles</x:v>
      </x:c>
      <x:c r="B959" s="42" t="n">
        <x:v>2030</x:v>
      </x:c>
      <x:c r="C959" s="42" t="str">
        <x:v>T2</x:v>
      </x:c>
      <x:c r="D959" s="44" t="n">
        <x:v>47664</x:v>
      </x:c>
      <x:c r="E959" s="42" t="str">
        <x:v>Centroavante</x:v>
      </x:c>
      <x:c r="F959" s="42" t="str">
        <x:v>Shakhtar Donetsk</x:v>
      </x:c>
      <x:c r="G959" s="46"/>
      <x:c r="H959" s="46"/>
      <x:c r="I959" s="46"/>
      <x:c r="J959" s="46"/>
      <x:c r="K959" s="46" t="str">
        <x:f>IF(COUNT(G959,I959)=0,"",AVERAGE(G959,I959))</x:f>
      </x:c>
      <x:c r="L959" s="46" t="str">
        <x:f>IF(COUNT(H959,J959)=0,"",AVERAGE(H959,J959))</x:f>
      </x:c>
      <x:c r="M959" s="46" t="str">
        <x:f>IF(OR(K959="",L959=""),"",L959-K959)</x:f>
      </x:c>
      <x:c r="N959" s="46" t="str">
        <x:f>IF(OR(K959="",A958&lt;&gt;A959,K958=""),"",K959-K958)</x:f>
      </x:c>
      <x:c r="O959" s="42" t="str">
        <x:v>Sem informação</x:v>
      </x:c>
      <x:c r="P959" s="42"/>
      <x:c r="Q959" s="42" t="str"/>
      <x:c r="R959" s="42" t="str"/>
      <x:c r="S959" s="42" t="str"/>
      <x:c r="T959" s="42" t="str"/>
    </x:row>
    <x:row r="960">
      <x:c r="A960" s="42" t="str">
        <x:v>Lucca Meirelles</x:v>
      </x:c>
      <x:c r="B960" s="42" t="n">
        <x:v>2030</x:v>
      </x:c>
      <x:c r="C960" s="42" t="str">
        <x:v>T3</x:v>
      </x:c>
      <x:c r="D960" s="44" t="n">
        <x:v>47756</x:v>
      </x:c>
      <x:c r="E960" s="42" t="str">
        <x:v>Centroavante</x:v>
      </x:c>
      <x:c r="F960" s="42" t="str">
        <x:v>Shakhtar Donetsk</x:v>
      </x:c>
      <x:c r="G960" s="46"/>
      <x:c r="H960" s="46"/>
      <x:c r="I960" s="46"/>
      <x:c r="J960" s="46"/>
      <x:c r="K960" s="46" t="str">
        <x:f>IF(COUNT(G960,I960)=0,"",AVERAGE(G960,I960))</x:f>
      </x:c>
      <x:c r="L960" s="46" t="str">
        <x:f>IF(COUNT(H960,J960)=0,"",AVERAGE(H960,J960))</x:f>
      </x:c>
      <x:c r="M960" s="46" t="str">
        <x:f>IF(OR(K960="",L960=""),"",L960-K960)</x:f>
      </x:c>
      <x:c r="N960" s="46" t="str">
        <x:f>IF(OR(K960="",A959&lt;&gt;A960,K959=""),"",K960-K959)</x:f>
      </x:c>
      <x:c r="O960" s="42" t="str">
        <x:v>Sem informação</x:v>
      </x:c>
      <x:c r="P960" s="42"/>
      <x:c r="Q960" s="42" t="str"/>
      <x:c r="R960" s="42" t="str"/>
      <x:c r="S960" s="42" t="str"/>
      <x:c r="T960" s="42" t="str"/>
    </x:row>
    <x:row r="961">
      <x:c r="A961" s="42" t="str">
        <x:v>Lucca Meirelles</x:v>
      </x:c>
      <x:c r="B961" s="42" t="n">
        <x:v>2030</x:v>
      </x:c>
      <x:c r="C961" s="42" t="str">
        <x:v>T4</x:v>
      </x:c>
      <x:c r="D961" s="44" t="n">
        <x:v>47848</x:v>
      </x:c>
      <x:c r="E961" s="42" t="str">
        <x:v>Centroavante</x:v>
      </x:c>
      <x:c r="F961" s="42" t="str">
        <x:v>Shakhtar Donetsk</x:v>
      </x:c>
      <x:c r="G961" s="46"/>
      <x:c r="H961" s="46"/>
      <x:c r="I961" s="46"/>
      <x:c r="J961" s="46"/>
      <x:c r="K961" s="46" t="str">
        <x:f>IF(COUNT(G961,I961)=0,"",AVERAGE(G961,I961))</x:f>
      </x:c>
      <x:c r="L961" s="46" t="str">
        <x:f>IF(COUNT(H961,J961)=0,"",AVERAGE(H961,J961))</x:f>
      </x:c>
      <x:c r="M961" s="46" t="str">
        <x:f>IF(OR(K961="",L961=""),"",L961-K961)</x:f>
      </x:c>
      <x:c r="N961" s="46" t="str">
        <x:f>IF(OR(K961="",A960&lt;&gt;A961,K960=""),"",K961-K960)</x:f>
      </x:c>
      <x:c r="O961" s="42" t="str">
        <x:v>Sem informação</x:v>
      </x:c>
      <x:c r="P961" s="42"/>
      <x:c r="Q961" s="42" t="str"/>
      <x:c r="R961" s="42" t="str"/>
      <x:c r="S961" s="42" t="str"/>
      <x:c r="T961" s="42" t="str"/>
    </x:row>
    <x:row r="962">
      <x:c r="A962" s="42" t="str">
        <x:v>Luiz Henrique</x:v>
      </x:c>
      <x:c r="B962" s="42" t="n">
        <x:v>2026</x:v>
      </x:c>
      <x:c r="C962" s="42" t="str">
        <x:v>T1</x:v>
      </x:c>
      <x:c r="D962" s="44" t="n">
        <x:v>46112</x:v>
      </x:c>
      <x:c r="E962" s="42" t="str">
        <x:v>Ponta-direita</x:v>
      </x:c>
      <x:c r="F962" s="42" t="str">
        <x:v>Zenit São Petersburgo</x:v>
      </x:c>
      <x:c r="G962" s="46"/>
      <x:c r="H962" s="46"/>
      <x:c r="I962" s="46"/>
      <x:c r="J962" s="46"/>
      <x:c r="K962" s="46" t="str">
        <x:f>IF(COUNT(G962,I962)=0,"",AVERAGE(G962,I962))</x:f>
      </x:c>
      <x:c r="L962" s="46" t="str">
        <x:f>IF(COUNT(H962,J962)=0,"",AVERAGE(H962,J962))</x:f>
      </x:c>
      <x:c r="M962" s="46" t="str">
        <x:f>IF(OR(K962="",L962=""),"",L962-K962)</x:f>
      </x:c>
      <x:c r="N962" s="46" t="str">
        <x:f>IF(OR(K962="",A961&lt;&gt;A962,K961=""),"",K962-K961)</x:f>
      </x:c>
      <x:c r="O962" s="42" t="str">
        <x:v>Sem informação</x:v>
      </x:c>
      <x:c r="P962" s="42"/>
      <x:c r="Q962" s="42" t="str"/>
      <x:c r="R962" s="42" t="str"/>
      <x:c r="S962" s="42" t="str"/>
      <x:c r="T962" s="42" t="str"/>
    </x:row>
    <x:row r="963">
      <x:c r="A963" s="42" t="str">
        <x:v>Luiz Henrique</x:v>
      </x:c>
      <x:c r="B963" s="42" t="n">
        <x:v>2026</x:v>
      </x:c>
      <x:c r="C963" s="42" t="str">
        <x:v>T2</x:v>
      </x:c>
      <x:c r="D963" s="44" t="n">
        <x:v>46203</x:v>
      </x:c>
      <x:c r="E963" s="42" t="str">
        <x:v>Ponta-direita</x:v>
      </x:c>
      <x:c r="F963" s="42" t="str">
        <x:v>Zenit São Petersburgo</x:v>
      </x:c>
      <x:c r="G963" s="46" t="n">
        <x:v>7</x:v>
      </x:c>
      <x:c r="H963" s="46" t="n">
        <x:v>8</x:v>
      </x:c>
      <x:c r="I963" s="46" t="n">
        <x:v>7.5</x:v>
      </x:c>
      <x:c r="J963" s="46" t="n">
        <x:v>8</x:v>
      </x:c>
      <x:c r="K963" s="46" t="n">
        <x:f>IF(COUNT(G963,I963)=0,"",AVERAGE(G963,I963))</x:f>
        <x:v>7.25</x:v>
      </x:c>
      <x:c r="L963" s="46" t="n">
        <x:f>IF(COUNT(H963,J963)=0,"",AVERAGE(H963,J963))</x:f>
        <x:v>8</x:v>
      </x:c>
      <x:c r="M963" s="46" t="n">
        <x:f>IF(OR(K963="",L963=""),"",L963-K963)</x:f>
        <x:v>0.75</x:v>
      </x:c>
      <x:c r="N963" s="46" t="str">
        <x:f>IF(OR(K963="",A962&lt;&gt;A963,K962=""),"",K963-K962)</x:f>
      </x:c>
      <x:c r="O963" s="42" t="str">
        <x:v>Sem informação</x:v>
      </x:c>
      <x:c r="P963" s="42"/>
      <x:c r="Q963" s="42" t="str">
        <x:v>Precisa ver se levará a carreira mais a sério. Tem potencial.</x:v>
      </x:c>
      <x:c r="R963" s="42" t="str"/>
      <x:c r="S963" s="42" t="str"/>
      <x:c r="T963" s="42" t="str"/>
    </x:row>
    <x:row r="964">
      <x:c r="A964" s="42" t="str">
        <x:v>Luiz Henrique</x:v>
      </x:c>
      <x:c r="B964" s="42" t="n">
        <x:v>2026</x:v>
      </x:c>
      <x:c r="C964" s="42" t="str">
        <x:v>T3</x:v>
      </x:c>
      <x:c r="D964" s="44" t="n">
        <x:v>46295</x:v>
      </x:c>
      <x:c r="E964" s="42" t="str">
        <x:v>Ponta-direita</x:v>
      </x:c>
      <x:c r="F964" s="42" t="str">
        <x:v>Zenit São Petersburgo</x:v>
      </x:c>
      <x:c r="G964" s="46"/>
      <x:c r="H964" s="46"/>
      <x:c r="I964" s="46"/>
      <x:c r="J964" s="46"/>
      <x:c r="K964" s="46" t="str">
        <x:f>IF(COUNT(G964,I964)=0,"",AVERAGE(G964,I964))</x:f>
      </x:c>
      <x:c r="L964" s="46" t="str">
        <x:f>IF(COUNT(H964,J964)=0,"",AVERAGE(H964,J964))</x:f>
      </x:c>
      <x:c r="M964" s="46" t="str">
        <x:f>IF(OR(K964="",L964=""),"",L964-K964)</x:f>
      </x:c>
      <x:c r="N964" s="46" t="str">
        <x:f>IF(OR(K964="",A963&lt;&gt;A964,K963=""),"",K964-K963)</x:f>
      </x:c>
      <x:c r="O964" s="42" t="str">
        <x:v>Sem informação</x:v>
      </x:c>
      <x:c r="P964" s="42"/>
      <x:c r="Q964" s="42" t="str"/>
      <x:c r="R964" s="42" t="str"/>
      <x:c r="S964" s="42" t="str"/>
      <x:c r="T964" s="42" t="str"/>
    </x:row>
    <x:row r="965">
      <x:c r="A965" s="42" t="str">
        <x:v>Luiz Henrique</x:v>
      </x:c>
      <x:c r="B965" s="42" t="n">
        <x:v>2026</x:v>
      </x:c>
      <x:c r="C965" s="42" t="str">
        <x:v>T4</x:v>
      </x:c>
      <x:c r="D965" s="44" t="n">
        <x:v>46387</x:v>
      </x:c>
      <x:c r="E965" s="42" t="str">
        <x:v>Ponta-direita</x:v>
      </x:c>
      <x:c r="F965" s="42" t="str">
        <x:v>Zenit São Petersburgo</x:v>
      </x:c>
      <x:c r="G965" s="46"/>
      <x:c r="H965" s="46"/>
      <x:c r="I965" s="46"/>
      <x:c r="J965" s="46"/>
      <x:c r="K965" s="46" t="str">
        <x:f>IF(COUNT(G965,I965)=0,"",AVERAGE(G965,I965))</x:f>
      </x:c>
      <x:c r="L965" s="46" t="str">
        <x:f>IF(COUNT(H965,J965)=0,"",AVERAGE(H965,J965))</x:f>
      </x:c>
      <x:c r="M965" s="46" t="str">
        <x:f>IF(OR(K965="",L965=""),"",L965-K965)</x:f>
      </x:c>
      <x:c r="N965" s="46" t="str">
        <x:f>IF(OR(K965="",A964&lt;&gt;A965,K964=""),"",K965-K964)</x:f>
      </x:c>
      <x:c r="O965" s="42" t="str">
        <x:v>Sem informação</x:v>
      </x:c>
      <x:c r="P965" s="42"/>
      <x:c r="Q965" s="42" t="str"/>
      <x:c r="R965" s="42" t="str"/>
      <x:c r="S965" s="42" t="str"/>
      <x:c r="T965" s="42" t="str"/>
    </x:row>
    <x:row r="966">
      <x:c r="A966" s="42" t="str">
        <x:v>Luiz Henrique</x:v>
      </x:c>
      <x:c r="B966" s="42" t="n">
        <x:v>2027</x:v>
      </x:c>
      <x:c r="C966" s="42" t="str">
        <x:v>T1</x:v>
      </x:c>
      <x:c r="D966" s="44" t="n">
        <x:v>46477</x:v>
      </x:c>
      <x:c r="E966" s="42" t="str">
        <x:v>Ponta-direita</x:v>
      </x:c>
      <x:c r="F966" s="42" t="str">
        <x:v>Zenit São Petersburgo</x:v>
      </x:c>
      <x:c r="G966" s="46"/>
      <x:c r="H966" s="46"/>
      <x:c r="I966" s="46"/>
      <x:c r="J966" s="46"/>
      <x:c r="K966" s="46" t="str">
        <x:f>IF(COUNT(G966,I966)=0,"",AVERAGE(G966,I966))</x:f>
      </x:c>
      <x:c r="L966" s="46" t="str">
        <x:f>IF(COUNT(H966,J966)=0,"",AVERAGE(H966,J966))</x:f>
      </x:c>
      <x:c r="M966" s="46" t="str">
        <x:f>IF(OR(K966="",L966=""),"",L966-K966)</x:f>
      </x:c>
      <x:c r="N966" s="46" t="str">
        <x:f>IF(OR(K966="",A965&lt;&gt;A966,K965=""),"",K966-K965)</x:f>
      </x:c>
      <x:c r="O966" s="42" t="str">
        <x:v>Sem informação</x:v>
      </x:c>
      <x:c r="P966" s="42"/>
      <x:c r="Q966" s="42" t="str"/>
      <x:c r="R966" s="42" t="str"/>
      <x:c r="S966" s="42" t="str"/>
      <x:c r="T966" s="42" t="str"/>
    </x:row>
    <x:row r="967">
      <x:c r="A967" s="42" t="str">
        <x:v>Luiz Henrique</x:v>
      </x:c>
      <x:c r="B967" s="42" t="n">
        <x:v>2027</x:v>
      </x:c>
      <x:c r="C967" s="42" t="str">
        <x:v>T2</x:v>
      </x:c>
      <x:c r="D967" s="44" t="n">
        <x:v>46568</x:v>
      </x:c>
      <x:c r="E967" s="42" t="str">
        <x:v>Ponta-direita</x:v>
      </x:c>
      <x:c r="F967" s="42" t="str">
        <x:v>Zenit São Petersburgo</x:v>
      </x:c>
      <x:c r="G967" s="46"/>
      <x:c r="H967" s="46"/>
      <x:c r="I967" s="46"/>
      <x:c r="J967" s="46"/>
      <x:c r="K967" s="46" t="str">
        <x:f>IF(COUNT(G967,I967)=0,"",AVERAGE(G967,I967))</x:f>
      </x:c>
      <x:c r="L967" s="46" t="str">
        <x:f>IF(COUNT(H967,J967)=0,"",AVERAGE(H967,J967))</x:f>
      </x:c>
      <x:c r="M967" s="46" t="str">
        <x:f>IF(OR(K967="",L967=""),"",L967-K967)</x:f>
      </x:c>
      <x:c r="N967" s="46" t="str">
        <x:f>IF(OR(K967="",A966&lt;&gt;A967,K966=""),"",K967-K966)</x:f>
      </x:c>
      <x:c r="O967" s="42" t="str">
        <x:v>Sem informação</x:v>
      </x:c>
      <x:c r="P967" s="42"/>
      <x:c r="Q967" s="42" t="str"/>
      <x:c r="R967" s="42" t="str"/>
      <x:c r="S967" s="42" t="str"/>
      <x:c r="T967" s="42" t="str"/>
    </x:row>
    <x:row r="968">
      <x:c r="A968" s="42" t="str">
        <x:v>Luiz Henrique</x:v>
      </x:c>
      <x:c r="B968" s="42" t="n">
        <x:v>2027</x:v>
      </x:c>
      <x:c r="C968" s="42" t="str">
        <x:v>T3</x:v>
      </x:c>
      <x:c r="D968" s="44" t="n">
        <x:v>46660</x:v>
      </x:c>
      <x:c r="E968" s="42" t="str">
        <x:v>Ponta-direita</x:v>
      </x:c>
      <x:c r="F968" s="42" t="str">
        <x:v>Zenit São Petersburgo</x:v>
      </x:c>
      <x:c r="G968" s="46"/>
      <x:c r="H968" s="46"/>
      <x:c r="I968" s="46"/>
      <x:c r="J968" s="46"/>
      <x:c r="K968" s="46" t="str">
        <x:f>IF(COUNT(G968,I968)=0,"",AVERAGE(G968,I968))</x:f>
      </x:c>
      <x:c r="L968" s="46" t="str">
        <x:f>IF(COUNT(H968,J968)=0,"",AVERAGE(H968,J968))</x:f>
      </x:c>
      <x:c r="M968" s="46" t="str">
        <x:f>IF(OR(K968="",L968=""),"",L968-K968)</x:f>
      </x:c>
      <x:c r="N968" s="46" t="str">
        <x:f>IF(OR(K968="",A967&lt;&gt;A968,K967=""),"",K968-K967)</x:f>
      </x:c>
      <x:c r="O968" s="42" t="str">
        <x:v>Sem informação</x:v>
      </x:c>
      <x:c r="P968" s="42"/>
      <x:c r="Q968" s="42" t="str"/>
      <x:c r="R968" s="42" t="str"/>
      <x:c r="S968" s="42" t="str"/>
      <x:c r="T968" s="42" t="str"/>
    </x:row>
    <x:row r="969">
      <x:c r="A969" s="42" t="str">
        <x:v>Luiz Henrique</x:v>
      </x:c>
      <x:c r="B969" s="42" t="n">
        <x:v>2027</x:v>
      </x:c>
      <x:c r="C969" s="42" t="str">
        <x:v>T4</x:v>
      </x:c>
      <x:c r="D969" s="44" t="n">
        <x:v>46752</x:v>
      </x:c>
      <x:c r="E969" s="42" t="str">
        <x:v>Ponta-direita</x:v>
      </x:c>
      <x:c r="F969" s="42" t="str">
        <x:v>Zenit São Petersburgo</x:v>
      </x:c>
      <x:c r="G969" s="46"/>
      <x:c r="H969" s="46"/>
      <x:c r="I969" s="46"/>
      <x:c r="J969" s="46"/>
      <x:c r="K969" s="46" t="str">
        <x:f>IF(COUNT(G969,I969)=0,"",AVERAGE(G969,I969))</x:f>
      </x:c>
      <x:c r="L969" s="46" t="str">
        <x:f>IF(COUNT(H969,J969)=0,"",AVERAGE(H969,J969))</x:f>
      </x:c>
      <x:c r="M969" s="46" t="str">
        <x:f>IF(OR(K969="",L969=""),"",L969-K969)</x:f>
      </x:c>
      <x:c r="N969" s="46" t="str">
        <x:f>IF(OR(K969="",A968&lt;&gt;A969,K968=""),"",K969-K968)</x:f>
      </x:c>
      <x:c r="O969" s="42" t="str">
        <x:v>Sem informação</x:v>
      </x:c>
      <x:c r="P969" s="42"/>
      <x:c r="Q969" s="42" t="str"/>
      <x:c r="R969" s="42" t="str"/>
      <x:c r="S969" s="42" t="str"/>
      <x:c r="T969" s="42" t="str"/>
    </x:row>
    <x:row r="970">
      <x:c r="A970" s="42" t="str">
        <x:v>Luiz Henrique</x:v>
      </x:c>
      <x:c r="B970" s="42" t="n">
        <x:v>2028</x:v>
      </x:c>
      <x:c r="C970" s="42" t="str">
        <x:v>T1</x:v>
      </x:c>
      <x:c r="D970" s="44" t="n">
        <x:v>46843</x:v>
      </x:c>
      <x:c r="E970" s="42" t="str">
        <x:v>Ponta-direita</x:v>
      </x:c>
      <x:c r="F970" s="42" t="str">
        <x:v>Zenit São Petersburgo</x:v>
      </x:c>
      <x:c r="G970" s="46"/>
      <x:c r="H970" s="46"/>
      <x:c r="I970" s="46"/>
      <x:c r="J970" s="46"/>
      <x:c r="K970" s="46" t="str">
        <x:f>IF(COUNT(G970,I970)=0,"",AVERAGE(G970,I970))</x:f>
      </x:c>
      <x:c r="L970" s="46" t="str">
        <x:f>IF(COUNT(H970,J970)=0,"",AVERAGE(H970,J970))</x:f>
      </x:c>
      <x:c r="M970" s="46" t="str">
        <x:f>IF(OR(K970="",L970=""),"",L970-K970)</x:f>
      </x:c>
      <x:c r="N970" s="46" t="str">
        <x:f>IF(OR(K970="",A969&lt;&gt;A970,K969=""),"",K970-K969)</x:f>
      </x:c>
      <x:c r="O970" s="42" t="str">
        <x:v>Sem informação</x:v>
      </x:c>
      <x:c r="P970" s="42"/>
      <x:c r="Q970" s="42" t="str"/>
      <x:c r="R970" s="42" t="str"/>
      <x:c r="S970" s="42" t="str"/>
      <x:c r="T970" s="42" t="str"/>
    </x:row>
    <x:row r="971">
      <x:c r="A971" s="42" t="str">
        <x:v>Luiz Henrique</x:v>
      </x:c>
      <x:c r="B971" s="42" t="n">
        <x:v>2028</x:v>
      </x:c>
      <x:c r="C971" s="42" t="str">
        <x:v>T2</x:v>
      </x:c>
      <x:c r="D971" s="44" t="n">
        <x:v>46934</x:v>
      </x:c>
      <x:c r="E971" s="42" t="str">
        <x:v>Ponta-direita</x:v>
      </x:c>
      <x:c r="F971" s="42" t="str">
        <x:v>Zenit São Petersburgo</x:v>
      </x:c>
      <x:c r="G971" s="46"/>
      <x:c r="H971" s="46"/>
      <x:c r="I971" s="46"/>
      <x:c r="J971" s="46"/>
      <x:c r="K971" s="46" t="str">
        <x:f>IF(COUNT(G971,I971)=0,"",AVERAGE(G971,I971))</x:f>
      </x:c>
      <x:c r="L971" s="46" t="str">
        <x:f>IF(COUNT(H971,J971)=0,"",AVERAGE(H971,J971))</x:f>
      </x:c>
      <x:c r="M971" s="46" t="str">
        <x:f>IF(OR(K971="",L971=""),"",L971-K971)</x:f>
      </x:c>
      <x:c r="N971" s="46" t="str">
        <x:f>IF(OR(K971="",A970&lt;&gt;A971,K970=""),"",K971-K970)</x:f>
      </x:c>
      <x:c r="O971" s="42" t="str">
        <x:v>Sem informação</x:v>
      </x:c>
      <x:c r="P971" s="42"/>
      <x:c r="Q971" s="42" t="str"/>
      <x:c r="R971" s="42" t="str"/>
      <x:c r="S971" s="42" t="str"/>
      <x:c r="T971" s="42" t="str"/>
    </x:row>
    <x:row r="972">
      <x:c r="A972" s="42" t="str">
        <x:v>Luiz Henrique</x:v>
      </x:c>
      <x:c r="B972" s="42" t="n">
        <x:v>2028</x:v>
      </x:c>
      <x:c r="C972" s="42" t="str">
        <x:v>T3</x:v>
      </x:c>
      <x:c r="D972" s="44" t="n">
        <x:v>47026</x:v>
      </x:c>
      <x:c r="E972" s="42" t="str">
        <x:v>Ponta-direita</x:v>
      </x:c>
      <x:c r="F972" s="42" t="str">
        <x:v>Zenit São Petersburgo</x:v>
      </x:c>
      <x:c r="G972" s="46"/>
      <x:c r="H972" s="46"/>
      <x:c r="I972" s="46"/>
      <x:c r="J972" s="46"/>
      <x:c r="K972" s="46" t="str">
        <x:f>IF(COUNT(G972,I972)=0,"",AVERAGE(G972,I972))</x:f>
      </x:c>
      <x:c r="L972" s="46" t="str">
        <x:f>IF(COUNT(H972,J972)=0,"",AVERAGE(H972,J972))</x:f>
      </x:c>
      <x:c r="M972" s="46" t="str">
        <x:f>IF(OR(K972="",L972=""),"",L972-K972)</x:f>
      </x:c>
      <x:c r="N972" s="46" t="str">
        <x:f>IF(OR(K972="",A971&lt;&gt;A972,K971=""),"",K972-K971)</x:f>
      </x:c>
      <x:c r="O972" s="42" t="str">
        <x:v>Sem informação</x:v>
      </x:c>
      <x:c r="P972" s="42"/>
      <x:c r="Q972" s="42" t="str"/>
      <x:c r="R972" s="42" t="str"/>
      <x:c r="S972" s="42" t="str"/>
      <x:c r="T972" s="42" t="str"/>
    </x:row>
    <x:row r="973">
      <x:c r="A973" s="42" t="str">
        <x:v>Luiz Henrique</x:v>
      </x:c>
      <x:c r="B973" s="42" t="n">
        <x:v>2028</x:v>
      </x:c>
      <x:c r="C973" s="42" t="str">
        <x:v>T4</x:v>
      </x:c>
      <x:c r="D973" s="44" t="n">
        <x:v>47118</x:v>
      </x:c>
      <x:c r="E973" s="42" t="str">
        <x:v>Ponta-direita</x:v>
      </x:c>
      <x:c r="F973" s="42" t="str">
        <x:v>Zenit São Petersburgo</x:v>
      </x:c>
      <x:c r="G973" s="46"/>
      <x:c r="H973" s="46"/>
      <x:c r="I973" s="46"/>
      <x:c r="J973" s="46"/>
      <x:c r="K973" s="46" t="str">
        <x:f>IF(COUNT(G973,I973)=0,"",AVERAGE(G973,I973))</x:f>
      </x:c>
      <x:c r="L973" s="46" t="str">
        <x:f>IF(COUNT(H973,J973)=0,"",AVERAGE(H973,J973))</x:f>
      </x:c>
      <x:c r="M973" s="46" t="str">
        <x:f>IF(OR(K973="",L973=""),"",L973-K973)</x:f>
      </x:c>
      <x:c r="N973" s="46" t="str">
        <x:f>IF(OR(K973="",A972&lt;&gt;A973,K972=""),"",K973-K972)</x:f>
      </x:c>
      <x:c r="O973" s="42" t="str">
        <x:v>Sem informação</x:v>
      </x:c>
      <x:c r="P973" s="42"/>
      <x:c r="Q973" s="42" t="str"/>
      <x:c r="R973" s="42" t="str"/>
      <x:c r="S973" s="42" t="str"/>
      <x:c r="T973" s="42" t="str"/>
    </x:row>
    <x:row r="974">
      <x:c r="A974" s="42" t="str">
        <x:v>Luiz Henrique</x:v>
      </x:c>
      <x:c r="B974" s="42" t="n">
        <x:v>2029</x:v>
      </x:c>
      <x:c r="C974" s="42" t="str">
        <x:v>T1</x:v>
      </x:c>
      <x:c r="D974" s="44" t="n">
        <x:v>47208</x:v>
      </x:c>
      <x:c r="E974" s="42" t="str">
        <x:v>Ponta-direita</x:v>
      </x:c>
      <x:c r="F974" s="42" t="str">
        <x:v>Zenit São Petersburgo</x:v>
      </x:c>
      <x:c r="G974" s="46"/>
      <x:c r="H974" s="46"/>
      <x:c r="I974" s="46"/>
      <x:c r="J974" s="46"/>
      <x:c r="K974" s="46" t="str">
        <x:f>IF(COUNT(G974,I974)=0,"",AVERAGE(G974,I974))</x:f>
      </x:c>
      <x:c r="L974" s="46" t="str">
        <x:f>IF(COUNT(H974,J974)=0,"",AVERAGE(H974,J974))</x:f>
      </x:c>
      <x:c r="M974" s="46" t="str">
        <x:f>IF(OR(K974="",L974=""),"",L974-K974)</x:f>
      </x:c>
      <x:c r="N974" s="46" t="str">
        <x:f>IF(OR(K974="",A973&lt;&gt;A974,K973=""),"",K974-K973)</x:f>
      </x:c>
      <x:c r="O974" s="42" t="str">
        <x:v>Sem informação</x:v>
      </x:c>
      <x:c r="P974" s="42"/>
      <x:c r="Q974" s="42" t="str"/>
      <x:c r="R974" s="42" t="str"/>
      <x:c r="S974" s="42" t="str"/>
      <x:c r="T974" s="42" t="str"/>
    </x:row>
    <x:row r="975">
      <x:c r="A975" s="42" t="str">
        <x:v>Luiz Henrique</x:v>
      </x:c>
      <x:c r="B975" s="42" t="n">
        <x:v>2029</x:v>
      </x:c>
      <x:c r="C975" s="42" t="str">
        <x:v>T2</x:v>
      </x:c>
      <x:c r="D975" s="44" t="n">
        <x:v>47299</x:v>
      </x:c>
      <x:c r="E975" s="42" t="str">
        <x:v>Ponta-direita</x:v>
      </x:c>
      <x:c r="F975" s="42" t="str">
        <x:v>Zenit São Petersburgo</x:v>
      </x:c>
      <x:c r="G975" s="46"/>
      <x:c r="H975" s="46"/>
      <x:c r="I975" s="46"/>
      <x:c r="J975" s="46"/>
      <x:c r="K975" s="46" t="str">
        <x:f>IF(COUNT(G975,I975)=0,"",AVERAGE(G975,I975))</x:f>
      </x:c>
      <x:c r="L975" s="46" t="str">
        <x:f>IF(COUNT(H975,J975)=0,"",AVERAGE(H975,J975))</x:f>
      </x:c>
      <x:c r="M975" s="46" t="str">
        <x:f>IF(OR(K975="",L975=""),"",L975-K975)</x:f>
      </x:c>
      <x:c r="N975" s="46" t="str">
        <x:f>IF(OR(K975="",A974&lt;&gt;A975,K974=""),"",K975-K974)</x:f>
      </x:c>
      <x:c r="O975" s="42" t="str">
        <x:v>Sem informação</x:v>
      </x:c>
      <x:c r="P975" s="42"/>
      <x:c r="Q975" s="42" t="str"/>
      <x:c r="R975" s="42" t="str"/>
      <x:c r="S975" s="42" t="str"/>
      <x:c r="T975" s="42" t="str"/>
    </x:row>
    <x:row r="976">
      <x:c r="A976" s="42" t="str">
        <x:v>Luiz Henrique</x:v>
      </x:c>
      <x:c r="B976" s="42" t="n">
        <x:v>2029</x:v>
      </x:c>
      <x:c r="C976" s="42" t="str">
        <x:v>T3</x:v>
      </x:c>
      <x:c r="D976" s="44" t="n">
        <x:v>47391</x:v>
      </x:c>
      <x:c r="E976" s="42" t="str">
        <x:v>Ponta-direita</x:v>
      </x:c>
      <x:c r="F976" s="42" t="str">
        <x:v>Zenit São Petersburgo</x:v>
      </x:c>
      <x:c r="G976" s="46"/>
      <x:c r="H976" s="46"/>
      <x:c r="I976" s="46"/>
      <x:c r="J976" s="46"/>
      <x:c r="K976" s="46" t="str">
        <x:f>IF(COUNT(G976,I976)=0,"",AVERAGE(G976,I976))</x:f>
      </x:c>
      <x:c r="L976" s="46" t="str">
        <x:f>IF(COUNT(H976,J976)=0,"",AVERAGE(H976,J976))</x:f>
      </x:c>
      <x:c r="M976" s="46" t="str">
        <x:f>IF(OR(K976="",L976=""),"",L976-K976)</x:f>
      </x:c>
      <x:c r="N976" s="46" t="str">
        <x:f>IF(OR(K976="",A975&lt;&gt;A976,K975=""),"",K976-K975)</x:f>
      </x:c>
      <x:c r="O976" s="42" t="str">
        <x:v>Sem informação</x:v>
      </x:c>
      <x:c r="P976" s="42"/>
      <x:c r="Q976" s="42" t="str"/>
      <x:c r="R976" s="42" t="str"/>
      <x:c r="S976" s="42" t="str"/>
      <x:c r="T976" s="42" t="str"/>
    </x:row>
    <x:row r="977">
      <x:c r="A977" s="42" t="str">
        <x:v>Luiz Henrique</x:v>
      </x:c>
      <x:c r="B977" s="42" t="n">
        <x:v>2029</x:v>
      </x:c>
      <x:c r="C977" s="42" t="str">
        <x:v>T4</x:v>
      </x:c>
      <x:c r="D977" s="44" t="n">
        <x:v>47483</x:v>
      </x:c>
      <x:c r="E977" s="42" t="str">
        <x:v>Ponta-direita</x:v>
      </x:c>
      <x:c r="F977" s="42" t="str">
        <x:v>Zenit São Petersburgo</x:v>
      </x:c>
      <x:c r="G977" s="46"/>
      <x:c r="H977" s="46"/>
      <x:c r="I977" s="46"/>
      <x:c r="J977" s="46"/>
      <x:c r="K977" s="46" t="str">
        <x:f>IF(COUNT(G977,I977)=0,"",AVERAGE(G977,I977))</x:f>
      </x:c>
      <x:c r="L977" s="46" t="str">
        <x:f>IF(COUNT(H977,J977)=0,"",AVERAGE(H977,J977))</x:f>
      </x:c>
      <x:c r="M977" s="46" t="str">
        <x:f>IF(OR(K977="",L977=""),"",L977-K977)</x:f>
      </x:c>
      <x:c r="N977" s="46" t="str">
        <x:f>IF(OR(K977="",A976&lt;&gt;A977,K976=""),"",K977-K976)</x:f>
      </x:c>
      <x:c r="O977" s="42" t="str">
        <x:v>Sem informação</x:v>
      </x:c>
      <x:c r="P977" s="42"/>
      <x:c r="Q977" s="42" t="str"/>
      <x:c r="R977" s="42" t="str"/>
      <x:c r="S977" s="42" t="str"/>
      <x:c r="T977" s="42" t="str"/>
    </x:row>
    <x:row r="978">
      <x:c r="A978" s="42" t="str">
        <x:v>Luiz Henrique</x:v>
      </x:c>
      <x:c r="B978" s="42" t="n">
        <x:v>2030</x:v>
      </x:c>
      <x:c r="C978" s="42" t="str">
        <x:v>T1</x:v>
      </x:c>
      <x:c r="D978" s="44" t="n">
        <x:v>47573</x:v>
      </x:c>
      <x:c r="E978" s="42" t="str">
        <x:v>Ponta-direita</x:v>
      </x:c>
      <x:c r="F978" s="42" t="str">
        <x:v>Zenit São Petersburgo</x:v>
      </x:c>
      <x:c r="G978" s="46"/>
      <x:c r="H978" s="46"/>
      <x:c r="I978" s="46"/>
      <x:c r="J978" s="46"/>
      <x:c r="K978" s="46" t="str">
        <x:f>IF(COUNT(G978,I978)=0,"",AVERAGE(G978,I978))</x:f>
      </x:c>
      <x:c r="L978" s="46" t="str">
        <x:f>IF(COUNT(H978,J978)=0,"",AVERAGE(H978,J978))</x:f>
      </x:c>
      <x:c r="M978" s="46" t="str">
        <x:f>IF(OR(K978="",L978=""),"",L978-K978)</x:f>
      </x:c>
      <x:c r="N978" s="46" t="str">
        <x:f>IF(OR(K978="",A977&lt;&gt;A978,K977=""),"",K978-K977)</x:f>
      </x:c>
      <x:c r="O978" s="42" t="str">
        <x:v>Sem informação</x:v>
      </x:c>
      <x:c r="P978" s="42"/>
      <x:c r="Q978" s="42" t="str"/>
      <x:c r="R978" s="42" t="str"/>
      <x:c r="S978" s="42" t="str"/>
      <x:c r="T978" s="42" t="str"/>
    </x:row>
    <x:row r="979">
      <x:c r="A979" s="42" t="str">
        <x:v>Luiz Henrique</x:v>
      </x:c>
      <x:c r="B979" s="42" t="n">
        <x:v>2030</x:v>
      </x:c>
      <x:c r="C979" s="42" t="str">
        <x:v>T2</x:v>
      </x:c>
      <x:c r="D979" s="44" t="n">
        <x:v>47664</x:v>
      </x:c>
      <x:c r="E979" s="42" t="str">
        <x:v>Ponta-direita</x:v>
      </x:c>
      <x:c r="F979" s="42" t="str">
        <x:v>Zenit São Petersburgo</x:v>
      </x:c>
      <x:c r="G979" s="46"/>
      <x:c r="H979" s="46"/>
      <x:c r="I979" s="46"/>
      <x:c r="J979" s="46"/>
      <x:c r="K979" s="46" t="str">
        <x:f>IF(COUNT(G979,I979)=0,"",AVERAGE(G979,I979))</x:f>
      </x:c>
      <x:c r="L979" s="46" t="str">
        <x:f>IF(COUNT(H979,J979)=0,"",AVERAGE(H979,J979))</x:f>
      </x:c>
      <x:c r="M979" s="46" t="str">
        <x:f>IF(OR(K979="",L979=""),"",L979-K979)</x:f>
      </x:c>
      <x:c r="N979" s="46" t="str">
        <x:f>IF(OR(K979="",A978&lt;&gt;A979,K978=""),"",K979-K978)</x:f>
      </x:c>
      <x:c r="O979" s="42" t="str">
        <x:v>Sem informação</x:v>
      </x:c>
      <x:c r="P979" s="42"/>
      <x:c r="Q979" s="42" t="str"/>
      <x:c r="R979" s="42" t="str"/>
      <x:c r="S979" s="42" t="str"/>
      <x:c r="T979" s="42" t="str"/>
    </x:row>
    <x:row r="980">
      <x:c r="A980" s="42" t="str">
        <x:v>Luiz Henrique</x:v>
      </x:c>
      <x:c r="B980" s="42" t="n">
        <x:v>2030</x:v>
      </x:c>
      <x:c r="C980" s="42" t="str">
        <x:v>T3</x:v>
      </x:c>
      <x:c r="D980" s="44" t="n">
        <x:v>47756</x:v>
      </x:c>
      <x:c r="E980" s="42" t="str">
        <x:v>Ponta-direita</x:v>
      </x:c>
      <x:c r="F980" s="42" t="str">
        <x:v>Zenit São Petersburgo</x:v>
      </x:c>
      <x:c r="G980" s="46"/>
      <x:c r="H980" s="46"/>
      <x:c r="I980" s="46"/>
      <x:c r="J980" s="46"/>
      <x:c r="K980" s="46" t="str">
        <x:f>IF(COUNT(G980,I980)=0,"",AVERAGE(G980,I980))</x:f>
      </x:c>
      <x:c r="L980" s="46" t="str">
        <x:f>IF(COUNT(H980,J980)=0,"",AVERAGE(H980,J980))</x:f>
      </x:c>
      <x:c r="M980" s="46" t="str">
        <x:f>IF(OR(K980="",L980=""),"",L980-K980)</x:f>
      </x:c>
      <x:c r="N980" s="46" t="str">
        <x:f>IF(OR(K980="",A979&lt;&gt;A980,K979=""),"",K980-K979)</x:f>
      </x:c>
      <x:c r="O980" s="42" t="str">
        <x:v>Sem informação</x:v>
      </x:c>
      <x:c r="P980" s="42"/>
      <x:c r="Q980" s="42" t="str"/>
      <x:c r="R980" s="42" t="str"/>
      <x:c r="S980" s="42" t="str"/>
      <x:c r="T980" s="42" t="str"/>
    </x:row>
    <x:row r="981">
      <x:c r="A981" s="42" t="str">
        <x:v>Luiz Henrique</x:v>
      </x:c>
      <x:c r="B981" s="42" t="n">
        <x:v>2030</x:v>
      </x:c>
      <x:c r="C981" s="42" t="str">
        <x:v>T4</x:v>
      </x:c>
      <x:c r="D981" s="44" t="n">
        <x:v>47848</x:v>
      </x:c>
      <x:c r="E981" s="42" t="str">
        <x:v>Ponta-direita</x:v>
      </x:c>
      <x:c r="F981" s="42" t="str">
        <x:v>Zenit São Petersburgo</x:v>
      </x:c>
      <x:c r="G981" s="46"/>
      <x:c r="H981" s="46"/>
      <x:c r="I981" s="46"/>
      <x:c r="J981" s="46"/>
      <x:c r="K981" s="46" t="str">
        <x:f>IF(COUNT(G981,I981)=0,"",AVERAGE(G981,I981))</x:f>
      </x:c>
      <x:c r="L981" s="46" t="str">
        <x:f>IF(COUNT(H981,J981)=0,"",AVERAGE(H981,J981))</x:f>
      </x:c>
      <x:c r="M981" s="46" t="str">
        <x:f>IF(OR(K981="",L981=""),"",L981-K981)</x:f>
      </x:c>
      <x:c r="N981" s="46" t="str">
        <x:f>IF(OR(K981="",A980&lt;&gt;A981,K980=""),"",K981-K980)</x:f>
      </x:c>
      <x:c r="O981" s="42" t="str">
        <x:v>Sem informação</x:v>
      </x:c>
      <x:c r="P981" s="42"/>
      <x:c r="Q981" s="42" t="str"/>
      <x:c r="R981" s="42" t="str"/>
      <x:c r="S981" s="42" t="str"/>
      <x:c r="T981" s="42" t="str"/>
    </x:row>
    <x:row r="982">
      <x:c r="A982" s="42" t="str">
        <x:v>Luiz Júnior</x:v>
      </x:c>
      <x:c r="B982" s="42" t="n">
        <x:v>2026</x:v>
      </x:c>
      <x:c r="C982" s="42" t="str">
        <x:v>T1</x:v>
      </x:c>
      <x:c r="D982" s="44" t="n">
        <x:v>46112</x:v>
      </x:c>
      <x:c r="E982" s="42" t="str">
        <x:v>Goleiro</x:v>
      </x:c>
      <x:c r="F982" s="42" t="str">
        <x:v>FC Villarreal</x:v>
      </x:c>
      <x:c r="G982" s="46"/>
      <x:c r="H982" s="46"/>
      <x:c r="I982" s="46"/>
      <x:c r="J982" s="46"/>
      <x:c r="K982" s="46" t="str">
        <x:f>IF(COUNT(G982,I982)=0,"",AVERAGE(G982,I982))</x:f>
      </x:c>
      <x:c r="L982" s="46" t="str">
        <x:f>IF(COUNT(H982,J982)=0,"",AVERAGE(H982,J982))</x:f>
      </x:c>
      <x:c r="M982" s="46" t="str">
        <x:f>IF(OR(K982="",L982=""),"",L982-K982)</x:f>
      </x:c>
      <x:c r="N982" s="46" t="str">
        <x:f>IF(OR(K982="",A981&lt;&gt;A982,K981=""),"",K982-K981)</x:f>
      </x:c>
      <x:c r="O982" s="42" t="str">
        <x:v>Sem informação</x:v>
      </x:c>
      <x:c r="P982" s="42"/>
      <x:c r="Q982" s="42" t="str"/>
      <x:c r="R982" s="42" t="str"/>
      <x:c r="S982" s="42" t="str"/>
      <x:c r="T982" s="42" t="str"/>
    </x:row>
    <x:row r="983">
      <x:c r="A983" s="42" t="str">
        <x:v>Luiz Júnior</x:v>
      </x:c>
      <x:c r="B983" s="42" t="n">
        <x:v>2026</x:v>
      </x:c>
      <x:c r="C983" s="42" t="str">
        <x:v>T2</x:v>
      </x:c>
      <x:c r="D983" s="44" t="n">
        <x:v>46203</x:v>
      </x:c>
      <x:c r="E983" s="42" t="str">
        <x:v>Goleiro</x:v>
      </x:c>
      <x:c r="F983" s="42" t="str">
        <x:v>FC Villarreal</x:v>
      </x:c>
      <x:c r="G983" s="46"/>
      <x:c r="H983" s="46"/>
      <x:c r="I983" s="46"/>
      <x:c r="J983" s="46"/>
      <x:c r="K983" s="46" t="str">
        <x:f>IF(COUNT(G983,I983)=0,"",AVERAGE(G983,I983))</x:f>
      </x:c>
      <x:c r="L983" s="46" t="str">
        <x:f>IF(COUNT(H983,J983)=0,"",AVERAGE(H983,J983))</x:f>
      </x:c>
      <x:c r="M983" s="46" t="str">
        <x:f>IF(OR(K983="",L983=""),"",L983-K983)</x:f>
      </x:c>
      <x:c r="N983" s="46" t="str">
        <x:f>IF(OR(K983="",A982&lt;&gt;A983,K982=""),"",K983-K982)</x:f>
      </x:c>
      <x:c r="O983" s="42" t="str">
        <x:v>Sem informação</x:v>
      </x:c>
      <x:c r="P983" s="42"/>
      <x:c r="Q983" s="42" t="str"/>
      <x:c r="R983" s="42" t="str"/>
      <x:c r="S983" s="42" t="str"/>
      <x:c r="T983" s="42" t="str"/>
    </x:row>
    <x:row r="984">
      <x:c r="A984" s="42" t="str">
        <x:v>Luiz Júnior</x:v>
      </x:c>
      <x:c r="B984" s="42" t="n">
        <x:v>2026</x:v>
      </x:c>
      <x:c r="C984" s="42" t="str">
        <x:v>T3</x:v>
      </x:c>
      <x:c r="D984" s="44" t="n">
        <x:v>46295</x:v>
      </x:c>
      <x:c r="E984" s="42" t="str">
        <x:v>Goleiro</x:v>
      </x:c>
      <x:c r="F984" s="42" t="str">
        <x:v>FC Villarreal</x:v>
      </x:c>
      <x:c r="G984" s="46"/>
      <x:c r="H984" s="46"/>
      <x:c r="I984" s="46"/>
      <x:c r="J984" s="46"/>
      <x:c r="K984" s="46" t="str">
        <x:f>IF(COUNT(G984,I984)=0,"",AVERAGE(G984,I984))</x:f>
      </x:c>
      <x:c r="L984" s="46" t="str">
        <x:f>IF(COUNT(H984,J984)=0,"",AVERAGE(H984,J984))</x:f>
      </x:c>
      <x:c r="M984" s="46" t="str">
        <x:f>IF(OR(K984="",L984=""),"",L984-K984)</x:f>
      </x:c>
      <x:c r="N984" s="46" t="str">
        <x:f>IF(OR(K984="",A983&lt;&gt;A984,K983=""),"",K984-K983)</x:f>
      </x:c>
      <x:c r="O984" s="42" t="str">
        <x:v>Sem informação</x:v>
      </x:c>
      <x:c r="P984" s="42"/>
      <x:c r="Q984" s="42" t="str"/>
      <x:c r="R984" s="42" t="str"/>
      <x:c r="S984" s="42" t="str"/>
      <x:c r="T984" s="42" t="str"/>
    </x:row>
    <x:row r="985">
      <x:c r="A985" s="42" t="str">
        <x:v>Luiz Júnior</x:v>
      </x:c>
      <x:c r="B985" s="42" t="n">
        <x:v>2026</x:v>
      </x:c>
      <x:c r="C985" s="42" t="str">
        <x:v>T4</x:v>
      </x:c>
      <x:c r="D985" s="44" t="n">
        <x:v>46387</x:v>
      </x:c>
      <x:c r="E985" s="42" t="str">
        <x:v>Goleiro</x:v>
      </x:c>
      <x:c r="F985" s="42" t="str">
        <x:v>FC Villarreal</x:v>
      </x:c>
      <x:c r="G985" s="46"/>
      <x:c r="H985" s="46"/>
      <x:c r="I985" s="46"/>
      <x:c r="J985" s="46"/>
      <x:c r="K985" s="46" t="str">
        <x:f>IF(COUNT(G985,I985)=0,"",AVERAGE(G985,I985))</x:f>
      </x:c>
      <x:c r="L985" s="46" t="str">
        <x:f>IF(COUNT(H985,J985)=0,"",AVERAGE(H985,J985))</x:f>
      </x:c>
      <x:c r="M985" s="46" t="str">
        <x:f>IF(OR(K985="",L985=""),"",L985-K985)</x:f>
      </x:c>
      <x:c r="N985" s="46" t="str">
        <x:f>IF(OR(K985="",A984&lt;&gt;A985,K984=""),"",K985-K984)</x:f>
      </x:c>
      <x:c r="O985" s="42" t="str">
        <x:v>Sem informação</x:v>
      </x:c>
      <x:c r="P985" s="42"/>
      <x:c r="Q985" s="42" t="str"/>
      <x:c r="R985" s="42" t="str"/>
      <x:c r="S985" s="42" t="str"/>
      <x:c r="T985" s="42" t="str"/>
    </x:row>
    <x:row r="986">
      <x:c r="A986" s="42" t="str">
        <x:v>Luiz Júnior</x:v>
      </x:c>
      <x:c r="B986" s="42" t="n">
        <x:v>2027</x:v>
      </x:c>
      <x:c r="C986" s="42" t="str">
        <x:v>T1</x:v>
      </x:c>
      <x:c r="D986" s="44" t="n">
        <x:v>46477</x:v>
      </x:c>
      <x:c r="E986" s="42" t="str">
        <x:v>Goleiro</x:v>
      </x:c>
      <x:c r="F986" s="42" t="str">
        <x:v>FC Villarreal</x:v>
      </x:c>
      <x:c r="G986" s="46"/>
      <x:c r="H986" s="46"/>
      <x:c r="I986" s="46"/>
      <x:c r="J986" s="46"/>
      <x:c r="K986" s="46" t="str">
        <x:f>IF(COUNT(G986,I986)=0,"",AVERAGE(G986,I986))</x:f>
      </x:c>
      <x:c r="L986" s="46" t="str">
        <x:f>IF(COUNT(H986,J986)=0,"",AVERAGE(H986,J986))</x:f>
      </x:c>
      <x:c r="M986" s="46" t="str">
        <x:f>IF(OR(K986="",L986=""),"",L986-K986)</x:f>
      </x:c>
      <x:c r="N986" s="46" t="str">
        <x:f>IF(OR(K986="",A985&lt;&gt;A986,K985=""),"",K986-K985)</x:f>
      </x:c>
      <x:c r="O986" s="42" t="str">
        <x:v>Sem informação</x:v>
      </x:c>
      <x:c r="P986" s="42"/>
      <x:c r="Q986" s="42" t="str"/>
      <x:c r="R986" s="42" t="str"/>
      <x:c r="S986" s="42" t="str"/>
      <x:c r="T986" s="42" t="str"/>
    </x:row>
    <x:row r="987">
      <x:c r="A987" s="42" t="str">
        <x:v>Luiz Júnior</x:v>
      </x:c>
      <x:c r="B987" s="42" t="n">
        <x:v>2027</x:v>
      </x:c>
      <x:c r="C987" s="42" t="str">
        <x:v>T2</x:v>
      </x:c>
      <x:c r="D987" s="44" t="n">
        <x:v>46568</x:v>
      </x:c>
      <x:c r="E987" s="42" t="str">
        <x:v>Goleiro</x:v>
      </x:c>
      <x:c r="F987" s="42" t="str">
        <x:v>FC Villarreal</x:v>
      </x:c>
      <x:c r="G987" s="46"/>
      <x:c r="H987" s="46"/>
      <x:c r="I987" s="46"/>
      <x:c r="J987" s="46"/>
      <x:c r="K987" s="46" t="str">
        <x:f>IF(COUNT(G987,I987)=0,"",AVERAGE(G987,I987))</x:f>
      </x:c>
      <x:c r="L987" s="46" t="str">
        <x:f>IF(COUNT(H987,J987)=0,"",AVERAGE(H987,J987))</x:f>
      </x:c>
      <x:c r="M987" s="46" t="str">
        <x:f>IF(OR(K987="",L987=""),"",L987-K987)</x:f>
      </x:c>
      <x:c r="N987" s="46" t="str">
        <x:f>IF(OR(K987="",A986&lt;&gt;A987,K986=""),"",K987-K986)</x:f>
      </x:c>
      <x:c r="O987" s="42" t="str">
        <x:v>Sem informação</x:v>
      </x:c>
      <x:c r="P987" s="42"/>
      <x:c r="Q987" s="42" t="str"/>
      <x:c r="R987" s="42" t="str"/>
      <x:c r="S987" s="42" t="str"/>
      <x:c r="T987" s="42" t="str"/>
    </x:row>
    <x:row r="988">
      <x:c r="A988" s="42" t="str">
        <x:v>Luiz Júnior</x:v>
      </x:c>
      <x:c r="B988" s="42" t="n">
        <x:v>2027</x:v>
      </x:c>
      <x:c r="C988" s="42" t="str">
        <x:v>T3</x:v>
      </x:c>
      <x:c r="D988" s="44" t="n">
        <x:v>46660</x:v>
      </x:c>
      <x:c r="E988" s="42" t="str">
        <x:v>Goleiro</x:v>
      </x:c>
      <x:c r="F988" s="42" t="str">
        <x:v>FC Villarreal</x:v>
      </x:c>
      <x:c r="G988" s="46"/>
      <x:c r="H988" s="46"/>
      <x:c r="I988" s="46"/>
      <x:c r="J988" s="46"/>
      <x:c r="K988" s="46" t="str">
        <x:f>IF(COUNT(G988,I988)=0,"",AVERAGE(G988,I988))</x:f>
      </x:c>
      <x:c r="L988" s="46" t="str">
        <x:f>IF(COUNT(H988,J988)=0,"",AVERAGE(H988,J988))</x:f>
      </x:c>
      <x:c r="M988" s="46" t="str">
        <x:f>IF(OR(K988="",L988=""),"",L988-K988)</x:f>
      </x:c>
      <x:c r="N988" s="46" t="str">
        <x:f>IF(OR(K988="",A987&lt;&gt;A988,K987=""),"",K988-K987)</x:f>
      </x:c>
      <x:c r="O988" s="42" t="str">
        <x:v>Sem informação</x:v>
      </x:c>
      <x:c r="P988" s="42"/>
      <x:c r="Q988" s="42" t="str"/>
      <x:c r="R988" s="42" t="str"/>
      <x:c r="S988" s="42" t="str"/>
      <x:c r="T988" s="42" t="str"/>
    </x:row>
    <x:row r="989">
      <x:c r="A989" s="42" t="str">
        <x:v>Luiz Júnior</x:v>
      </x:c>
      <x:c r="B989" s="42" t="n">
        <x:v>2027</x:v>
      </x:c>
      <x:c r="C989" s="42" t="str">
        <x:v>T4</x:v>
      </x:c>
      <x:c r="D989" s="44" t="n">
        <x:v>46752</x:v>
      </x:c>
      <x:c r="E989" s="42" t="str">
        <x:v>Goleiro</x:v>
      </x:c>
      <x:c r="F989" s="42" t="str">
        <x:v>FC Villarreal</x:v>
      </x:c>
      <x:c r="G989" s="46"/>
      <x:c r="H989" s="46"/>
      <x:c r="I989" s="46"/>
      <x:c r="J989" s="46"/>
      <x:c r="K989" s="46" t="str">
        <x:f>IF(COUNT(G989,I989)=0,"",AVERAGE(G989,I989))</x:f>
      </x:c>
      <x:c r="L989" s="46" t="str">
        <x:f>IF(COUNT(H989,J989)=0,"",AVERAGE(H989,J989))</x:f>
      </x:c>
      <x:c r="M989" s="46" t="str">
        <x:f>IF(OR(K989="",L989=""),"",L989-K989)</x:f>
      </x:c>
      <x:c r="N989" s="46" t="str">
        <x:f>IF(OR(K989="",A988&lt;&gt;A989,K988=""),"",K989-K988)</x:f>
      </x:c>
      <x:c r="O989" s="42" t="str">
        <x:v>Sem informação</x:v>
      </x:c>
      <x:c r="P989" s="42"/>
      <x:c r="Q989" s="42" t="str"/>
      <x:c r="R989" s="42" t="str"/>
      <x:c r="S989" s="42" t="str"/>
      <x:c r="T989" s="42" t="str"/>
    </x:row>
    <x:row r="990">
      <x:c r="A990" s="42" t="str">
        <x:v>Luiz Júnior</x:v>
      </x:c>
      <x:c r="B990" s="42" t="n">
        <x:v>2028</x:v>
      </x:c>
      <x:c r="C990" s="42" t="str">
        <x:v>T1</x:v>
      </x:c>
      <x:c r="D990" s="44" t="n">
        <x:v>46843</x:v>
      </x:c>
      <x:c r="E990" s="42" t="str">
        <x:v>Goleiro</x:v>
      </x:c>
      <x:c r="F990" s="42" t="str">
        <x:v>FC Villarreal</x:v>
      </x:c>
      <x:c r="G990" s="46"/>
      <x:c r="H990" s="46"/>
      <x:c r="I990" s="46"/>
      <x:c r="J990" s="46"/>
      <x:c r="K990" s="46" t="str">
        <x:f>IF(COUNT(G990,I990)=0,"",AVERAGE(G990,I990))</x:f>
      </x:c>
      <x:c r="L990" s="46" t="str">
        <x:f>IF(COUNT(H990,J990)=0,"",AVERAGE(H990,J990))</x:f>
      </x:c>
      <x:c r="M990" s="46" t="str">
        <x:f>IF(OR(K990="",L990=""),"",L990-K990)</x:f>
      </x:c>
      <x:c r="N990" s="46" t="str">
        <x:f>IF(OR(K990="",A989&lt;&gt;A990,K989=""),"",K990-K989)</x:f>
      </x:c>
      <x:c r="O990" s="42" t="str">
        <x:v>Sem informação</x:v>
      </x:c>
      <x:c r="P990" s="42"/>
      <x:c r="Q990" s="42" t="str"/>
      <x:c r="R990" s="42" t="str"/>
      <x:c r="S990" s="42" t="str"/>
      <x:c r="T990" s="42" t="str"/>
    </x:row>
    <x:row r="991">
      <x:c r="A991" s="42" t="str">
        <x:v>Luiz Júnior</x:v>
      </x:c>
      <x:c r="B991" s="42" t="n">
        <x:v>2028</x:v>
      </x:c>
      <x:c r="C991" s="42" t="str">
        <x:v>T2</x:v>
      </x:c>
      <x:c r="D991" s="44" t="n">
        <x:v>46934</x:v>
      </x:c>
      <x:c r="E991" s="42" t="str">
        <x:v>Goleiro</x:v>
      </x:c>
      <x:c r="F991" s="42" t="str">
        <x:v>FC Villarreal</x:v>
      </x:c>
      <x:c r="G991" s="46"/>
      <x:c r="H991" s="46"/>
      <x:c r="I991" s="46"/>
      <x:c r="J991" s="46"/>
      <x:c r="K991" s="46" t="str">
        <x:f>IF(COUNT(G991,I991)=0,"",AVERAGE(G991,I991))</x:f>
      </x:c>
      <x:c r="L991" s="46" t="str">
        <x:f>IF(COUNT(H991,J991)=0,"",AVERAGE(H991,J991))</x:f>
      </x:c>
      <x:c r="M991" s="46" t="str">
        <x:f>IF(OR(K991="",L991=""),"",L991-K991)</x:f>
      </x:c>
      <x:c r="N991" s="46" t="str">
        <x:f>IF(OR(K991="",A990&lt;&gt;A991,K990=""),"",K991-K990)</x:f>
      </x:c>
      <x:c r="O991" s="42" t="str">
        <x:v>Sem informação</x:v>
      </x:c>
      <x:c r="P991" s="42"/>
      <x:c r="Q991" s="42" t="str"/>
      <x:c r="R991" s="42" t="str"/>
      <x:c r="S991" s="42" t="str"/>
      <x:c r="T991" s="42" t="str"/>
    </x:row>
    <x:row r="992">
      <x:c r="A992" s="42" t="str">
        <x:v>Luiz Júnior</x:v>
      </x:c>
      <x:c r="B992" s="42" t="n">
        <x:v>2028</x:v>
      </x:c>
      <x:c r="C992" s="42" t="str">
        <x:v>T3</x:v>
      </x:c>
      <x:c r="D992" s="44" t="n">
        <x:v>47026</x:v>
      </x:c>
      <x:c r="E992" s="42" t="str">
        <x:v>Goleiro</x:v>
      </x:c>
      <x:c r="F992" s="42" t="str">
        <x:v>FC Villarreal</x:v>
      </x:c>
      <x:c r="G992" s="46"/>
      <x:c r="H992" s="46"/>
      <x:c r="I992" s="46"/>
      <x:c r="J992" s="46"/>
      <x:c r="K992" s="46" t="str">
        <x:f>IF(COUNT(G992,I992)=0,"",AVERAGE(G992,I992))</x:f>
      </x:c>
      <x:c r="L992" s="46" t="str">
        <x:f>IF(COUNT(H992,J992)=0,"",AVERAGE(H992,J992))</x:f>
      </x:c>
      <x:c r="M992" s="46" t="str">
        <x:f>IF(OR(K992="",L992=""),"",L992-K992)</x:f>
      </x:c>
      <x:c r="N992" s="46" t="str">
        <x:f>IF(OR(K992="",A991&lt;&gt;A992,K991=""),"",K992-K991)</x:f>
      </x:c>
      <x:c r="O992" s="42" t="str">
        <x:v>Sem informação</x:v>
      </x:c>
      <x:c r="P992" s="42"/>
      <x:c r="Q992" s="42" t="str"/>
      <x:c r="R992" s="42" t="str"/>
      <x:c r="S992" s="42" t="str"/>
      <x:c r="T992" s="42" t="str"/>
    </x:row>
    <x:row r="993">
      <x:c r="A993" s="42" t="str">
        <x:v>Luiz Júnior</x:v>
      </x:c>
      <x:c r="B993" s="42" t="n">
        <x:v>2028</x:v>
      </x:c>
      <x:c r="C993" s="42" t="str">
        <x:v>T4</x:v>
      </x:c>
      <x:c r="D993" s="44" t="n">
        <x:v>47118</x:v>
      </x:c>
      <x:c r="E993" s="42" t="str">
        <x:v>Goleiro</x:v>
      </x:c>
      <x:c r="F993" s="42" t="str">
        <x:v>FC Villarreal</x:v>
      </x:c>
      <x:c r="G993" s="46"/>
      <x:c r="H993" s="46"/>
      <x:c r="I993" s="46"/>
      <x:c r="J993" s="46"/>
      <x:c r="K993" s="46" t="str">
        <x:f>IF(COUNT(G993,I993)=0,"",AVERAGE(G993,I993))</x:f>
      </x:c>
      <x:c r="L993" s="46" t="str">
        <x:f>IF(COUNT(H993,J993)=0,"",AVERAGE(H993,J993))</x:f>
      </x:c>
      <x:c r="M993" s="46" t="str">
        <x:f>IF(OR(K993="",L993=""),"",L993-K993)</x:f>
      </x:c>
      <x:c r="N993" s="46" t="str">
        <x:f>IF(OR(K993="",A992&lt;&gt;A993,K992=""),"",K993-K992)</x:f>
      </x:c>
      <x:c r="O993" s="42" t="str">
        <x:v>Sem informação</x:v>
      </x:c>
      <x:c r="P993" s="42"/>
      <x:c r="Q993" s="42" t="str"/>
      <x:c r="R993" s="42" t="str"/>
      <x:c r="S993" s="42" t="str"/>
      <x:c r="T993" s="42" t="str"/>
    </x:row>
    <x:row r="994">
      <x:c r="A994" s="42" t="str">
        <x:v>Luiz Júnior</x:v>
      </x:c>
      <x:c r="B994" s="42" t="n">
        <x:v>2029</x:v>
      </x:c>
      <x:c r="C994" s="42" t="str">
        <x:v>T1</x:v>
      </x:c>
      <x:c r="D994" s="44" t="n">
        <x:v>47208</x:v>
      </x:c>
      <x:c r="E994" s="42" t="str">
        <x:v>Goleiro</x:v>
      </x:c>
      <x:c r="F994" s="42" t="str">
        <x:v>FC Villarreal</x:v>
      </x:c>
      <x:c r="G994" s="46"/>
      <x:c r="H994" s="46"/>
      <x:c r="I994" s="46"/>
      <x:c r="J994" s="46"/>
      <x:c r="K994" s="46" t="str">
        <x:f>IF(COUNT(G994,I994)=0,"",AVERAGE(G994,I994))</x:f>
      </x:c>
      <x:c r="L994" s="46" t="str">
        <x:f>IF(COUNT(H994,J994)=0,"",AVERAGE(H994,J994))</x:f>
      </x:c>
      <x:c r="M994" s="46" t="str">
        <x:f>IF(OR(K994="",L994=""),"",L994-K994)</x:f>
      </x:c>
      <x:c r="N994" s="46" t="str">
        <x:f>IF(OR(K994="",A993&lt;&gt;A994,K993=""),"",K994-K993)</x:f>
      </x:c>
      <x:c r="O994" s="42" t="str">
        <x:v>Sem informação</x:v>
      </x:c>
      <x:c r="P994" s="42"/>
      <x:c r="Q994" s="42" t="str"/>
      <x:c r="R994" s="42" t="str"/>
      <x:c r="S994" s="42" t="str"/>
      <x:c r="T994" s="42" t="str"/>
    </x:row>
    <x:row r="995">
      <x:c r="A995" s="42" t="str">
        <x:v>Luiz Júnior</x:v>
      </x:c>
      <x:c r="B995" s="42" t="n">
        <x:v>2029</x:v>
      </x:c>
      <x:c r="C995" s="42" t="str">
        <x:v>T2</x:v>
      </x:c>
      <x:c r="D995" s="44" t="n">
        <x:v>47299</x:v>
      </x:c>
      <x:c r="E995" s="42" t="str">
        <x:v>Goleiro</x:v>
      </x:c>
      <x:c r="F995" s="42" t="str">
        <x:v>FC Villarreal</x:v>
      </x:c>
      <x:c r="G995" s="46"/>
      <x:c r="H995" s="46"/>
      <x:c r="I995" s="46"/>
      <x:c r="J995" s="46"/>
      <x:c r="K995" s="46" t="str">
        <x:f>IF(COUNT(G995,I995)=0,"",AVERAGE(G995,I995))</x:f>
      </x:c>
      <x:c r="L995" s="46" t="str">
        <x:f>IF(COUNT(H995,J995)=0,"",AVERAGE(H995,J995))</x:f>
      </x:c>
      <x:c r="M995" s="46" t="str">
        <x:f>IF(OR(K995="",L995=""),"",L995-K995)</x:f>
      </x:c>
      <x:c r="N995" s="46" t="str">
        <x:f>IF(OR(K995="",A994&lt;&gt;A995,K994=""),"",K995-K994)</x:f>
      </x:c>
      <x:c r="O995" s="42" t="str">
        <x:v>Sem informação</x:v>
      </x:c>
      <x:c r="P995" s="42"/>
      <x:c r="Q995" s="42" t="str"/>
      <x:c r="R995" s="42" t="str"/>
      <x:c r="S995" s="42" t="str"/>
      <x:c r="T995" s="42" t="str"/>
    </x:row>
    <x:row r="996">
      <x:c r="A996" s="42" t="str">
        <x:v>Luiz Júnior</x:v>
      </x:c>
      <x:c r="B996" s="42" t="n">
        <x:v>2029</x:v>
      </x:c>
      <x:c r="C996" s="42" t="str">
        <x:v>T3</x:v>
      </x:c>
      <x:c r="D996" s="44" t="n">
        <x:v>47391</x:v>
      </x:c>
      <x:c r="E996" s="42" t="str">
        <x:v>Goleiro</x:v>
      </x:c>
      <x:c r="F996" s="42" t="str">
        <x:v>FC Villarreal</x:v>
      </x:c>
      <x:c r="G996" s="46"/>
      <x:c r="H996" s="46"/>
      <x:c r="I996" s="46"/>
      <x:c r="J996" s="46"/>
      <x:c r="K996" s="46" t="str">
        <x:f>IF(COUNT(G996,I996)=0,"",AVERAGE(G996,I996))</x:f>
      </x:c>
      <x:c r="L996" s="46" t="str">
        <x:f>IF(COUNT(H996,J996)=0,"",AVERAGE(H996,J996))</x:f>
      </x:c>
      <x:c r="M996" s="46" t="str">
        <x:f>IF(OR(K996="",L996=""),"",L996-K996)</x:f>
      </x:c>
      <x:c r="N996" s="46" t="str">
        <x:f>IF(OR(K996="",A995&lt;&gt;A996,K995=""),"",K996-K995)</x:f>
      </x:c>
      <x:c r="O996" s="42" t="str">
        <x:v>Sem informação</x:v>
      </x:c>
      <x:c r="P996" s="42"/>
      <x:c r="Q996" s="42" t="str"/>
      <x:c r="R996" s="42" t="str"/>
      <x:c r="S996" s="42" t="str"/>
      <x:c r="T996" s="42" t="str"/>
    </x:row>
    <x:row r="997">
      <x:c r="A997" s="42" t="str">
        <x:v>Luiz Júnior</x:v>
      </x:c>
      <x:c r="B997" s="42" t="n">
        <x:v>2029</x:v>
      </x:c>
      <x:c r="C997" s="42" t="str">
        <x:v>T4</x:v>
      </x:c>
      <x:c r="D997" s="44" t="n">
        <x:v>47483</x:v>
      </x:c>
      <x:c r="E997" s="42" t="str">
        <x:v>Goleiro</x:v>
      </x:c>
      <x:c r="F997" s="42" t="str">
        <x:v>FC Villarreal</x:v>
      </x:c>
      <x:c r="G997" s="46"/>
      <x:c r="H997" s="46"/>
      <x:c r="I997" s="46"/>
      <x:c r="J997" s="46"/>
      <x:c r="K997" s="46" t="str">
        <x:f>IF(COUNT(G997,I997)=0,"",AVERAGE(G997,I997))</x:f>
      </x:c>
      <x:c r="L997" s="46" t="str">
        <x:f>IF(COUNT(H997,J997)=0,"",AVERAGE(H997,J997))</x:f>
      </x:c>
      <x:c r="M997" s="46" t="str">
        <x:f>IF(OR(K997="",L997=""),"",L997-K997)</x:f>
      </x:c>
      <x:c r="N997" s="46" t="str">
        <x:f>IF(OR(K997="",A996&lt;&gt;A997,K996=""),"",K997-K996)</x:f>
      </x:c>
      <x:c r="O997" s="42" t="str">
        <x:v>Sem informação</x:v>
      </x:c>
      <x:c r="P997" s="42"/>
      <x:c r="Q997" s="42" t="str"/>
      <x:c r="R997" s="42" t="str"/>
      <x:c r="S997" s="42" t="str"/>
      <x:c r="T997" s="42" t="str"/>
    </x:row>
    <x:row r="998">
      <x:c r="A998" s="42" t="str">
        <x:v>Luiz Júnior</x:v>
      </x:c>
      <x:c r="B998" s="42" t="n">
        <x:v>2030</x:v>
      </x:c>
      <x:c r="C998" s="42" t="str">
        <x:v>T1</x:v>
      </x:c>
      <x:c r="D998" s="44" t="n">
        <x:v>47573</x:v>
      </x:c>
      <x:c r="E998" s="42" t="str">
        <x:v>Goleiro</x:v>
      </x:c>
      <x:c r="F998" s="42" t="str">
        <x:v>FC Villarreal</x:v>
      </x:c>
      <x:c r="G998" s="46"/>
      <x:c r="H998" s="46"/>
      <x:c r="I998" s="46"/>
      <x:c r="J998" s="46"/>
      <x:c r="K998" s="46" t="str">
        <x:f>IF(COUNT(G998,I998)=0,"",AVERAGE(G998,I998))</x:f>
      </x:c>
      <x:c r="L998" s="46" t="str">
        <x:f>IF(COUNT(H998,J998)=0,"",AVERAGE(H998,J998))</x:f>
      </x:c>
      <x:c r="M998" s="46" t="str">
        <x:f>IF(OR(K998="",L998=""),"",L998-K998)</x:f>
      </x:c>
      <x:c r="N998" s="46" t="str">
        <x:f>IF(OR(K998="",A997&lt;&gt;A998,K997=""),"",K998-K997)</x:f>
      </x:c>
      <x:c r="O998" s="42" t="str">
        <x:v>Sem informação</x:v>
      </x:c>
      <x:c r="P998" s="42"/>
      <x:c r="Q998" s="42" t="str"/>
      <x:c r="R998" s="42" t="str"/>
      <x:c r="S998" s="42" t="str"/>
      <x:c r="T998" s="42" t="str"/>
    </x:row>
    <x:row r="999">
      <x:c r="A999" s="42" t="str">
        <x:v>Luiz Júnior</x:v>
      </x:c>
      <x:c r="B999" s="42" t="n">
        <x:v>2030</x:v>
      </x:c>
      <x:c r="C999" s="42" t="str">
        <x:v>T2</x:v>
      </x:c>
      <x:c r="D999" s="44" t="n">
        <x:v>47664</x:v>
      </x:c>
      <x:c r="E999" s="42" t="str">
        <x:v>Goleiro</x:v>
      </x:c>
      <x:c r="F999" s="42" t="str">
        <x:v>FC Villarreal</x:v>
      </x:c>
      <x:c r="G999" s="46"/>
      <x:c r="H999" s="46"/>
      <x:c r="I999" s="46"/>
      <x:c r="J999" s="46"/>
      <x:c r="K999" s="46" t="str">
        <x:f>IF(COUNT(G999,I999)=0,"",AVERAGE(G999,I999))</x:f>
      </x:c>
      <x:c r="L999" s="46" t="str">
        <x:f>IF(COUNT(H999,J999)=0,"",AVERAGE(H999,J999))</x:f>
      </x:c>
      <x:c r="M999" s="46" t="str">
        <x:f>IF(OR(K999="",L999=""),"",L999-K999)</x:f>
      </x:c>
      <x:c r="N999" s="46" t="str">
        <x:f>IF(OR(K999="",A998&lt;&gt;A999,K998=""),"",K999-K998)</x:f>
      </x:c>
      <x:c r="O999" s="42" t="str">
        <x:v>Sem informação</x:v>
      </x:c>
      <x:c r="P999" s="42"/>
      <x:c r="Q999" s="42" t="str"/>
      <x:c r="R999" s="42" t="str"/>
      <x:c r="S999" s="42" t="str"/>
      <x:c r="T999" s="42" t="str"/>
    </x:row>
    <x:row r="1000">
      <x:c r="A1000" s="42" t="str">
        <x:v>Luiz Júnior</x:v>
      </x:c>
      <x:c r="B1000" s="42" t="n">
        <x:v>2030</x:v>
      </x:c>
      <x:c r="C1000" s="42" t="str">
        <x:v>T3</x:v>
      </x:c>
      <x:c r="D1000" s="44" t="n">
        <x:v>47756</x:v>
      </x:c>
      <x:c r="E1000" s="42" t="str">
        <x:v>Goleiro</x:v>
      </x:c>
      <x:c r="F1000" s="42" t="str">
        <x:v>FC Villarreal</x:v>
      </x:c>
      <x:c r="G1000" s="46"/>
      <x:c r="H1000" s="46"/>
      <x:c r="I1000" s="46"/>
      <x:c r="J1000" s="46"/>
      <x:c r="K1000" s="46" t="str">
        <x:f>IF(COUNT(G1000,I1000)=0,"",AVERAGE(G1000,I1000))</x:f>
      </x:c>
      <x:c r="L1000" s="46" t="str">
        <x:f>IF(COUNT(H1000,J1000)=0,"",AVERAGE(H1000,J1000))</x:f>
      </x:c>
      <x:c r="M1000" s="46" t="str">
        <x:f>IF(OR(K1000="",L1000=""),"",L1000-K1000)</x:f>
      </x:c>
      <x:c r="N1000" s="46" t="str">
        <x:f>IF(OR(K1000="",A999&lt;&gt;A1000,K999=""),"",K1000-K999)</x:f>
      </x:c>
      <x:c r="O1000" s="42" t="str">
        <x:v>Sem informação</x:v>
      </x:c>
      <x:c r="P1000" s="42"/>
      <x:c r="Q1000" s="42" t="str"/>
      <x:c r="R1000" s="42" t="str"/>
      <x:c r="S1000" s="42" t="str"/>
      <x:c r="T1000" s="42" t="str"/>
    </x:row>
    <x:row r="1001">
      <x:c r="A1001" s="42" t="str">
        <x:v>Luiz Júnior</x:v>
      </x:c>
      <x:c r="B1001" s="42" t="n">
        <x:v>2030</x:v>
      </x:c>
      <x:c r="C1001" s="42" t="str">
        <x:v>T4</x:v>
      </x:c>
      <x:c r="D1001" s="44" t="n">
        <x:v>47848</x:v>
      </x:c>
      <x:c r="E1001" s="42" t="str">
        <x:v>Goleiro</x:v>
      </x:c>
      <x:c r="F1001" s="42" t="str">
        <x:v>FC Villarreal</x:v>
      </x:c>
      <x:c r="G1001" s="46"/>
      <x:c r="H1001" s="46"/>
      <x:c r="I1001" s="46"/>
      <x:c r="J1001" s="46"/>
      <x:c r="K1001" s="46" t="str">
        <x:f>IF(COUNT(G1001,I1001)=0,"",AVERAGE(G1001,I1001))</x:f>
      </x:c>
      <x:c r="L1001" s="46" t="str">
        <x:f>IF(COUNT(H1001,J1001)=0,"",AVERAGE(H1001,J1001))</x:f>
      </x:c>
      <x:c r="M1001" s="46" t="str">
        <x:f>IF(OR(K1001="",L1001=""),"",L1001-K1001)</x:f>
      </x:c>
      <x:c r="N1001" s="46" t="str">
        <x:f>IF(OR(K1001="",A1000&lt;&gt;A1001,K1000=""),"",K1001-K1000)</x:f>
      </x:c>
      <x:c r="O1001" s="42" t="str">
        <x:v>Sem informação</x:v>
      </x:c>
      <x:c r="P1001" s="42"/>
      <x:c r="Q1001" s="42" t="str"/>
      <x:c r="R1001" s="42" t="str"/>
      <x:c r="S1001" s="42" t="str"/>
      <x:c r="T1001" s="42" t="str"/>
    </x:row>
    <x:row r="1002">
      <x:c r="A1002" s="42" t="str">
        <x:v>Matheus Martinelli</x:v>
      </x:c>
      <x:c r="B1002" s="42" t="n">
        <x:v>2026</x:v>
      </x:c>
      <x:c r="C1002" s="42" t="str">
        <x:v>T1</x:v>
      </x:c>
      <x:c r="D1002" s="44" t="n">
        <x:v>46112</x:v>
      </x:c>
      <x:c r="E1002" s="42" t="str">
        <x:v>Volante</x:v>
      </x:c>
      <x:c r="F1002" s="42" t="str">
        <x:v>Fluminense FC</x:v>
      </x:c>
      <x:c r="G1002" s="46"/>
      <x:c r="H1002" s="46"/>
      <x:c r="I1002" s="46"/>
      <x:c r="J1002" s="46"/>
      <x:c r="K1002" s="46" t="str">
        <x:f>IF(COUNT(G1002,I1002)=0,"",AVERAGE(G1002,I1002))</x:f>
      </x:c>
      <x:c r="L1002" s="46" t="str">
        <x:f>IF(COUNT(H1002,J1002)=0,"",AVERAGE(H1002,J1002))</x:f>
      </x:c>
      <x:c r="M1002" s="46" t="str">
        <x:f>IF(OR(K1002="",L1002=""),"",L1002-K1002)</x:f>
      </x:c>
      <x:c r="N1002" s="46" t="str">
        <x:f>IF(OR(K1002="",A1001&lt;&gt;A1002,K1001=""),"",K1002-K1001)</x:f>
      </x:c>
      <x:c r="O1002" s="42" t="str">
        <x:v>Sem informação</x:v>
      </x:c>
      <x:c r="P1002" s="42"/>
      <x:c r="Q1002" s="42" t="str"/>
      <x:c r="R1002" s="42" t="str"/>
      <x:c r="S1002" s="42" t="str"/>
      <x:c r="T1002" s="42" t="str"/>
    </x:row>
    <x:row r="1003">
      <x:c r="A1003" s="42" t="str">
        <x:v>Matheus Martinelli</x:v>
      </x:c>
      <x:c r="B1003" s="42" t="n">
        <x:v>2026</x:v>
      </x:c>
      <x:c r="C1003" s="42" t="str">
        <x:v>T2</x:v>
      </x:c>
      <x:c r="D1003" s="44" t="n">
        <x:v>46203</x:v>
      </x:c>
      <x:c r="E1003" s="42" t="str">
        <x:v>Volante</x:v>
      </x:c>
      <x:c r="F1003" s="42" t="str">
        <x:v>Fluminense FC</x:v>
      </x:c>
      <x:c r="G1003" s="46"/>
      <x:c r="H1003" s="46"/>
      <x:c r="I1003" s="46"/>
      <x:c r="J1003" s="46"/>
      <x:c r="K1003" s="46" t="str">
        <x:f>IF(COUNT(G1003,I1003)=0,"",AVERAGE(G1003,I1003))</x:f>
      </x:c>
      <x:c r="L1003" s="46" t="str">
        <x:f>IF(COUNT(H1003,J1003)=0,"",AVERAGE(H1003,J1003))</x:f>
      </x:c>
      <x:c r="M1003" s="46" t="str">
        <x:f>IF(OR(K1003="",L1003=""),"",L1003-K1003)</x:f>
      </x:c>
      <x:c r="N1003" s="46" t="str">
        <x:f>IF(OR(K1003="",A1002&lt;&gt;A1003,K1002=""),"",K1003-K1002)</x:f>
      </x:c>
      <x:c r="O1003" s="42" t="str">
        <x:v>Sem informação</x:v>
      </x:c>
      <x:c r="P1003" s="42"/>
      <x:c r="Q1003" s="42" t="str"/>
      <x:c r="R1003" s="42" t="str"/>
      <x:c r="S1003" s="42" t="str"/>
      <x:c r="T1003" s="42" t="str"/>
    </x:row>
    <x:row r="1004">
      <x:c r="A1004" s="42" t="str">
        <x:v>Matheus Martinelli</x:v>
      </x:c>
      <x:c r="B1004" s="42" t="n">
        <x:v>2026</x:v>
      </x:c>
      <x:c r="C1004" s="42" t="str">
        <x:v>T3</x:v>
      </x:c>
      <x:c r="D1004" s="44" t="n">
        <x:v>46295</x:v>
      </x:c>
      <x:c r="E1004" s="42" t="str">
        <x:v>Volante</x:v>
      </x:c>
      <x:c r="F1004" s="42" t="str">
        <x:v>Fluminense FC</x:v>
      </x:c>
      <x:c r="G1004" s="46"/>
      <x:c r="H1004" s="46"/>
      <x:c r="I1004" s="46"/>
      <x:c r="J1004" s="46"/>
      <x:c r="K1004" s="46" t="str">
        <x:f>IF(COUNT(G1004,I1004)=0,"",AVERAGE(G1004,I1004))</x:f>
      </x:c>
      <x:c r="L1004" s="46" t="str">
        <x:f>IF(COUNT(H1004,J1004)=0,"",AVERAGE(H1004,J1004))</x:f>
      </x:c>
      <x:c r="M1004" s="46" t="str">
        <x:f>IF(OR(K1004="",L1004=""),"",L1004-K1004)</x:f>
      </x:c>
      <x:c r="N1004" s="46" t="str">
        <x:f>IF(OR(K1004="",A1003&lt;&gt;A1004,K1003=""),"",K1004-K1003)</x:f>
      </x:c>
      <x:c r="O1004" s="42" t="str">
        <x:v>Sem informação</x:v>
      </x:c>
      <x:c r="P1004" s="42"/>
      <x:c r="Q1004" s="42" t="str"/>
      <x:c r="R1004" s="42" t="str"/>
      <x:c r="S1004" s="42" t="str"/>
      <x:c r="T1004" s="42" t="str"/>
    </x:row>
    <x:row r="1005">
      <x:c r="A1005" s="42" t="str">
        <x:v>Matheus Martinelli</x:v>
      </x:c>
      <x:c r="B1005" s="42" t="n">
        <x:v>2026</x:v>
      </x:c>
      <x:c r="C1005" s="42" t="str">
        <x:v>T4</x:v>
      </x:c>
      <x:c r="D1005" s="44" t="n">
        <x:v>46387</x:v>
      </x:c>
      <x:c r="E1005" s="42" t="str">
        <x:v>Volante</x:v>
      </x:c>
      <x:c r="F1005" s="42" t="str">
        <x:v>Fluminense FC</x:v>
      </x:c>
      <x:c r="G1005" s="46"/>
      <x:c r="H1005" s="46"/>
      <x:c r="I1005" s="46"/>
      <x:c r="J1005" s="46"/>
      <x:c r="K1005" s="46" t="str">
        <x:f>IF(COUNT(G1005,I1005)=0,"",AVERAGE(G1005,I1005))</x:f>
      </x:c>
      <x:c r="L1005" s="46" t="str">
        <x:f>IF(COUNT(H1005,J1005)=0,"",AVERAGE(H1005,J1005))</x:f>
      </x:c>
      <x:c r="M1005" s="46" t="str">
        <x:f>IF(OR(K1005="",L1005=""),"",L1005-K1005)</x:f>
      </x:c>
      <x:c r="N1005" s="46" t="str">
        <x:f>IF(OR(K1005="",A1004&lt;&gt;A1005,K1004=""),"",K1005-K1004)</x:f>
      </x:c>
      <x:c r="O1005" s="42" t="str">
        <x:v>Sem informação</x:v>
      </x:c>
      <x:c r="P1005" s="42"/>
      <x:c r="Q1005" s="42" t="str"/>
      <x:c r="R1005" s="42" t="str"/>
      <x:c r="S1005" s="42" t="str"/>
      <x:c r="T1005" s="42" t="str"/>
    </x:row>
    <x:row r="1006">
      <x:c r="A1006" s="42" t="str">
        <x:v>Matheus Martinelli</x:v>
      </x:c>
      <x:c r="B1006" s="42" t="n">
        <x:v>2027</x:v>
      </x:c>
      <x:c r="C1006" s="42" t="str">
        <x:v>T1</x:v>
      </x:c>
      <x:c r="D1006" s="44" t="n">
        <x:v>46477</x:v>
      </x:c>
      <x:c r="E1006" s="42" t="str">
        <x:v>Volante</x:v>
      </x:c>
      <x:c r="F1006" s="42" t="str">
        <x:v>Fluminense FC</x:v>
      </x:c>
      <x:c r="G1006" s="46"/>
      <x:c r="H1006" s="46"/>
      <x:c r="I1006" s="46"/>
      <x:c r="J1006" s="46"/>
      <x:c r="K1006" s="46" t="str">
        <x:f>IF(COUNT(G1006,I1006)=0,"",AVERAGE(G1006,I1006))</x:f>
      </x:c>
      <x:c r="L1006" s="46" t="str">
        <x:f>IF(COUNT(H1006,J1006)=0,"",AVERAGE(H1006,J1006))</x:f>
      </x:c>
      <x:c r="M1006" s="46" t="str">
        <x:f>IF(OR(K1006="",L1006=""),"",L1006-K1006)</x:f>
      </x:c>
      <x:c r="N1006" s="46" t="str">
        <x:f>IF(OR(K1006="",A1005&lt;&gt;A1006,K1005=""),"",K1006-K1005)</x:f>
      </x:c>
      <x:c r="O1006" s="42" t="str">
        <x:v>Sem informação</x:v>
      </x:c>
      <x:c r="P1006" s="42"/>
      <x:c r="Q1006" s="42" t="str"/>
      <x:c r="R1006" s="42" t="str"/>
      <x:c r="S1006" s="42" t="str"/>
      <x:c r="T1006" s="42" t="str"/>
    </x:row>
    <x:row r="1007">
      <x:c r="A1007" s="42" t="str">
        <x:v>Matheus Martinelli</x:v>
      </x:c>
      <x:c r="B1007" s="42" t="n">
        <x:v>2027</x:v>
      </x:c>
      <x:c r="C1007" s="42" t="str">
        <x:v>T2</x:v>
      </x:c>
      <x:c r="D1007" s="44" t="n">
        <x:v>46568</x:v>
      </x:c>
      <x:c r="E1007" s="42" t="str">
        <x:v>Volante</x:v>
      </x:c>
      <x:c r="F1007" s="42" t="str">
        <x:v>Fluminense FC</x:v>
      </x:c>
      <x:c r="G1007" s="46"/>
      <x:c r="H1007" s="46"/>
      <x:c r="I1007" s="46"/>
      <x:c r="J1007" s="46"/>
      <x:c r="K1007" s="46" t="str">
        <x:f>IF(COUNT(G1007,I1007)=0,"",AVERAGE(G1007,I1007))</x:f>
      </x:c>
      <x:c r="L1007" s="46" t="str">
        <x:f>IF(COUNT(H1007,J1007)=0,"",AVERAGE(H1007,J1007))</x:f>
      </x:c>
      <x:c r="M1007" s="46" t="str">
        <x:f>IF(OR(K1007="",L1007=""),"",L1007-K1007)</x:f>
      </x:c>
      <x:c r="N1007" s="46" t="str">
        <x:f>IF(OR(K1007="",A1006&lt;&gt;A1007,K1006=""),"",K1007-K1006)</x:f>
      </x:c>
      <x:c r="O1007" s="42" t="str">
        <x:v>Sem informação</x:v>
      </x:c>
      <x:c r="P1007" s="42"/>
      <x:c r="Q1007" s="42" t="str"/>
      <x:c r="R1007" s="42" t="str"/>
      <x:c r="S1007" s="42" t="str"/>
      <x:c r="T1007" s="42" t="str"/>
    </x:row>
    <x:row r="1008">
      <x:c r="A1008" s="42" t="str">
        <x:v>Matheus Martinelli</x:v>
      </x:c>
      <x:c r="B1008" s="42" t="n">
        <x:v>2027</x:v>
      </x:c>
      <x:c r="C1008" s="42" t="str">
        <x:v>T3</x:v>
      </x:c>
      <x:c r="D1008" s="44" t="n">
        <x:v>46660</x:v>
      </x:c>
      <x:c r="E1008" s="42" t="str">
        <x:v>Volante</x:v>
      </x:c>
      <x:c r="F1008" s="42" t="str">
        <x:v>Fluminense FC</x:v>
      </x:c>
      <x:c r="G1008" s="46"/>
      <x:c r="H1008" s="46"/>
      <x:c r="I1008" s="46"/>
      <x:c r="J1008" s="46"/>
      <x:c r="K1008" s="46" t="str">
        <x:f>IF(COUNT(G1008,I1008)=0,"",AVERAGE(G1008,I1008))</x:f>
      </x:c>
      <x:c r="L1008" s="46" t="str">
        <x:f>IF(COUNT(H1008,J1008)=0,"",AVERAGE(H1008,J1008))</x:f>
      </x:c>
      <x:c r="M1008" s="46" t="str">
        <x:f>IF(OR(K1008="",L1008=""),"",L1008-K1008)</x:f>
      </x:c>
      <x:c r="N1008" s="46" t="str">
        <x:f>IF(OR(K1008="",A1007&lt;&gt;A1008,K1007=""),"",K1008-K1007)</x:f>
      </x:c>
      <x:c r="O1008" s="42" t="str">
        <x:v>Sem informação</x:v>
      </x:c>
      <x:c r="P1008" s="42"/>
      <x:c r="Q1008" s="42" t="str"/>
      <x:c r="R1008" s="42" t="str"/>
      <x:c r="S1008" s="42" t="str"/>
      <x:c r="T1008" s="42" t="str"/>
    </x:row>
    <x:row r="1009">
      <x:c r="A1009" s="42" t="str">
        <x:v>Matheus Martinelli</x:v>
      </x:c>
      <x:c r="B1009" s="42" t="n">
        <x:v>2027</x:v>
      </x:c>
      <x:c r="C1009" s="42" t="str">
        <x:v>T4</x:v>
      </x:c>
      <x:c r="D1009" s="44" t="n">
        <x:v>46752</x:v>
      </x:c>
      <x:c r="E1009" s="42" t="str">
        <x:v>Volante</x:v>
      </x:c>
      <x:c r="F1009" s="42" t="str">
        <x:v>Fluminense FC</x:v>
      </x:c>
      <x:c r="G1009" s="46"/>
      <x:c r="H1009" s="46"/>
      <x:c r="I1009" s="46"/>
      <x:c r="J1009" s="46"/>
      <x:c r="K1009" s="46" t="str">
        <x:f>IF(COUNT(G1009,I1009)=0,"",AVERAGE(G1009,I1009))</x:f>
      </x:c>
      <x:c r="L1009" s="46" t="str">
        <x:f>IF(COUNT(H1009,J1009)=0,"",AVERAGE(H1009,J1009))</x:f>
      </x:c>
      <x:c r="M1009" s="46" t="str">
        <x:f>IF(OR(K1009="",L1009=""),"",L1009-K1009)</x:f>
      </x:c>
      <x:c r="N1009" s="46" t="str">
        <x:f>IF(OR(K1009="",A1008&lt;&gt;A1009,K1008=""),"",K1009-K1008)</x:f>
      </x:c>
      <x:c r="O1009" s="42" t="str">
        <x:v>Sem informação</x:v>
      </x:c>
      <x:c r="P1009" s="42"/>
      <x:c r="Q1009" s="42" t="str"/>
      <x:c r="R1009" s="42" t="str"/>
      <x:c r="S1009" s="42" t="str"/>
      <x:c r="T1009" s="42" t="str"/>
    </x:row>
    <x:row r="1010">
      <x:c r="A1010" s="42" t="str">
        <x:v>Matheus Martinelli</x:v>
      </x:c>
      <x:c r="B1010" s="42" t="n">
        <x:v>2028</x:v>
      </x:c>
      <x:c r="C1010" s="42" t="str">
        <x:v>T1</x:v>
      </x:c>
      <x:c r="D1010" s="44" t="n">
        <x:v>46843</x:v>
      </x:c>
      <x:c r="E1010" s="42" t="str">
        <x:v>Volante</x:v>
      </x:c>
      <x:c r="F1010" s="42" t="str">
        <x:v>Fluminense FC</x:v>
      </x:c>
      <x:c r="G1010" s="46"/>
      <x:c r="H1010" s="46"/>
      <x:c r="I1010" s="46"/>
      <x:c r="J1010" s="46"/>
      <x:c r="K1010" s="46" t="str">
        <x:f>IF(COUNT(G1010,I1010)=0,"",AVERAGE(G1010,I1010))</x:f>
      </x:c>
      <x:c r="L1010" s="46" t="str">
        <x:f>IF(COUNT(H1010,J1010)=0,"",AVERAGE(H1010,J1010))</x:f>
      </x:c>
      <x:c r="M1010" s="46" t="str">
        <x:f>IF(OR(K1010="",L1010=""),"",L1010-K1010)</x:f>
      </x:c>
      <x:c r="N1010" s="46" t="str">
        <x:f>IF(OR(K1010="",A1009&lt;&gt;A1010,K1009=""),"",K1010-K1009)</x:f>
      </x:c>
      <x:c r="O1010" s="42" t="str">
        <x:v>Sem informação</x:v>
      </x:c>
      <x:c r="P1010" s="42"/>
      <x:c r="Q1010" s="42" t="str"/>
      <x:c r="R1010" s="42" t="str"/>
      <x:c r="S1010" s="42" t="str"/>
      <x:c r="T1010" s="42" t="str"/>
    </x:row>
    <x:row r="1011">
      <x:c r="A1011" s="42" t="str">
        <x:v>Matheus Martinelli</x:v>
      </x:c>
      <x:c r="B1011" s="42" t="n">
        <x:v>2028</x:v>
      </x:c>
      <x:c r="C1011" s="42" t="str">
        <x:v>T2</x:v>
      </x:c>
      <x:c r="D1011" s="44" t="n">
        <x:v>46934</x:v>
      </x:c>
      <x:c r="E1011" s="42" t="str">
        <x:v>Volante</x:v>
      </x:c>
      <x:c r="F1011" s="42" t="str">
        <x:v>Fluminense FC</x:v>
      </x:c>
      <x:c r="G1011" s="46"/>
      <x:c r="H1011" s="46"/>
      <x:c r="I1011" s="46"/>
      <x:c r="J1011" s="46"/>
      <x:c r="K1011" s="46" t="str">
        <x:f>IF(COUNT(G1011,I1011)=0,"",AVERAGE(G1011,I1011))</x:f>
      </x:c>
      <x:c r="L1011" s="46" t="str">
        <x:f>IF(COUNT(H1011,J1011)=0,"",AVERAGE(H1011,J1011))</x:f>
      </x:c>
      <x:c r="M1011" s="46" t="str">
        <x:f>IF(OR(K1011="",L1011=""),"",L1011-K1011)</x:f>
      </x:c>
      <x:c r="N1011" s="46" t="str">
        <x:f>IF(OR(K1011="",A1010&lt;&gt;A1011,K1010=""),"",K1011-K1010)</x:f>
      </x:c>
      <x:c r="O1011" s="42" t="str">
        <x:v>Sem informação</x:v>
      </x:c>
      <x:c r="P1011" s="42"/>
      <x:c r="Q1011" s="42" t="str"/>
      <x:c r="R1011" s="42" t="str"/>
      <x:c r="S1011" s="42" t="str"/>
      <x:c r="T1011" s="42" t="str"/>
    </x:row>
    <x:row r="1012">
      <x:c r="A1012" s="42" t="str">
        <x:v>Matheus Martinelli</x:v>
      </x:c>
      <x:c r="B1012" s="42" t="n">
        <x:v>2028</x:v>
      </x:c>
      <x:c r="C1012" s="42" t="str">
        <x:v>T3</x:v>
      </x:c>
      <x:c r="D1012" s="44" t="n">
        <x:v>47026</x:v>
      </x:c>
      <x:c r="E1012" s="42" t="str">
        <x:v>Volante</x:v>
      </x:c>
      <x:c r="F1012" s="42" t="str">
        <x:v>Fluminense FC</x:v>
      </x:c>
      <x:c r="G1012" s="46"/>
      <x:c r="H1012" s="46"/>
      <x:c r="I1012" s="46"/>
      <x:c r="J1012" s="46"/>
      <x:c r="K1012" s="46" t="str">
        <x:f>IF(COUNT(G1012,I1012)=0,"",AVERAGE(G1012,I1012))</x:f>
      </x:c>
      <x:c r="L1012" s="46" t="str">
        <x:f>IF(COUNT(H1012,J1012)=0,"",AVERAGE(H1012,J1012))</x:f>
      </x:c>
      <x:c r="M1012" s="46" t="str">
        <x:f>IF(OR(K1012="",L1012=""),"",L1012-K1012)</x:f>
      </x:c>
      <x:c r="N1012" s="46" t="str">
        <x:f>IF(OR(K1012="",A1011&lt;&gt;A1012,K1011=""),"",K1012-K1011)</x:f>
      </x:c>
      <x:c r="O1012" s="42" t="str">
        <x:v>Sem informação</x:v>
      </x:c>
      <x:c r="P1012" s="42"/>
      <x:c r="Q1012" s="42" t="str"/>
      <x:c r="R1012" s="42" t="str"/>
      <x:c r="S1012" s="42" t="str"/>
      <x:c r="T1012" s="42" t="str"/>
    </x:row>
    <x:row r="1013">
      <x:c r="A1013" s="42" t="str">
        <x:v>Matheus Martinelli</x:v>
      </x:c>
      <x:c r="B1013" s="42" t="n">
        <x:v>2028</x:v>
      </x:c>
      <x:c r="C1013" s="42" t="str">
        <x:v>T4</x:v>
      </x:c>
      <x:c r="D1013" s="44" t="n">
        <x:v>47118</x:v>
      </x:c>
      <x:c r="E1013" s="42" t="str">
        <x:v>Volante</x:v>
      </x:c>
      <x:c r="F1013" s="42" t="str">
        <x:v>Fluminense FC</x:v>
      </x:c>
      <x:c r="G1013" s="46"/>
      <x:c r="H1013" s="46"/>
      <x:c r="I1013" s="46"/>
      <x:c r="J1013" s="46"/>
      <x:c r="K1013" s="46" t="str">
        <x:f>IF(COUNT(G1013,I1013)=0,"",AVERAGE(G1013,I1013))</x:f>
      </x:c>
      <x:c r="L1013" s="46" t="str">
        <x:f>IF(COUNT(H1013,J1013)=0,"",AVERAGE(H1013,J1013))</x:f>
      </x:c>
      <x:c r="M1013" s="46" t="str">
        <x:f>IF(OR(K1013="",L1013=""),"",L1013-K1013)</x:f>
      </x:c>
      <x:c r="N1013" s="46" t="str">
        <x:f>IF(OR(K1013="",A1012&lt;&gt;A1013,K1012=""),"",K1013-K1012)</x:f>
      </x:c>
      <x:c r="O1013" s="42" t="str">
        <x:v>Sem informação</x:v>
      </x:c>
      <x:c r="P1013" s="42"/>
      <x:c r="Q1013" s="42" t="str"/>
      <x:c r="R1013" s="42" t="str"/>
      <x:c r="S1013" s="42" t="str"/>
      <x:c r="T1013" s="42" t="str"/>
    </x:row>
    <x:row r="1014">
      <x:c r="A1014" s="42" t="str">
        <x:v>Matheus Martinelli</x:v>
      </x:c>
      <x:c r="B1014" s="42" t="n">
        <x:v>2029</x:v>
      </x:c>
      <x:c r="C1014" s="42" t="str">
        <x:v>T1</x:v>
      </x:c>
      <x:c r="D1014" s="44" t="n">
        <x:v>47208</x:v>
      </x:c>
      <x:c r="E1014" s="42" t="str">
        <x:v>Volante</x:v>
      </x:c>
      <x:c r="F1014" s="42" t="str">
        <x:v>Fluminense FC</x:v>
      </x:c>
      <x:c r="G1014" s="46"/>
      <x:c r="H1014" s="46"/>
      <x:c r="I1014" s="46"/>
      <x:c r="J1014" s="46"/>
      <x:c r="K1014" s="46" t="str">
        <x:f>IF(COUNT(G1014,I1014)=0,"",AVERAGE(G1014,I1014))</x:f>
      </x:c>
      <x:c r="L1014" s="46" t="str">
        <x:f>IF(COUNT(H1014,J1014)=0,"",AVERAGE(H1014,J1014))</x:f>
      </x:c>
      <x:c r="M1014" s="46" t="str">
        <x:f>IF(OR(K1014="",L1014=""),"",L1014-K1014)</x:f>
      </x:c>
      <x:c r="N1014" s="46" t="str">
        <x:f>IF(OR(K1014="",A1013&lt;&gt;A1014,K1013=""),"",K1014-K1013)</x:f>
      </x:c>
      <x:c r="O1014" s="42" t="str">
        <x:v>Sem informação</x:v>
      </x:c>
      <x:c r="P1014" s="42"/>
      <x:c r="Q1014" s="42" t="str"/>
      <x:c r="R1014" s="42" t="str"/>
      <x:c r="S1014" s="42" t="str"/>
      <x:c r="T1014" s="42" t="str"/>
    </x:row>
    <x:row r="1015">
      <x:c r="A1015" s="42" t="str">
        <x:v>Matheus Martinelli</x:v>
      </x:c>
      <x:c r="B1015" s="42" t="n">
        <x:v>2029</x:v>
      </x:c>
      <x:c r="C1015" s="42" t="str">
        <x:v>T2</x:v>
      </x:c>
      <x:c r="D1015" s="44" t="n">
        <x:v>47299</x:v>
      </x:c>
      <x:c r="E1015" s="42" t="str">
        <x:v>Volante</x:v>
      </x:c>
      <x:c r="F1015" s="42" t="str">
        <x:v>Fluminense FC</x:v>
      </x:c>
      <x:c r="G1015" s="46"/>
      <x:c r="H1015" s="46"/>
      <x:c r="I1015" s="46"/>
      <x:c r="J1015" s="46"/>
      <x:c r="K1015" s="46" t="str">
        <x:f>IF(COUNT(G1015,I1015)=0,"",AVERAGE(G1015,I1015))</x:f>
      </x:c>
      <x:c r="L1015" s="46" t="str">
        <x:f>IF(COUNT(H1015,J1015)=0,"",AVERAGE(H1015,J1015))</x:f>
      </x:c>
      <x:c r="M1015" s="46" t="str">
        <x:f>IF(OR(K1015="",L1015=""),"",L1015-K1015)</x:f>
      </x:c>
      <x:c r="N1015" s="46" t="str">
        <x:f>IF(OR(K1015="",A1014&lt;&gt;A1015,K1014=""),"",K1015-K1014)</x:f>
      </x:c>
      <x:c r="O1015" s="42" t="str">
        <x:v>Sem informação</x:v>
      </x:c>
      <x:c r="P1015" s="42"/>
      <x:c r="Q1015" s="42" t="str"/>
      <x:c r="R1015" s="42" t="str"/>
      <x:c r="S1015" s="42" t="str"/>
      <x:c r="T1015" s="42" t="str"/>
    </x:row>
    <x:row r="1016">
      <x:c r="A1016" s="42" t="str">
        <x:v>Matheus Martinelli</x:v>
      </x:c>
      <x:c r="B1016" s="42" t="n">
        <x:v>2029</x:v>
      </x:c>
      <x:c r="C1016" s="42" t="str">
        <x:v>T3</x:v>
      </x:c>
      <x:c r="D1016" s="44" t="n">
        <x:v>47391</x:v>
      </x:c>
      <x:c r="E1016" s="42" t="str">
        <x:v>Volante</x:v>
      </x:c>
      <x:c r="F1016" s="42" t="str">
        <x:v>Fluminense FC</x:v>
      </x:c>
      <x:c r="G1016" s="46"/>
      <x:c r="H1016" s="46"/>
      <x:c r="I1016" s="46"/>
      <x:c r="J1016" s="46"/>
      <x:c r="K1016" s="46" t="str">
        <x:f>IF(COUNT(G1016,I1016)=0,"",AVERAGE(G1016,I1016))</x:f>
      </x:c>
      <x:c r="L1016" s="46" t="str">
        <x:f>IF(COUNT(H1016,J1016)=0,"",AVERAGE(H1016,J1016))</x:f>
      </x:c>
      <x:c r="M1016" s="46" t="str">
        <x:f>IF(OR(K1016="",L1016=""),"",L1016-K1016)</x:f>
      </x:c>
      <x:c r="N1016" s="46" t="str">
        <x:f>IF(OR(K1016="",A1015&lt;&gt;A1016,K1015=""),"",K1016-K1015)</x:f>
      </x:c>
      <x:c r="O1016" s="42" t="str">
        <x:v>Sem informação</x:v>
      </x:c>
      <x:c r="P1016" s="42"/>
      <x:c r="Q1016" s="42" t="str"/>
      <x:c r="R1016" s="42" t="str"/>
      <x:c r="S1016" s="42" t="str"/>
      <x:c r="T1016" s="42" t="str"/>
    </x:row>
    <x:row r="1017">
      <x:c r="A1017" s="42" t="str">
        <x:v>Matheus Martinelli</x:v>
      </x:c>
      <x:c r="B1017" s="42" t="n">
        <x:v>2029</x:v>
      </x:c>
      <x:c r="C1017" s="42" t="str">
        <x:v>T4</x:v>
      </x:c>
      <x:c r="D1017" s="44" t="n">
        <x:v>47483</x:v>
      </x:c>
      <x:c r="E1017" s="42" t="str">
        <x:v>Volante</x:v>
      </x:c>
      <x:c r="F1017" s="42" t="str">
        <x:v>Fluminense FC</x:v>
      </x:c>
      <x:c r="G1017" s="46"/>
      <x:c r="H1017" s="46"/>
      <x:c r="I1017" s="46"/>
      <x:c r="J1017" s="46"/>
      <x:c r="K1017" s="46" t="str">
        <x:f>IF(COUNT(G1017,I1017)=0,"",AVERAGE(G1017,I1017))</x:f>
      </x:c>
      <x:c r="L1017" s="46" t="str">
        <x:f>IF(COUNT(H1017,J1017)=0,"",AVERAGE(H1017,J1017))</x:f>
      </x:c>
      <x:c r="M1017" s="46" t="str">
        <x:f>IF(OR(K1017="",L1017=""),"",L1017-K1017)</x:f>
      </x:c>
      <x:c r="N1017" s="46" t="str">
        <x:f>IF(OR(K1017="",A1016&lt;&gt;A1017,K1016=""),"",K1017-K1016)</x:f>
      </x:c>
      <x:c r="O1017" s="42" t="str">
        <x:v>Sem informação</x:v>
      </x:c>
      <x:c r="P1017" s="42"/>
      <x:c r="Q1017" s="42" t="str"/>
      <x:c r="R1017" s="42" t="str"/>
      <x:c r="S1017" s="42" t="str"/>
      <x:c r="T1017" s="42" t="str"/>
    </x:row>
    <x:row r="1018">
      <x:c r="A1018" s="42" t="str">
        <x:v>Matheus Martinelli</x:v>
      </x:c>
      <x:c r="B1018" s="42" t="n">
        <x:v>2030</x:v>
      </x:c>
      <x:c r="C1018" s="42" t="str">
        <x:v>T1</x:v>
      </x:c>
      <x:c r="D1018" s="44" t="n">
        <x:v>47573</x:v>
      </x:c>
      <x:c r="E1018" s="42" t="str">
        <x:v>Volante</x:v>
      </x:c>
      <x:c r="F1018" s="42" t="str">
        <x:v>Fluminense FC</x:v>
      </x:c>
      <x:c r="G1018" s="46"/>
      <x:c r="H1018" s="46"/>
      <x:c r="I1018" s="46"/>
      <x:c r="J1018" s="46"/>
      <x:c r="K1018" s="46" t="str">
        <x:f>IF(COUNT(G1018,I1018)=0,"",AVERAGE(G1018,I1018))</x:f>
      </x:c>
      <x:c r="L1018" s="46" t="str">
        <x:f>IF(COUNT(H1018,J1018)=0,"",AVERAGE(H1018,J1018))</x:f>
      </x:c>
      <x:c r="M1018" s="46" t="str">
        <x:f>IF(OR(K1018="",L1018=""),"",L1018-K1018)</x:f>
      </x:c>
      <x:c r="N1018" s="46" t="str">
        <x:f>IF(OR(K1018="",A1017&lt;&gt;A1018,K1017=""),"",K1018-K1017)</x:f>
      </x:c>
      <x:c r="O1018" s="42" t="str">
        <x:v>Sem informação</x:v>
      </x:c>
      <x:c r="P1018" s="42"/>
      <x:c r="Q1018" s="42" t="str"/>
      <x:c r="R1018" s="42" t="str"/>
      <x:c r="S1018" s="42" t="str"/>
      <x:c r="T1018" s="42" t="str"/>
    </x:row>
    <x:row r="1019">
      <x:c r="A1019" s="42" t="str">
        <x:v>Matheus Martinelli</x:v>
      </x:c>
      <x:c r="B1019" s="42" t="n">
        <x:v>2030</x:v>
      </x:c>
      <x:c r="C1019" s="42" t="str">
        <x:v>T2</x:v>
      </x:c>
      <x:c r="D1019" s="44" t="n">
        <x:v>47664</x:v>
      </x:c>
      <x:c r="E1019" s="42" t="str">
        <x:v>Volante</x:v>
      </x:c>
      <x:c r="F1019" s="42" t="str">
        <x:v>Fluminense FC</x:v>
      </x:c>
      <x:c r="G1019" s="46"/>
      <x:c r="H1019" s="46"/>
      <x:c r="I1019" s="46"/>
      <x:c r="J1019" s="46"/>
      <x:c r="K1019" s="46" t="str">
        <x:f>IF(COUNT(G1019,I1019)=0,"",AVERAGE(G1019,I1019))</x:f>
      </x:c>
      <x:c r="L1019" s="46" t="str">
        <x:f>IF(COUNT(H1019,J1019)=0,"",AVERAGE(H1019,J1019))</x:f>
      </x:c>
      <x:c r="M1019" s="46" t="str">
        <x:f>IF(OR(K1019="",L1019=""),"",L1019-K1019)</x:f>
      </x:c>
      <x:c r="N1019" s="46" t="str">
        <x:f>IF(OR(K1019="",A1018&lt;&gt;A1019,K1018=""),"",K1019-K1018)</x:f>
      </x:c>
      <x:c r="O1019" s="42" t="str">
        <x:v>Sem informação</x:v>
      </x:c>
      <x:c r="P1019" s="42"/>
      <x:c r="Q1019" s="42" t="str"/>
      <x:c r="R1019" s="42" t="str"/>
      <x:c r="S1019" s="42" t="str"/>
      <x:c r="T1019" s="42" t="str"/>
    </x:row>
    <x:row r="1020">
      <x:c r="A1020" s="42" t="str">
        <x:v>Matheus Martinelli</x:v>
      </x:c>
      <x:c r="B1020" s="42" t="n">
        <x:v>2030</x:v>
      </x:c>
      <x:c r="C1020" s="42" t="str">
        <x:v>T3</x:v>
      </x:c>
      <x:c r="D1020" s="44" t="n">
        <x:v>47756</x:v>
      </x:c>
      <x:c r="E1020" s="42" t="str">
        <x:v>Volante</x:v>
      </x:c>
      <x:c r="F1020" s="42" t="str">
        <x:v>Fluminense FC</x:v>
      </x:c>
      <x:c r="G1020" s="46"/>
      <x:c r="H1020" s="46"/>
      <x:c r="I1020" s="46"/>
      <x:c r="J1020" s="46"/>
      <x:c r="K1020" s="46" t="str">
        <x:f>IF(COUNT(G1020,I1020)=0,"",AVERAGE(G1020,I1020))</x:f>
      </x:c>
      <x:c r="L1020" s="46" t="str">
        <x:f>IF(COUNT(H1020,J1020)=0,"",AVERAGE(H1020,J1020))</x:f>
      </x:c>
      <x:c r="M1020" s="46" t="str">
        <x:f>IF(OR(K1020="",L1020=""),"",L1020-K1020)</x:f>
      </x:c>
      <x:c r="N1020" s="46" t="str">
        <x:f>IF(OR(K1020="",A1019&lt;&gt;A1020,K1019=""),"",K1020-K1019)</x:f>
      </x:c>
      <x:c r="O1020" s="42" t="str">
        <x:v>Sem informação</x:v>
      </x:c>
      <x:c r="P1020" s="42"/>
      <x:c r="Q1020" s="42" t="str"/>
      <x:c r="R1020" s="42" t="str"/>
      <x:c r="S1020" s="42" t="str"/>
      <x:c r="T1020" s="42" t="str"/>
    </x:row>
    <x:row r="1021">
      <x:c r="A1021" s="42" t="str">
        <x:v>Matheus Martinelli</x:v>
      </x:c>
      <x:c r="B1021" s="42" t="n">
        <x:v>2030</x:v>
      </x:c>
      <x:c r="C1021" s="42" t="str">
        <x:v>T4</x:v>
      </x:c>
      <x:c r="D1021" s="44" t="n">
        <x:v>47848</x:v>
      </x:c>
      <x:c r="E1021" s="42" t="str">
        <x:v>Volante</x:v>
      </x:c>
      <x:c r="F1021" s="42" t="str">
        <x:v>Fluminense FC</x:v>
      </x:c>
      <x:c r="G1021" s="46"/>
      <x:c r="H1021" s="46"/>
      <x:c r="I1021" s="46"/>
      <x:c r="J1021" s="46"/>
      <x:c r="K1021" s="46" t="str">
        <x:f>IF(COUNT(G1021,I1021)=0,"",AVERAGE(G1021,I1021))</x:f>
      </x:c>
      <x:c r="L1021" s="46" t="str">
        <x:f>IF(COUNT(H1021,J1021)=0,"",AVERAGE(H1021,J1021))</x:f>
      </x:c>
      <x:c r="M1021" s="46" t="str">
        <x:f>IF(OR(K1021="",L1021=""),"",L1021-K1021)</x:f>
      </x:c>
      <x:c r="N1021" s="46" t="str">
        <x:f>IF(OR(K1021="",A1020&lt;&gt;A1021,K1020=""),"",K1021-K1020)</x:f>
      </x:c>
      <x:c r="O1021" s="42" t="str">
        <x:v>Sem informação</x:v>
      </x:c>
      <x:c r="P1021" s="42"/>
      <x:c r="Q1021" s="42" t="str"/>
      <x:c r="R1021" s="42" t="str"/>
      <x:c r="S1021" s="42" t="str"/>
      <x:c r="T1021" s="42" t="str"/>
    </x:row>
    <x:row r="1022">
      <x:c r="A1022" s="42" t="str">
        <x:v>Otávio</x:v>
      </x:c>
      <x:c r="B1022" s="42" t="n">
        <x:v>2026</x:v>
      </x:c>
      <x:c r="C1022" s="42" t="str">
        <x:v>T1</x:v>
      </x:c>
      <x:c r="D1022" s="44" t="n">
        <x:v>46112</x:v>
      </x:c>
      <x:c r="E1022" s="42" t="str">
        <x:v>Goleiro</x:v>
      </x:c>
      <x:c r="F1022" s="42" t="str">
        <x:v>Cruzeiro EC</x:v>
      </x:c>
      <x:c r="G1022" s="46"/>
      <x:c r="H1022" s="46"/>
      <x:c r="I1022" s="46"/>
      <x:c r="J1022" s="46"/>
      <x:c r="K1022" s="46" t="str">
        <x:f>IF(COUNT(G1022,I1022)=0,"",AVERAGE(G1022,I1022))</x:f>
      </x:c>
      <x:c r="L1022" s="46" t="str">
        <x:f>IF(COUNT(H1022,J1022)=0,"",AVERAGE(H1022,J1022))</x:f>
      </x:c>
      <x:c r="M1022" s="46" t="str">
        <x:f>IF(OR(K1022="",L1022=""),"",L1022-K1022)</x:f>
      </x:c>
      <x:c r="N1022" s="46" t="str">
        <x:f>IF(OR(K1022="",A1021&lt;&gt;A1022,K1021=""),"",K1022-K1021)</x:f>
      </x:c>
      <x:c r="O1022" s="42" t="str">
        <x:v>Sem informação</x:v>
      </x:c>
      <x:c r="P1022" s="42"/>
      <x:c r="Q1022" s="42" t="str"/>
      <x:c r="R1022" s="42" t="str"/>
      <x:c r="S1022" s="42" t="str"/>
      <x:c r="T1022" s="42" t="str"/>
    </x:row>
    <x:row r="1023">
      <x:c r="A1023" s="42" t="str">
        <x:v>Otávio</x:v>
      </x:c>
      <x:c r="B1023" s="42" t="n">
        <x:v>2026</x:v>
      </x:c>
      <x:c r="C1023" s="42" t="str">
        <x:v>T2</x:v>
      </x:c>
      <x:c r="D1023" s="44" t="n">
        <x:v>46203</x:v>
      </x:c>
      <x:c r="E1023" s="42" t="str">
        <x:v>Goleiro</x:v>
      </x:c>
      <x:c r="F1023" s="42" t="str">
        <x:v>Cruzeiro EC</x:v>
      </x:c>
      <x:c r="G1023" s="46"/>
      <x:c r="H1023" s="46"/>
      <x:c r="I1023" s="46"/>
      <x:c r="J1023" s="46"/>
      <x:c r="K1023" s="46" t="str">
        <x:f>IF(COUNT(G1023,I1023)=0,"",AVERAGE(G1023,I1023))</x:f>
      </x:c>
      <x:c r="L1023" s="46" t="str">
        <x:f>IF(COUNT(H1023,J1023)=0,"",AVERAGE(H1023,J1023))</x:f>
      </x:c>
      <x:c r="M1023" s="46" t="str">
        <x:f>IF(OR(K1023="",L1023=""),"",L1023-K1023)</x:f>
      </x:c>
      <x:c r="N1023" s="46" t="str">
        <x:f>IF(OR(K1023="",A1022&lt;&gt;A1023,K1022=""),"",K1023-K1022)</x:f>
      </x:c>
      <x:c r="O1023" s="42" t="str">
        <x:v>Sem informação</x:v>
      </x:c>
      <x:c r="P1023" s="42"/>
      <x:c r="Q1023" s="42" t="str"/>
      <x:c r="R1023" s="42" t="str"/>
      <x:c r="S1023" s="42" t="str"/>
      <x:c r="T1023" s="42" t="str"/>
    </x:row>
    <x:row r="1024">
      <x:c r="A1024" s="42" t="str">
        <x:v>Otávio</x:v>
      </x:c>
      <x:c r="B1024" s="42" t="n">
        <x:v>2026</x:v>
      </x:c>
      <x:c r="C1024" s="42" t="str">
        <x:v>T3</x:v>
      </x:c>
      <x:c r="D1024" s="44" t="n">
        <x:v>46295</x:v>
      </x:c>
      <x:c r="E1024" s="42" t="str">
        <x:v>Goleiro</x:v>
      </x:c>
      <x:c r="F1024" s="42" t="str">
        <x:v>Cruzeiro EC</x:v>
      </x:c>
      <x:c r="G1024" s="46"/>
      <x:c r="H1024" s="46"/>
      <x:c r="I1024" s="46"/>
      <x:c r="J1024" s="46"/>
      <x:c r="K1024" s="46" t="str">
        <x:f>IF(COUNT(G1024,I1024)=0,"",AVERAGE(G1024,I1024))</x:f>
      </x:c>
      <x:c r="L1024" s="46" t="str">
        <x:f>IF(COUNT(H1024,J1024)=0,"",AVERAGE(H1024,J1024))</x:f>
      </x:c>
      <x:c r="M1024" s="46" t="str">
        <x:f>IF(OR(K1024="",L1024=""),"",L1024-K1024)</x:f>
      </x:c>
      <x:c r="N1024" s="46" t="str">
        <x:f>IF(OR(K1024="",A1023&lt;&gt;A1024,K1023=""),"",K1024-K1023)</x:f>
      </x:c>
      <x:c r="O1024" s="42" t="str">
        <x:v>Sem informação</x:v>
      </x:c>
      <x:c r="P1024" s="42"/>
      <x:c r="Q1024" s="42" t="str"/>
      <x:c r="R1024" s="42" t="str"/>
      <x:c r="S1024" s="42" t="str"/>
      <x:c r="T1024" s="42" t="str"/>
    </x:row>
    <x:row r="1025">
      <x:c r="A1025" s="42" t="str">
        <x:v>Otávio</x:v>
      </x:c>
      <x:c r="B1025" s="42" t="n">
        <x:v>2026</x:v>
      </x:c>
      <x:c r="C1025" s="42" t="str">
        <x:v>T4</x:v>
      </x:c>
      <x:c r="D1025" s="44" t="n">
        <x:v>46387</x:v>
      </x:c>
      <x:c r="E1025" s="42" t="str">
        <x:v>Goleiro</x:v>
      </x:c>
      <x:c r="F1025" s="42" t="str">
        <x:v>Cruzeiro EC</x:v>
      </x:c>
      <x:c r="G1025" s="46"/>
      <x:c r="H1025" s="46"/>
      <x:c r="I1025" s="46"/>
      <x:c r="J1025" s="46"/>
      <x:c r="K1025" s="46" t="str">
        <x:f>IF(COUNT(G1025,I1025)=0,"",AVERAGE(G1025,I1025))</x:f>
      </x:c>
      <x:c r="L1025" s="46" t="str">
        <x:f>IF(COUNT(H1025,J1025)=0,"",AVERAGE(H1025,J1025))</x:f>
      </x:c>
      <x:c r="M1025" s="46" t="str">
        <x:f>IF(OR(K1025="",L1025=""),"",L1025-K1025)</x:f>
      </x:c>
      <x:c r="N1025" s="46" t="str">
        <x:f>IF(OR(K1025="",A1024&lt;&gt;A1025,K1024=""),"",K1025-K1024)</x:f>
      </x:c>
      <x:c r="O1025" s="42" t="str">
        <x:v>Sem informação</x:v>
      </x:c>
      <x:c r="P1025" s="42"/>
      <x:c r="Q1025" s="42" t="str"/>
      <x:c r="R1025" s="42" t="str"/>
      <x:c r="S1025" s="42" t="str"/>
      <x:c r="T1025" s="42" t="str"/>
    </x:row>
    <x:row r="1026">
      <x:c r="A1026" s="42" t="str">
        <x:v>Otávio</x:v>
      </x:c>
      <x:c r="B1026" s="42" t="n">
        <x:v>2027</x:v>
      </x:c>
      <x:c r="C1026" s="42" t="str">
        <x:v>T1</x:v>
      </x:c>
      <x:c r="D1026" s="44" t="n">
        <x:v>46477</x:v>
      </x:c>
      <x:c r="E1026" s="42" t="str">
        <x:v>Goleiro</x:v>
      </x:c>
      <x:c r="F1026" s="42" t="str">
        <x:v>Cruzeiro EC</x:v>
      </x:c>
      <x:c r="G1026" s="46"/>
      <x:c r="H1026" s="46"/>
      <x:c r="I1026" s="46"/>
      <x:c r="J1026" s="46"/>
      <x:c r="K1026" s="46" t="str">
        <x:f>IF(COUNT(G1026,I1026)=0,"",AVERAGE(G1026,I1026))</x:f>
      </x:c>
      <x:c r="L1026" s="46" t="str">
        <x:f>IF(COUNT(H1026,J1026)=0,"",AVERAGE(H1026,J1026))</x:f>
      </x:c>
      <x:c r="M1026" s="46" t="str">
        <x:f>IF(OR(K1026="",L1026=""),"",L1026-K1026)</x:f>
      </x:c>
      <x:c r="N1026" s="46" t="str">
        <x:f>IF(OR(K1026="",A1025&lt;&gt;A1026,K1025=""),"",K1026-K1025)</x:f>
      </x:c>
      <x:c r="O1026" s="42" t="str">
        <x:v>Sem informação</x:v>
      </x:c>
      <x:c r="P1026" s="42"/>
      <x:c r="Q1026" s="42" t="str"/>
      <x:c r="R1026" s="42" t="str"/>
      <x:c r="S1026" s="42" t="str"/>
      <x:c r="T1026" s="42" t="str"/>
    </x:row>
    <x:row r="1027">
      <x:c r="A1027" s="42" t="str">
        <x:v>Otávio</x:v>
      </x:c>
      <x:c r="B1027" s="42" t="n">
        <x:v>2027</x:v>
      </x:c>
      <x:c r="C1027" s="42" t="str">
        <x:v>T2</x:v>
      </x:c>
      <x:c r="D1027" s="44" t="n">
        <x:v>46568</x:v>
      </x:c>
      <x:c r="E1027" s="42" t="str">
        <x:v>Goleiro</x:v>
      </x:c>
      <x:c r="F1027" s="42" t="str">
        <x:v>Cruzeiro EC</x:v>
      </x:c>
      <x:c r="G1027" s="46"/>
      <x:c r="H1027" s="46"/>
      <x:c r="I1027" s="46"/>
      <x:c r="J1027" s="46"/>
      <x:c r="K1027" s="46" t="str">
        <x:f>IF(COUNT(G1027,I1027)=0,"",AVERAGE(G1027,I1027))</x:f>
      </x:c>
      <x:c r="L1027" s="46" t="str">
        <x:f>IF(COUNT(H1027,J1027)=0,"",AVERAGE(H1027,J1027))</x:f>
      </x:c>
      <x:c r="M1027" s="46" t="str">
        <x:f>IF(OR(K1027="",L1027=""),"",L1027-K1027)</x:f>
      </x:c>
      <x:c r="N1027" s="46" t="str">
        <x:f>IF(OR(K1027="",A1026&lt;&gt;A1027,K1026=""),"",K1027-K1026)</x:f>
      </x:c>
      <x:c r="O1027" s="42" t="str">
        <x:v>Sem informação</x:v>
      </x:c>
      <x:c r="P1027" s="42"/>
      <x:c r="Q1027" s="42" t="str"/>
      <x:c r="R1027" s="42" t="str"/>
      <x:c r="S1027" s="42" t="str"/>
      <x:c r="T1027" s="42" t="str"/>
    </x:row>
    <x:row r="1028">
      <x:c r="A1028" s="42" t="str">
        <x:v>Otávio</x:v>
      </x:c>
      <x:c r="B1028" s="42" t="n">
        <x:v>2027</x:v>
      </x:c>
      <x:c r="C1028" s="42" t="str">
        <x:v>T3</x:v>
      </x:c>
      <x:c r="D1028" s="44" t="n">
        <x:v>46660</x:v>
      </x:c>
      <x:c r="E1028" s="42" t="str">
        <x:v>Goleiro</x:v>
      </x:c>
      <x:c r="F1028" s="42" t="str">
        <x:v>Cruzeiro EC</x:v>
      </x:c>
      <x:c r="G1028" s="46"/>
      <x:c r="H1028" s="46"/>
      <x:c r="I1028" s="46"/>
      <x:c r="J1028" s="46"/>
      <x:c r="K1028" s="46" t="str">
        <x:f>IF(COUNT(G1028,I1028)=0,"",AVERAGE(G1028,I1028))</x:f>
      </x:c>
      <x:c r="L1028" s="46" t="str">
        <x:f>IF(COUNT(H1028,J1028)=0,"",AVERAGE(H1028,J1028))</x:f>
      </x:c>
      <x:c r="M1028" s="46" t="str">
        <x:f>IF(OR(K1028="",L1028=""),"",L1028-K1028)</x:f>
      </x:c>
      <x:c r="N1028" s="46" t="str">
        <x:f>IF(OR(K1028="",A1027&lt;&gt;A1028,K1027=""),"",K1028-K1027)</x:f>
      </x:c>
      <x:c r="O1028" s="42" t="str">
        <x:v>Sem informação</x:v>
      </x:c>
      <x:c r="P1028" s="42"/>
      <x:c r="Q1028" s="42" t="str"/>
      <x:c r="R1028" s="42" t="str"/>
      <x:c r="S1028" s="42" t="str"/>
      <x:c r="T1028" s="42" t="str"/>
    </x:row>
    <x:row r="1029">
      <x:c r="A1029" s="42" t="str">
        <x:v>Otávio</x:v>
      </x:c>
      <x:c r="B1029" s="42" t="n">
        <x:v>2027</x:v>
      </x:c>
      <x:c r="C1029" s="42" t="str">
        <x:v>T4</x:v>
      </x:c>
      <x:c r="D1029" s="44" t="n">
        <x:v>46752</x:v>
      </x:c>
      <x:c r="E1029" s="42" t="str">
        <x:v>Goleiro</x:v>
      </x:c>
      <x:c r="F1029" s="42" t="str">
        <x:v>Cruzeiro EC</x:v>
      </x:c>
      <x:c r="G1029" s="46"/>
      <x:c r="H1029" s="46"/>
      <x:c r="I1029" s="46"/>
      <x:c r="J1029" s="46"/>
      <x:c r="K1029" s="46" t="str">
        <x:f>IF(COUNT(G1029,I1029)=0,"",AVERAGE(G1029,I1029))</x:f>
      </x:c>
      <x:c r="L1029" s="46" t="str">
        <x:f>IF(COUNT(H1029,J1029)=0,"",AVERAGE(H1029,J1029))</x:f>
      </x:c>
      <x:c r="M1029" s="46" t="str">
        <x:f>IF(OR(K1029="",L1029=""),"",L1029-K1029)</x:f>
      </x:c>
      <x:c r="N1029" s="46" t="str">
        <x:f>IF(OR(K1029="",A1028&lt;&gt;A1029,K1028=""),"",K1029-K1028)</x:f>
      </x:c>
      <x:c r="O1029" s="42" t="str">
        <x:v>Sem informação</x:v>
      </x:c>
      <x:c r="P1029" s="42"/>
      <x:c r="Q1029" s="42" t="str"/>
      <x:c r="R1029" s="42" t="str"/>
      <x:c r="S1029" s="42" t="str"/>
      <x:c r="T1029" s="42" t="str"/>
    </x:row>
    <x:row r="1030">
      <x:c r="A1030" s="42" t="str">
        <x:v>Otávio</x:v>
      </x:c>
      <x:c r="B1030" s="42" t="n">
        <x:v>2028</x:v>
      </x:c>
      <x:c r="C1030" s="42" t="str">
        <x:v>T1</x:v>
      </x:c>
      <x:c r="D1030" s="44" t="n">
        <x:v>46843</x:v>
      </x:c>
      <x:c r="E1030" s="42" t="str">
        <x:v>Goleiro</x:v>
      </x:c>
      <x:c r="F1030" s="42" t="str">
        <x:v>Cruzeiro EC</x:v>
      </x:c>
      <x:c r="G1030" s="46"/>
      <x:c r="H1030" s="46"/>
      <x:c r="I1030" s="46"/>
      <x:c r="J1030" s="46"/>
      <x:c r="K1030" s="46" t="str">
        <x:f>IF(COUNT(G1030,I1030)=0,"",AVERAGE(G1030,I1030))</x:f>
      </x:c>
      <x:c r="L1030" s="46" t="str">
        <x:f>IF(COUNT(H1030,J1030)=0,"",AVERAGE(H1030,J1030))</x:f>
      </x:c>
      <x:c r="M1030" s="46" t="str">
        <x:f>IF(OR(K1030="",L1030=""),"",L1030-K1030)</x:f>
      </x:c>
      <x:c r="N1030" s="46" t="str">
        <x:f>IF(OR(K1030="",A1029&lt;&gt;A1030,K1029=""),"",K1030-K1029)</x:f>
      </x:c>
      <x:c r="O1030" s="42" t="str">
        <x:v>Sem informação</x:v>
      </x:c>
      <x:c r="P1030" s="42"/>
      <x:c r="Q1030" s="42" t="str"/>
      <x:c r="R1030" s="42" t="str"/>
      <x:c r="S1030" s="42" t="str"/>
      <x:c r="T1030" s="42" t="str"/>
    </x:row>
    <x:row r="1031">
      <x:c r="A1031" s="42" t="str">
        <x:v>Otávio</x:v>
      </x:c>
      <x:c r="B1031" s="42" t="n">
        <x:v>2028</x:v>
      </x:c>
      <x:c r="C1031" s="42" t="str">
        <x:v>T2</x:v>
      </x:c>
      <x:c r="D1031" s="44" t="n">
        <x:v>46934</x:v>
      </x:c>
      <x:c r="E1031" s="42" t="str">
        <x:v>Goleiro</x:v>
      </x:c>
      <x:c r="F1031" s="42" t="str">
        <x:v>Cruzeiro EC</x:v>
      </x:c>
      <x:c r="G1031" s="46"/>
      <x:c r="H1031" s="46"/>
      <x:c r="I1031" s="46"/>
      <x:c r="J1031" s="46"/>
      <x:c r="K1031" s="46" t="str">
        <x:f>IF(COUNT(G1031,I1031)=0,"",AVERAGE(G1031,I1031))</x:f>
      </x:c>
      <x:c r="L1031" s="46" t="str">
        <x:f>IF(COUNT(H1031,J1031)=0,"",AVERAGE(H1031,J1031))</x:f>
      </x:c>
      <x:c r="M1031" s="46" t="str">
        <x:f>IF(OR(K1031="",L1031=""),"",L1031-K1031)</x:f>
      </x:c>
      <x:c r="N1031" s="46" t="str">
        <x:f>IF(OR(K1031="",A1030&lt;&gt;A1031,K1030=""),"",K1031-K1030)</x:f>
      </x:c>
      <x:c r="O1031" s="42" t="str">
        <x:v>Sem informação</x:v>
      </x:c>
      <x:c r="P1031" s="42"/>
      <x:c r="Q1031" s="42" t="str"/>
      <x:c r="R1031" s="42" t="str"/>
      <x:c r="S1031" s="42" t="str"/>
      <x:c r="T1031" s="42" t="str"/>
    </x:row>
    <x:row r="1032">
      <x:c r="A1032" s="42" t="str">
        <x:v>Otávio</x:v>
      </x:c>
      <x:c r="B1032" s="42" t="n">
        <x:v>2028</x:v>
      </x:c>
      <x:c r="C1032" s="42" t="str">
        <x:v>T3</x:v>
      </x:c>
      <x:c r="D1032" s="44" t="n">
        <x:v>47026</x:v>
      </x:c>
      <x:c r="E1032" s="42" t="str">
        <x:v>Goleiro</x:v>
      </x:c>
      <x:c r="F1032" s="42" t="str">
        <x:v>Cruzeiro EC</x:v>
      </x:c>
      <x:c r="G1032" s="46"/>
      <x:c r="H1032" s="46"/>
      <x:c r="I1032" s="46"/>
      <x:c r="J1032" s="46"/>
      <x:c r="K1032" s="46" t="str">
        <x:f>IF(COUNT(G1032,I1032)=0,"",AVERAGE(G1032,I1032))</x:f>
      </x:c>
      <x:c r="L1032" s="46" t="str">
        <x:f>IF(COUNT(H1032,J1032)=0,"",AVERAGE(H1032,J1032))</x:f>
      </x:c>
      <x:c r="M1032" s="46" t="str">
        <x:f>IF(OR(K1032="",L1032=""),"",L1032-K1032)</x:f>
      </x:c>
      <x:c r="N1032" s="46" t="str">
        <x:f>IF(OR(K1032="",A1031&lt;&gt;A1032,K1031=""),"",K1032-K1031)</x:f>
      </x:c>
      <x:c r="O1032" s="42" t="str">
        <x:v>Sem informação</x:v>
      </x:c>
      <x:c r="P1032" s="42"/>
      <x:c r="Q1032" s="42" t="str"/>
      <x:c r="R1032" s="42" t="str"/>
      <x:c r="S1032" s="42" t="str"/>
      <x:c r="T1032" s="42" t="str"/>
    </x:row>
    <x:row r="1033">
      <x:c r="A1033" s="42" t="str">
        <x:v>Otávio</x:v>
      </x:c>
      <x:c r="B1033" s="42" t="n">
        <x:v>2028</x:v>
      </x:c>
      <x:c r="C1033" s="42" t="str">
        <x:v>T4</x:v>
      </x:c>
      <x:c r="D1033" s="44" t="n">
        <x:v>47118</x:v>
      </x:c>
      <x:c r="E1033" s="42" t="str">
        <x:v>Goleiro</x:v>
      </x:c>
      <x:c r="F1033" s="42" t="str">
        <x:v>Cruzeiro EC</x:v>
      </x:c>
      <x:c r="G1033" s="46"/>
      <x:c r="H1033" s="46"/>
      <x:c r="I1033" s="46"/>
      <x:c r="J1033" s="46"/>
      <x:c r="K1033" s="46" t="str">
        <x:f>IF(COUNT(G1033,I1033)=0,"",AVERAGE(G1033,I1033))</x:f>
      </x:c>
      <x:c r="L1033" s="46" t="str">
        <x:f>IF(COUNT(H1033,J1033)=0,"",AVERAGE(H1033,J1033))</x:f>
      </x:c>
      <x:c r="M1033" s="46" t="str">
        <x:f>IF(OR(K1033="",L1033=""),"",L1033-K1033)</x:f>
      </x:c>
      <x:c r="N1033" s="46" t="str">
        <x:f>IF(OR(K1033="",A1032&lt;&gt;A1033,K1032=""),"",K1033-K1032)</x:f>
      </x:c>
      <x:c r="O1033" s="42" t="str">
        <x:v>Sem informação</x:v>
      </x:c>
      <x:c r="P1033" s="42"/>
      <x:c r="Q1033" s="42" t="str"/>
      <x:c r="R1033" s="42" t="str"/>
      <x:c r="S1033" s="42" t="str"/>
      <x:c r="T1033" s="42" t="str"/>
    </x:row>
    <x:row r="1034">
      <x:c r="A1034" s="42" t="str">
        <x:v>Otávio</x:v>
      </x:c>
      <x:c r="B1034" s="42" t="n">
        <x:v>2029</x:v>
      </x:c>
      <x:c r="C1034" s="42" t="str">
        <x:v>T1</x:v>
      </x:c>
      <x:c r="D1034" s="44" t="n">
        <x:v>47208</x:v>
      </x:c>
      <x:c r="E1034" s="42" t="str">
        <x:v>Goleiro</x:v>
      </x:c>
      <x:c r="F1034" s="42" t="str">
        <x:v>Cruzeiro EC</x:v>
      </x:c>
      <x:c r="G1034" s="46"/>
      <x:c r="H1034" s="46"/>
      <x:c r="I1034" s="46"/>
      <x:c r="J1034" s="46"/>
      <x:c r="K1034" s="46" t="str">
        <x:f>IF(COUNT(G1034,I1034)=0,"",AVERAGE(G1034,I1034))</x:f>
      </x:c>
      <x:c r="L1034" s="46" t="str">
        <x:f>IF(COUNT(H1034,J1034)=0,"",AVERAGE(H1034,J1034))</x:f>
      </x:c>
      <x:c r="M1034" s="46" t="str">
        <x:f>IF(OR(K1034="",L1034=""),"",L1034-K1034)</x:f>
      </x:c>
      <x:c r="N1034" s="46" t="str">
        <x:f>IF(OR(K1034="",A1033&lt;&gt;A1034,K1033=""),"",K1034-K1033)</x:f>
      </x:c>
      <x:c r="O1034" s="42" t="str">
        <x:v>Sem informação</x:v>
      </x:c>
      <x:c r="P1034" s="42"/>
      <x:c r="Q1034" s="42" t="str"/>
      <x:c r="R1034" s="42" t="str"/>
      <x:c r="S1034" s="42" t="str"/>
      <x:c r="T1034" s="42" t="str"/>
    </x:row>
    <x:row r="1035">
      <x:c r="A1035" s="42" t="str">
        <x:v>Otávio</x:v>
      </x:c>
      <x:c r="B1035" s="42" t="n">
        <x:v>2029</x:v>
      </x:c>
      <x:c r="C1035" s="42" t="str">
        <x:v>T2</x:v>
      </x:c>
      <x:c r="D1035" s="44" t="n">
        <x:v>47299</x:v>
      </x:c>
      <x:c r="E1035" s="42" t="str">
        <x:v>Goleiro</x:v>
      </x:c>
      <x:c r="F1035" s="42" t="str">
        <x:v>Cruzeiro EC</x:v>
      </x:c>
      <x:c r="G1035" s="46"/>
      <x:c r="H1035" s="46"/>
      <x:c r="I1035" s="46"/>
      <x:c r="J1035" s="46"/>
      <x:c r="K1035" s="46" t="str">
        <x:f>IF(COUNT(G1035,I1035)=0,"",AVERAGE(G1035,I1035))</x:f>
      </x:c>
      <x:c r="L1035" s="46" t="str">
        <x:f>IF(COUNT(H1035,J1035)=0,"",AVERAGE(H1035,J1035))</x:f>
      </x:c>
      <x:c r="M1035" s="46" t="str">
        <x:f>IF(OR(K1035="",L1035=""),"",L1035-K1035)</x:f>
      </x:c>
      <x:c r="N1035" s="46" t="str">
        <x:f>IF(OR(K1035="",A1034&lt;&gt;A1035,K1034=""),"",K1035-K1034)</x:f>
      </x:c>
      <x:c r="O1035" s="42" t="str">
        <x:v>Sem informação</x:v>
      </x:c>
      <x:c r="P1035" s="42"/>
      <x:c r="Q1035" s="42" t="str"/>
      <x:c r="R1035" s="42" t="str"/>
      <x:c r="S1035" s="42" t="str"/>
      <x:c r="T1035" s="42" t="str"/>
    </x:row>
    <x:row r="1036">
      <x:c r="A1036" s="42" t="str">
        <x:v>Otávio</x:v>
      </x:c>
      <x:c r="B1036" s="42" t="n">
        <x:v>2029</x:v>
      </x:c>
      <x:c r="C1036" s="42" t="str">
        <x:v>T3</x:v>
      </x:c>
      <x:c r="D1036" s="44" t="n">
        <x:v>47391</x:v>
      </x:c>
      <x:c r="E1036" s="42" t="str">
        <x:v>Goleiro</x:v>
      </x:c>
      <x:c r="F1036" s="42" t="str">
        <x:v>Cruzeiro EC</x:v>
      </x:c>
      <x:c r="G1036" s="46"/>
      <x:c r="H1036" s="46"/>
      <x:c r="I1036" s="46"/>
      <x:c r="J1036" s="46"/>
      <x:c r="K1036" s="46" t="str">
        <x:f>IF(COUNT(G1036,I1036)=0,"",AVERAGE(G1036,I1036))</x:f>
      </x:c>
      <x:c r="L1036" s="46" t="str">
        <x:f>IF(COUNT(H1036,J1036)=0,"",AVERAGE(H1036,J1036))</x:f>
      </x:c>
      <x:c r="M1036" s="46" t="str">
        <x:f>IF(OR(K1036="",L1036=""),"",L1036-K1036)</x:f>
      </x:c>
      <x:c r="N1036" s="46" t="str">
        <x:f>IF(OR(K1036="",A1035&lt;&gt;A1036,K1035=""),"",K1036-K1035)</x:f>
      </x:c>
      <x:c r="O1036" s="42" t="str">
        <x:v>Sem informação</x:v>
      </x:c>
      <x:c r="P1036" s="42"/>
      <x:c r="Q1036" s="42" t="str"/>
      <x:c r="R1036" s="42" t="str"/>
      <x:c r="S1036" s="42" t="str"/>
      <x:c r="T1036" s="42" t="str"/>
    </x:row>
    <x:row r="1037">
      <x:c r="A1037" s="42" t="str">
        <x:v>Otávio</x:v>
      </x:c>
      <x:c r="B1037" s="42" t="n">
        <x:v>2029</x:v>
      </x:c>
      <x:c r="C1037" s="42" t="str">
        <x:v>T4</x:v>
      </x:c>
      <x:c r="D1037" s="44" t="n">
        <x:v>47483</x:v>
      </x:c>
      <x:c r="E1037" s="42" t="str">
        <x:v>Goleiro</x:v>
      </x:c>
      <x:c r="F1037" s="42" t="str">
        <x:v>Cruzeiro EC</x:v>
      </x:c>
      <x:c r="G1037" s="46"/>
      <x:c r="H1037" s="46"/>
      <x:c r="I1037" s="46"/>
      <x:c r="J1037" s="46"/>
      <x:c r="K1037" s="46" t="str">
        <x:f>IF(COUNT(G1037,I1037)=0,"",AVERAGE(G1037,I1037))</x:f>
      </x:c>
      <x:c r="L1037" s="46" t="str">
        <x:f>IF(COUNT(H1037,J1037)=0,"",AVERAGE(H1037,J1037))</x:f>
      </x:c>
      <x:c r="M1037" s="46" t="str">
        <x:f>IF(OR(K1037="",L1037=""),"",L1037-K1037)</x:f>
      </x:c>
      <x:c r="N1037" s="46" t="str">
        <x:f>IF(OR(K1037="",A1036&lt;&gt;A1037,K1036=""),"",K1037-K1036)</x:f>
      </x:c>
      <x:c r="O1037" s="42" t="str">
        <x:v>Sem informação</x:v>
      </x:c>
      <x:c r="P1037" s="42"/>
      <x:c r="Q1037" s="42" t="str"/>
      <x:c r="R1037" s="42" t="str"/>
      <x:c r="S1037" s="42" t="str"/>
      <x:c r="T1037" s="42" t="str"/>
    </x:row>
    <x:row r="1038">
      <x:c r="A1038" s="42" t="str">
        <x:v>Otávio</x:v>
      </x:c>
      <x:c r="B1038" s="42" t="n">
        <x:v>2030</x:v>
      </x:c>
      <x:c r="C1038" s="42" t="str">
        <x:v>T1</x:v>
      </x:c>
      <x:c r="D1038" s="44" t="n">
        <x:v>47573</x:v>
      </x:c>
      <x:c r="E1038" s="42" t="str">
        <x:v>Goleiro</x:v>
      </x:c>
      <x:c r="F1038" s="42" t="str">
        <x:v>Cruzeiro EC</x:v>
      </x:c>
      <x:c r="G1038" s="46"/>
      <x:c r="H1038" s="46"/>
      <x:c r="I1038" s="46"/>
      <x:c r="J1038" s="46"/>
      <x:c r="K1038" s="46" t="str">
        <x:f>IF(COUNT(G1038,I1038)=0,"",AVERAGE(G1038,I1038))</x:f>
      </x:c>
      <x:c r="L1038" s="46" t="str">
        <x:f>IF(COUNT(H1038,J1038)=0,"",AVERAGE(H1038,J1038))</x:f>
      </x:c>
      <x:c r="M1038" s="46" t="str">
        <x:f>IF(OR(K1038="",L1038=""),"",L1038-K1038)</x:f>
      </x:c>
      <x:c r="N1038" s="46" t="str">
        <x:f>IF(OR(K1038="",A1037&lt;&gt;A1038,K1037=""),"",K1038-K1037)</x:f>
      </x:c>
      <x:c r="O1038" s="42" t="str">
        <x:v>Sem informação</x:v>
      </x:c>
      <x:c r="P1038" s="42"/>
      <x:c r="Q1038" s="42" t="str"/>
      <x:c r="R1038" s="42" t="str"/>
      <x:c r="S1038" s="42" t="str"/>
      <x:c r="T1038" s="42" t="str"/>
    </x:row>
    <x:row r="1039">
      <x:c r="A1039" s="42" t="str">
        <x:v>Otávio</x:v>
      </x:c>
      <x:c r="B1039" s="42" t="n">
        <x:v>2030</x:v>
      </x:c>
      <x:c r="C1039" s="42" t="str">
        <x:v>T2</x:v>
      </x:c>
      <x:c r="D1039" s="44" t="n">
        <x:v>47664</x:v>
      </x:c>
      <x:c r="E1039" s="42" t="str">
        <x:v>Goleiro</x:v>
      </x:c>
      <x:c r="F1039" s="42" t="str">
        <x:v>Cruzeiro EC</x:v>
      </x:c>
      <x:c r="G1039" s="46"/>
      <x:c r="H1039" s="46"/>
      <x:c r="I1039" s="46"/>
      <x:c r="J1039" s="46"/>
      <x:c r="K1039" s="46" t="str">
        <x:f>IF(COUNT(G1039,I1039)=0,"",AVERAGE(G1039,I1039))</x:f>
      </x:c>
      <x:c r="L1039" s="46" t="str">
        <x:f>IF(COUNT(H1039,J1039)=0,"",AVERAGE(H1039,J1039))</x:f>
      </x:c>
      <x:c r="M1039" s="46" t="str">
        <x:f>IF(OR(K1039="",L1039=""),"",L1039-K1039)</x:f>
      </x:c>
      <x:c r="N1039" s="46" t="str">
        <x:f>IF(OR(K1039="",A1038&lt;&gt;A1039,K1038=""),"",K1039-K1038)</x:f>
      </x:c>
      <x:c r="O1039" s="42" t="str">
        <x:v>Sem informação</x:v>
      </x:c>
      <x:c r="P1039" s="42"/>
      <x:c r="Q1039" s="42" t="str"/>
      <x:c r="R1039" s="42" t="str"/>
      <x:c r="S1039" s="42" t="str"/>
      <x:c r="T1039" s="42" t="str"/>
    </x:row>
    <x:row r="1040">
      <x:c r="A1040" s="42" t="str">
        <x:v>Otávio</x:v>
      </x:c>
      <x:c r="B1040" s="42" t="n">
        <x:v>2030</x:v>
      </x:c>
      <x:c r="C1040" s="42" t="str">
        <x:v>T3</x:v>
      </x:c>
      <x:c r="D1040" s="44" t="n">
        <x:v>47756</x:v>
      </x:c>
      <x:c r="E1040" s="42" t="str">
        <x:v>Goleiro</x:v>
      </x:c>
      <x:c r="F1040" s="42" t="str">
        <x:v>Cruzeiro EC</x:v>
      </x:c>
      <x:c r="G1040" s="46"/>
      <x:c r="H1040" s="46"/>
      <x:c r="I1040" s="46"/>
      <x:c r="J1040" s="46"/>
      <x:c r="K1040" s="46" t="str">
        <x:f>IF(COUNT(G1040,I1040)=0,"",AVERAGE(G1040,I1040))</x:f>
      </x:c>
      <x:c r="L1040" s="46" t="str">
        <x:f>IF(COUNT(H1040,J1040)=0,"",AVERAGE(H1040,J1040))</x:f>
      </x:c>
      <x:c r="M1040" s="46" t="str">
        <x:f>IF(OR(K1040="",L1040=""),"",L1040-K1040)</x:f>
      </x:c>
      <x:c r="N1040" s="46" t="str">
        <x:f>IF(OR(K1040="",A1039&lt;&gt;A1040,K1039=""),"",K1040-K1039)</x:f>
      </x:c>
      <x:c r="O1040" s="42" t="str">
        <x:v>Sem informação</x:v>
      </x:c>
      <x:c r="P1040" s="42"/>
      <x:c r="Q1040" s="42" t="str"/>
      <x:c r="R1040" s="42" t="str"/>
      <x:c r="S1040" s="42" t="str"/>
      <x:c r="T1040" s="42" t="str"/>
    </x:row>
    <x:row r="1041">
      <x:c r="A1041" s="42" t="str">
        <x:v>Otávio</x:v>
      </x:c>
      <x:c r="B1041" s="42" t="n">
        <x:v>2030</x:v>
      </x:c>
      <x:c r="C1041" s="42" t="str">
        <x:v>T4</x:v>
      </x:c>
      <x:c r="D1041" s="44" t="n">
        <x:v>47848</x:v>
      </x:c>
      <x:c r="E1041" s="42" t="str">
        <x:v>Goleiro</x:v>
      </x:c>
      <x:c r="F1041" s="42" t="str">
        <x:v>Cruzeiro EC</x:v>
      </x:c>
      <x:c r="G1041" s="46"/>
      <x:c r="H1041" s="46"/>
      <x:c r="I1041" s="46"/>
      <x:c r="J1041" s="46"/>
      <x:c r="K1041" s="46" t="str">
        <x:f>IF(COUNT(G1041,I1041)=0,"",AVERAGE(G1041,I1041))</x:f>
      </x:c>
      <x:c r="L1041" s="46" t="str">
        <x:f>IF(COUNT(H1041,J1041)=0,"",AVERAGE(H1041,J1041))</x:f>
      </x:c>
      <x:c r="M1041" s="46" t="str">
        <x:f>IF(OR(K1041="",L1041=""),"",L1041-K1041)</x:f>
      </x:c>
      <x:c r="N1041" s="46" t="str">
        <x:f>IF(OR(K1041="",A1040&lt;&gt;A1041,K1040=""),"",K1041-K1040)</x:f>
      </x:c>
      <x:c r="O1041" s="42" t="str">
        <x:v>Sem informação</x:v>
      </x:c>
      <x:c r="P1041" s="42"/>
      <x:c r="Q1041" s="42" t="str"/>
      <x:c r="R1041" s="42" t="str"/>
      <x:c r="S1041" s="42" t="str"/>
      <x:c r="T1041" s="42" t="str"/>
    </x:row>
    <x:row r="1042">
      <x:c r="A1042" s="42" t="str">
        <x:v>Pedro Morisco</x:v>
      </x:c>
      <x:c r="B1042" s="42" t="n">
        <x:v>2026</x:v>
      </x:c>
      <x:c r="C1042" s="42" t="str">
        <x:v>T1</x:v>
      </x:c>
      <x:c r="D1042" s="44" t="n">
        <x:v>46112</x:v>
      </x:c>
      <x:c r="E1042" s="42" t="str">
        <x:v>Goleiro</x:v>
      </x:c>
      <x:c r="F1042" s="42" t="str">
        <x:v>Coritiba Foot Ball Club</x:v>
      </x:c>
      <x:c r="G1042" s="46"/>
      <x:c r="H1042" s="46"/>
      <x:c r="I1042" s="46"/>
      <x:c r="J1042" s="46"/>
      <x:c r="K1042" s="46" t="str">
        <x:f>IF(COUNT(G1042,I1042)=0,"",AVERAGE(G1042,I1042))</x:f>
      </x:c>
      <x:c r="L1042" s="46" t="str">
        <x:f>IF(COUNT(H1042,J1042)=0,"",AVERAGE(H1042,J1042))</x:f>
      </x:c>
      <x:c r="M1042" s="46" t="str">
        <x:f>IF(OR(K1042="",L1042=""),"",L1042-K1042)</x:f>
      </x:c>
      <x:c r="N1042" s="46" t="str">
        <x:f>IF(OR(K1042="",A1041&lt;&gt;A1042,K1041=""),"",K1042-K1041)</x:f>
      </x:c>
      <x:c r="O1042" s="42" t="str">
        <x:v>Sem informação</x:v>
      </x:c>
      <x:c r="P1042" s="42"/>
      <x:c r="Q1042" s="42" t="str"/>
      <x:c r="R1042" s="42" t="str"/>
      <x:c r="S1042" s="42" t="str"/>
      <x:c r="T1042" s="42" t="str"/>
    </x:row>
    <x:row r="1043">
      <x:c r="A1043" s="42" t="str">
        <x:v>Pedro Morisco</x:v>
      </x:c>
      <x:c r="B1043" s="42" t="n">
        <x:v>2026</x:v>
      </x:c>
      <x:c r="C1043" s="42" t="str">
        <x:v>T2</x:v>
      </x:c>
      <x:c r="D1043" s="44" t="n">
        <x:v>46203</x:v>
      </x:c>
      <x:c r="E1043" s="42" t="str">
        <x:v>Goleiro</x:v>
      </x:c>
      <x:c r="F1043" s="42" t="str">
        <x:v>Coritiba Foot Ball Club</x:v>
      </x:c>
      <x:c r="G1043" s="46"/>
      <x:c r="H1043" s="46"/>
      <x:c r="I1043" s="46" t="n">
        <x:v>6.5</x:v>
      </x:c>
      <x:c r="J1043" s="46" t="n">
        <x:v>8</x:v>
      </x:c>
      <x:c r="K1043" s="46" t="n">
        <x:f>IF(COUNT(G1043,I1043)=0,"",AVERAGE(G1043,I1043))</x:f>
        <x:v>6.5</x:v>
      </x:c>
      <x:c r="L1043" s="46" t="n">
        <x:f>IF(COUNT(H1043,J1043)=0,"",AVERAGE(H1043,J1043))</x:f>
        <x:v>8</x:v>
      </x:c>
      <x:c r="M1043" s="46" t="n">
        <x:f>IF(OR(K1043="",L1043=""),"",L1043-K1043)</x:f>
        <x:v>1.5</x:v>
      </x:c>
      <x:c r="N1043" s="46" t="str">
        <x:f>IF(OR(K1043="",A1042&lt;&gt;A1043,K1042=""),"",K1043-K1042)</x:f>
      </x:c>
      <x:c r="O1043" s="42" t="str">
        <x:v>Sem informação</x:v>
      </x:c>
      <x:c r="P1043" s="42"/>
      <x:c r="Q1043" s="42" t="str"/>
      <x:c r="R1043" s="42" t="str"/>
      <x:c r="S1043" s="42" t="str"/>
      <x:c r="T1043" s="42" t="str"/>
    </x:row>
    <x:row r="1044">
      <x:c r="A1044" s="42" t="str">
        <x:v>Pedro Morisco</x:v>
      </x:c>
      <x:c r="B1044" s="42" t="n">
        <x:v>2026</x:v>
      </x:c>
      <x:c r="C1044" s="42" t="str">
        <x:v>T3</x:v>
      </x:c>
      <x:c r="D1044" s="44" t="n">
        <x:v>46295</x:v>
      </x:c>
      <x:c r="E1044" s="42" t="str">
        <x:v>Goleiro</x:v>
      </x:c>
      <x:c r="F1044" s="42" t="str">
        <x:v>Coritiba Foot Ball Club</x:v>
      </x:c>
      <x:c r="G1044" s="46"/>
      <x:c r="H1044" s="46"/>
      <x:c r="I1044" s="46"/>
      <x:c r="J1044" s="46"/>
      <x:c r="K1044" s="46" t="str">
        <x:f>IF(COUNT(G1044,I1044)=0,"",AVERAGE(G1044,I1044))</x:f>
      </x:c>
      <x:c r="L1044" s="46" t="str">
        <x:f>IF(COUNT(H1044,J1044)=0,"",AVERAGE(H1044,J1044))</x:f>
      </x:c>
      <x:c r="M1044" s="46" t="str">
        <x:f>IF(OR(K1044="",L1044=""),"",L1044-K1044)</x:f>
      </x:c>
      <x:c r="N1044" s="46" t="str">
        <x:f>IF(OR(K1044="",A1043&lt;&gt;A1044,K1043=""),"",K1044-K1043)</x:f>
      </x:c>
      <x:c r="O1044" s="42" t="str">
        <x:v>Sem informação</x:v>
      </x:c>
      <x:c r="P1044" s="42"/>
      <x:c r="Q1044" s="42" t="str"/>
      <x:c r="R1044" s="42" t="str"/>
      <x:c r="S1044" s="42" t="str"/>
      <x:c r="T1044" s="42" t="str"/>
    </x:row>
    <x:row r="1045">
      <x:c r="A1045" s="42" t="str">
        <x:v>Pedro Morisco</x:v>
      </x:c>
      <x:c r="B1045" s="42" t="n">
        <x:v>2026</x:v>
      </x:c>
      <x:c r="C1045" s="42" t="str">
        <x:v>T4</x:v>
      </x:c>
      <x:c r="D1045" s="44" t="n">
        <x:v>46387</x:v>
      </x:c>
      <x:c r="E1045" s="42" t="str">
        <x:v>Goleiro</x:v>
      </x:c>
      <x:c r="F1045" s="42" t="str">
        <x:v>Coritiba Foot Ball Club</x:v>
      </x:c>
      <x:c r="G1045" s="46"/>
      <x:c r="H1045" s="46"/>
      <x:c r="I1045" s="46"/>
      <x:c r="J1045" s="46"/>
      <x:c r="K1045" s="46" t="str">
        <x:f>IF(COUNT(G1045,I1045)=0,"",AVERAGE(G1045,I1045))</x:f>
      </x:c>
      <x:c r="L1045" s="46" t="str">
        <x:f>IF(COUNT(H1045,J1045)=0,"",AVERAGE(H1045,J1045))</x:f>
      </x:c>
      <x:c r="M1045" s="46" t="str">
        <x:f>IF(OR(K1045="",L1045=""),"",L1045-K1045)</x:f>
      </x:c>
      <x:c r="N1045" s="46" t="str">
        <x:f>IF(OR(K1045="",A1044&lt;&gt;A1045,K1044=""),"",K1045-K1044)</x:f>
      </x:c>
      <x:c r="O1045" s="42" t="str">
        <x:v>Sem informação</x:v>
      </x:c>
      <x:c r="P1045" s="42"/>
      <x:c r="Q1045" s="42" t="str"/>
      <x:c r="R1045" s="42" t="str"/>
      <x:c r="S1045" s="42" t="str"/>
      <x:c r="T1045" s="42" t="str"/>
    </x:row>
    <x:row r="1046">
      <x:c r="A1046" s="42" t="str">
        <x:v>Pedro Morisco</x:v>
      </x:c>
      <x:c r="B1046" s="42" t="n">
        <x:v>2027</x:v>
      </x:c>
      <x:c r="C1046" s="42" t="str">
        <x:v>T1</x:v>
      </x:c>
      <x:c r="D1046" s="44" t="n">
        <x:v>46477</x:v>
      </x:c>
      <x:c r="E1046" s="42" t="str">
        <x:v>Goleiro</x:v>
      </x:c>
      <x:c r="F1046" s="42" t="str">
        <x:v>Coritiba Foot Ball Club</x:v>
      </x:c>
      <x:c r="G1046" s="46"/>
      <x:c r="H1046" s="46"/>
      <x:c r="I1046" s="46"/>
      <x:c r="J1046" s="46"/>
      <x:c r="K1046" s="46" t="str">
        <x:f>IF(COUNT(G1046,I1046)=0,"",AVERAGE(G1046,I1046))</x:f>
      </x:c>
      <x:c r="L1046" s="46" t="str">
        <x:f>IF(COUNT(H1046,J1046)=0,"",AVERAGE(H1046,J1046))</x:f>
      </x:c>
      <x:c r="M1046" s="46" t="str">
        <x:f>IF(OR(K1046="",L1046=""),"",L1046-K1046)</x:f>
      </x:c>
      <x:c r="N1046" s="46" t="str">
        <x:f>IF(OR(K1046="",A1045&lt;&gt;A1046,K1045=""),"",K1046-K1045)</x:f>
      </x:c>
      <x:c r="O1046" s="42" t="str">
        <x:v>Sem informação</x:v>
      </x:c>
      <x:c r="P1046" s="42"/>
      <x:c r="Q1046" s="42" t="str"/>
      <x:c r="R1046" s="42" t="str"/>
      <x:c r="S1046" s="42" t="str"/>
      <x:c r="T1046" s="42" t="str"/>
    </x:row>
    <x:row r="1047">
      <x:c r="A1047" s="42" t="str">
        <x:v>Pedro Morisco</x:v>
      </x:c>
      <x:c r="B1047" s="42" t="n">
        <x:v>2027</x:v>
      </x:c>
      <x:c r="C1047" s="42" t="str">
        <x:v>T2</x:v>
      </x:c>
      <x:c r="D1047" s="44" t="n">
        <x:v>46568</x:v>
      </x:c>
      <x:c r="E1047" s="42" t="str">
        <x:v>Goleiro</x:v>
      </x:c>
      <x:c r="F1047" s="42" t="str">
        <x:v>Coritiba Foot Ball Club</x:v>
      </x:c>
      <x:c r="G1047" s="46"/>
      <x:c r="H1047" s="46"/>
      <x:c r="I1047" s="46"/>
      <x:c r="J1047" s="46"/>
      <x:c r="K1047" s="46" t="str">
        <x:f>IF(COUNT(G1047,I1047)=0,"",AVERAGE(G1047,I1047))</x:f>
      </x:c>
      <x:c r="L1047" s="46" t="str">
        <x:f>IF(COUNT(H1047,J1047)=0,"",AVERAGE(H1047,J1047))</x:f>
      </x:c>
      <x:c r="M1047" s="46" t="str">
        <x:f>IF(OR(K1047="",L1047=""),"",L1047-K1047)</x:f>
      </x:c>
      <x:c r="N1047" s="46" t="str">
        <x:f>IF(OR(K1047="",A1046&lt;&gt;A1047,K1046=""),"",K1047-K1046)</x:f>
      </x:c>
      <x:c r="O1047" s="42" t="str">
        <x:v>Sem informação</x:v>
      </x:c>
      <x:c r="P1047" s="42"/>
      <x:c r="Q1047" s="42" t="str"/>
      <x:c r="R1047" s="42" t="str"/>
      <x:c r="S1047" s="42" t="str"/>
      <x:c r="T1047" s="42" t="str"/>
    </x:row>
    <x:row r="1048">
      <x:c r="A1048" s="42" t="str">
        <x:v>Pedro Morisco</x:v>
      </x:c>
      <x:c r="B1048" s="42" t="n">
        <x:v>2027</x:v>
      </x:c>
      <x:c r="C1048" s="42" t="str">
        <x:v>T3</x:v>
      </x:c>
      <x:c r="D1048" s="44" t="n">
        <x:v>46660</x:v>
      </x:c>
      <x:c r="E1048" s="42" t="str">
        <x:v>Goleiro</x:v>
      </x:c>
      <x:c r="F1048" s="42" t="str">
        <x:v>Coritiba Foot Ball Club</x:v>
      </x:c>
      <x:c r="G1048" s="46"/>
      <x:c r="H1048" s="46"/>
      <x:c r="I1048" s="46"/>
      <x:c r="J1048" s="46"/>
      <x:c r="K1048" s="46" t="str">
        <x:f>IF(COUNT(G1048,I1048)=0,"",AVERAGE(G1048,I1048))</x:f>
      </x:c>
      <x:c r="L1048" s="46" t="str">
        <x:f>IF(COUNT(H1048,J1048)=0,"",AVERAGE(H1048,J1048))</x:f>
      </x:c>
      <x:c r="M1048" s="46" t="str">
        <x:f>IF(OR(K1048="",L1048=""),"",L1048-K1048)</x:f>
      </x:c>
      <x:c r="N1048" s="46" t="str">
        <x:f>IF(OR(K1048="",A1047&lt;&gt;A1048,K1047=""),"",K1048-K1047)</x:f>
      </x:c>
      <x:c r="O1048" s="42" t="str">
        <x:v>Sem informação</x:v>
      </x:c>
      <x:c r="P1048" s="42"/>
      <x:c r="Q1048" s="42" t="str"/>
      <x:c r="R1048" s="42" t="str"/>
      <x:c r="S1048" s="42" t="str"/>
      <x:c r="T1048" s="42" t="str"/>
    </x:row>
    <x:row r="1049">
      <x:c r="A1049" s="42" t="str">
        <x:v>Pedro Morisco</x:v>
      </x:c>
      <x:c r="B1049" s="42" t="n">
        <x:v>2027</x:v>
      </x:c>
      <x:c r="C1049" s="42" t="str">
        <x:v>T4</x:v>
      </x:c>
      <x:c r="D1049" s="44" t="n">
        <x:v>46752</x:v>
      </x:c>
      <x:c r="E1049" s="42" t="str">
        <x:v>Goleiro</x:v>
      </x:c>
      <x:c r="F1049" s="42" t="str">
        <x:v>Coritiba Foot Ball Club</x:v>
      </x:c>
      <x:c r="G1049" s="46"/>
      <x:c r="H1049" s="46"/>
      <x:c r="I1049" s="46"/>
      <x:c r="J1049" s="46"/>
      <x:c r="K1049" s="46" t="str">
        <x:f>IF(COUNT(G1049,I1049)=0,"",AVERAGE(G1049,I1049))</x:f>
      </x:c>
      <x:c r="L1049" s="46" t="str">
        <x:f>IF(COUNT(H1049,J1049)=0,"",AVERAGE(H1049,J1049))</x:f>
      </x:c>
      <x:c r="M1049" s="46" t="str">
        <x:f>IF(OR(K1049="",L1049=""),"",L1049-K1049)</x:f>
      </x:c>
      <x:c r="N1049" s="46" t="str">
        <x:f>IF(OR(K1049="",A1048&lt;&gt;A1049,K1048=""),"",K1049-K1048)</x:f>
      </x:c>
      <x:c r="O1049" s="42" t="str">
        <x:v>Sem informação</x:v>
      </x:c>
      <x:c r="P1049" s="42"/>
      <x:c r="Q1049" s="42" t="str"/>
      <x:c r="R1049" s="42" t="str"/>
      <x:c r="S1049" s="42" t="str"/>
      <x:c r="T1049" s="42" t="str"/>
    </x:row>
    <x:row r="1050">
      <x:c r="A1050" s="42" t="str">
        <x:v>Pedro Morisco</x:v>
      </x:c>
      <x:c r="B1050" s="42" t="n">
        <x:v>2028</x:v>
      </x:c>
      <x:c r="C1050" s="42" t="str">
        <x:v>T1</x:v>
      </x:c>
      <x:c r="D1050" s="44" t="n">
        <x:v>46843</x:v>
      </x:c>
      <x:c r="E1050" s="42" t="str">
        <x:v>Goleiro</x:v>
      </x:c>
      <x:c r="F1050" s="42" t="str">
        <x:v>Coritiba Foot Ball Club</x:v>
      </x:c>
      <x:c r="G1050" s="46"/>
      <x:c r="H1050" s="46"/>
      <x:c r="I1050" s="46"/>
      <x:c r="J1050" s="46"/>
      <x:c r="K1050" s="46" t="str">
        <x:f>IF(COUNT(G1050,I1050)=0,"",AVERAGE(G1050,I1050))</x:f>
      </x:c>
      <x:c r="L1050" s="46" t="str">
        <x:f>IF(COUNT(H1050,J1050)=0,"",AVERAGE(H1050,J1050))</x:f>
      </x:c>
      <x:c r="M1050" s="46" t="str">
        <x:f>IF(OR(K1050="",L1050=""),"",L1050-K1050)</x:f>
      </x:c>
      <x:c r="N1050" s="46" t="str">
        <x:f>IF(OR(K1050="",A1049&lt;&gt;A1050,K1049=""),"",K1050-K1049)</x:f>
      </x:c>
      <x:c r="O1050" s="42" t="str">
        <x:v>Sem informação</x:v>
      </x:c>
      <x:c r="P1050" s="42"/>
      <x:c r="Q1050" s="42" t="str"/>
      <x:c r="R1050" s="42" t="str"/>
      <x:c r="S1050" s="42" t="str"/>
      <x:c r="T1050" s="42" t="str"/>
    </x:row>
    <x:row r="1051">
      <x:c r="A1051" s="42" t="str">
        <x:v>Pedro Morisco</x:v>
      </x:c>
      <x:c r="B1051" s="42" t="n">
        <x:v>2028</x:v>
      </x:c>
      <x:c r="C1051" s="42" t="str">
        <x:v>T2</x:v>
      </x:c>
      <x:c r="D1051" s="44" t="n">
        <x:v>46934</x:v>
      </x:c>
      <x:c r="E1051" s="42" t="str">
        <x:v>Goleiro</x:v>
      </x:c>
      <x:c r="F1051" s="42" t="str">
        <x:v>Coritiba Foot Ball Club</x:v>
      </x:c>
      <x:c r="G1051" s="46"/>
      <x:c r="H1051" s="46"/>
      <x:c r="I1051" s="46"/>
      <x:c r="J1051" s="46"/>
      <x:c r="K1051" s="46" t="str">
        <x:f>IF(COUNT(G1051,I1051)=0,"",AVERAGE(G1051,I1051))</x:f>
      </x:c>
      <x:c r="L1051" s="46" t="str">
        <x:f>IF(COUNT(H1051,J1051)=0,"",AVERAGE(H1051,J1051))</x:f>
      </x:c>
      <x:c r="M1051" s="46" t="str">
        <x:f>IF(OR(K1051="",L1051=""),"",L1051-K1051)</x:f>
      </x:c>
      <x:c r="N1051" s="46" t="str">
        <x:f>IF(OR(K1051="",A1050&lt;&gt;A1051,K1050=""),"",K1051-K1050)</x:f>
      </x:c>
      <x:c r="O1051" s="42" t="str">
        <x:v>Sem informação</x:v>
      </x:c>
      <x:c r="P1051" s="42"/>
      <x:c r="Q1051" s="42" t="str"/>
      <x:c r="R1051" s="42" t="str"/>
      <x:c r="S1051" s="42" t="str"/>
      <x:c r="T1051" s="42" t="str"/>
    </x:row>
    <x:row r="1052">
      <x:c r="A1052" s="42" t="str">
        <x:v>Pedro Morisco</x:v>
      </x:c>
      <x:c r="B1052" s="42" t="n">
        <x:v>2028</x:v>
      </x:c>
      <x:c r="C1052" s="42" t="str">
        <x:v>T3</x:v>
      </x:c>
      <x:c r="D1052" s="44" t="n">
        <x:v>47026</x:v>
      </x:c>
      <x:c r="E1052" s="42" t="str">
        <x:v>Goleiro</x:v>
      </x:c>
      <x:c r="F1052" s="42" t="str">
        <x:v>Coritiba Foot Ball Club</x:v>
      </x:c>
      <x:c r="G1052" s="46"/>
      <x:c r="H1052" s="46"/>
      <x:c r="I1052" s="46"/>
      <x:c r="J1052" s="46"/>
      <x:c r="K1052" s="46" t="str">
        <x:f>IF(COUNT(G1052,I1052)=0,"",AVERAGE(G1052,I1052))</x:f>
      </x:c>
      <x:c r="L1052" s="46" t="str">
        <x:f>IF(COUNT(H1052,J1052)=0,"",AVERAGE(H1052,J1052))</x:f>
      </x:c>
      <x:c r="M1052" s="46" t="str">
        <x:f>IF(OR(K1052="",L1052=""),"",L1052-K1052)</x:f>
      </x:c>
      <x:c r="N1052" s="46" t="str">
        <x:f>IF(OR(K1052="",A1051&lt;&gt;A1052,K1051=""),"",K1052-K1051)</x:f>
      </x:c>
      <x:c r="O1052" s="42" t="str">
        <x:v>Sem informação</x:v>
      </x:c>
      <x:c r="P1052" s="42"/>
      <x:c r="Q1052" s="42" t="str"/>
      <x:c r="R1052" s="42" t="str"/>
      <x:c r="S1052" s="42" t="str"/>
      <x:c r="T1052" s="42" t="str"/>
    </x:row>
    <x:row r="1053">
      <x:c r="A1053" s="42" t="str">
        <x:v>Pedro Morisco</x:v>
      </x:c>
      <x:c r="B1053" s="42" t="n">
        <x:v>2028</x:v>
      </x:c>
      <x:c r="C1053" s="42" t="str">
        <x:v>T4</x:v>
      </x:c>
      <x:c r="D1053" s="44" t="n">
        <x:v>47118</x:v>
      </x:c>
      <x:c r="E1053" s="42" t="str">
        <x:v>Goleiro</x:v>
      </x:c>
      <x:c r="F1053" s="42" t="str">
        <x:v>Coritiba Foot Ball Club</x:v>
      </x:c>
      <x:c r="G1053" s="46"/>
      <x:c r="H1053" s="46"/>
      <x:c r="I1053" s="46"/>
      <x:c r="J1053" s="46"/>
      <x:c r="K1053" s="46" t="str">
        <x:f>IF(COUNT(G1053,I1053)=0,"",AVERAGE(G1053,I1053))</x:f>
      </x:c>
      <x:c r="L1053" s="46" t="str">
        <x:f>IF(COUNT(H1053,J1053)=0,"",AVERAGE(H1053,J1053))</x:f>
      </x:c>
      <x:c r="M1053" s="46" t="str">
        <x:f>IF(OR(K1053="",L1053=""),"",L1053-K1053)</x:f>
      </x:c>
      <x:c r="N1053" s="46" t="str">
        <x:f>IF(OR(K1053="",A1052&lt;&gt;A1053,K1052=""),"",K1053-K1052)</x:f>
      </x:c>
      <x:c r="O1053" s="42" t="str">
        <x:v>Sem informação</x:v>
      </x:c>
      <x:c r="P1053" s="42"/>
      <x:c r="Q1053" s="42" t="str"/>
      <x:c r="R1053" s="42" t="str"/>
      <x:c r="S1053" s="42" t="str"/>
      <x:c r="T1053" s="42" t="str"/>
    </x:row>
    <x:row r="1054">
      <x:c r="A1054" s="42" t="str">
        <x:v>Pedro Morisco</x:v>
      </x:c>
      <x:c r="B1054" s="42" t="n">
        <x:v>2029</x:v>
      </x:c>
      <x:c r="C1054" s="42" t="str">
        <x:v>T1</x:v>
      </x:c>
      <x:c r="D1054" s="44" t="n">
        <x:v>47208</x:v>
      </x:c>
      <x:c r="E1054" s="42" t="str">
        <x:v>Goleiro</x:v>
      </x:c>
      <x:c r="F1054" s="42" t="str">
        <x:v>Coritiba Foot Ball Club</x:v>
      </x:c>
      <x:c r="G1054" s="46"/>
      <x:c r="H1054" s="46"/>
      <x:c r="I1054" s="46"/>
      <x:c r="J1054" s="46"/>
      <x:c r="K1054" s="46" t="str">
        <x:f>IF(COUNT(G1054,I1054)=0,"",AVERAGE(G1054,I1054))</x:f>
      </x:c>
      <x:c r="L1054" s="46" t="str">
        <x:f>IF(COUNT(H1054,J1054)=0,"",AVERAGE(H1054,J1054))</x:f>
      </x:c>
      <x:c r="M1054" s="46" t="str">
        <x:f>IF(OR(K1054="",L1054=""),"",L1054-K1054)</x:f>
      </x:c>
      <x:c r="N1054" s="46" t="str">
        <x:f>IF(OR(K1054="",A1053&lt;&gt;A1054,K1053=""),"",K1054-K1053)</x:f>
      </x:c>
      <x:c r="O1054" s="42" t="str">
        <x:v>Sem informação</x:v>
      </x:c>
      <x:c r="P1054" s="42"/>
      <x:c r="Q1054" s="42" t="str"/>
      <x:c r="R1054" s="42" t="str"/>
      <x:c r="S1054" s="42" t="str"/>
      <x:c r="T1054" s="42" t="str"/>
    </x:row>
    <x:row r="1055">
      <x:c r="A1055" s="42" t="str">
        <x:v>Pedro Morisco</x:v>
      </x:c>
      <x:c r="B1055" s="42" t="n">
        <x:v>2029</x:v>
      </x:c>
      <x:c r="C1055" s="42" t="str">
        <x:v>T2</x:v>
      </x:c>
      <x:c r="D1055" s="44" t="n">
        <x:v>47299</x:v>
      </x:c>
      <x:c r="E1055" s="42" t="str">
        <x:v>Goleiro</x:v>
      </x:c>
      <x:c r="F1055" s="42" t="str">
        <x:v>Coritiba Foot Ball Club</x:v>
      </x:c>
      <x:c r="G1055" s="46"/>
      <x:c r="H1055" s="46"/>
      <x:c r="I1055" s="46"/>
      <x:c r="J1055" s="46"/>
      <x:c r="K1055" s="46" t="str">
        <x:f>IF(COUNT(G1055,I1055)=0,"",AVERAGE(G1055,I1055))</x:f>
      </x:c>
      <x:c r="L1055" s="46" t="str">
        <x:f>IF(COUNT(H1055,J1055)=0,"",AVERAGE(H1055,J1055))</x:f>
      </x:c>
      <x:c r="M1055" s="46" t="str">
        <x:f>IF(OR(K1055="",L1055=""),"",L1055-K1055)</x:f>
      </x:c>
      <x:c r="N1055" s="46" t="str">
        <x:f>IF(OR(K1055="",A1054&lt;&gt;A1055,K1054=""),"",K1055-K1054)</x:f>
      </x:c>
      <x:c r="O1055" s="42" t="str">
        <x:v>Sem informação</x:v>
      </x:c>
      <x:c r="P1055" s="42"/>
      <x:c r="Q1055" s="42" t="str"/>
      <x:c r="R1055" s="42" t="str"/>
      <x:c r="S1055" s="42" t="str"/>
      <x:c r="T1055" s="42" t="str"/>
    </x:row>
    <x:row r="1056">
      <x:c r="A1056" s="42" t="str">
        <x:v>Pedro Morisco</x:v>
      </x:c>
      <x:c r="B1056" s="42" t="n">
        <x:v>2029</x:v>
      </x:c>
      <x:c r="C1056" s="42" t="str">
        <x:v>T3</x:v>
      </x:c>
      <x:c r="D1056" s="44" t="n">
        <x:v>47391</x:v>
      </x:c>
      <x:c r="E1056" s="42" t="str">
        <x:v>Goleiro</x:v>
      </x:c>
      <x:c r="F1056" s="42" t="str">
        <x:v>Coritiba Foot Ball Club</x:v>
      </x:c>
      <x:c r="G1056" s="46"/>
      <x:c r="H1056" s="46"/>
      <x:c r="I1056" s="46"/>
      <x:c r="J1056" s="46"/>
      <x:c r="K1056" s="46" t="str">
        <x:f>IF(COUNT(G1056,I1056)=0,"",AVERAGE(G1056,I1056))</x:f>
      </x:c>
      <x:c r="L1056" s="46" t="str">
        <x:f>IF(COUNT(H1056,J1056)=0,"",AVERAGE(H1056,J1056))</x:f>
      </x:c>
      <x:c r="M1056" s="46" t="str">
        <x:f>IF(OR(K1056="",L1056=""),"",L1056-K1056)</x:f>
      </x:c>
      <x:c r="N1056" s="46" t="str">
        <x:f>IF(OR(K1056="",A1055&lt;&gt;A1056,K1055=""),"",K1056-K1055)</x:f>
      </x:c>
      <x:c r="O1056" s="42" t="str">
        <x:v>Sem informação</x:v>
      </x:c>
      <x:c r="P1056" s="42"/>
      <x:c r="Q1056" s="42" t="str"/>
      <x:c r="R1056" s="42" t="str"/>
      <x:c r="S1056" s="42" t="str"/>
      <x:c r="T1056" s="42" t="str"/>
    </x:row>
    <x:row r="1057">
      <x:c r="A1057" s="42" t="str">
        <x:v>Pedro Morisco</x:v>
      </x:c>
      <x:c r="B1057" s="42" t="n">
        <x:v>2029</x:v>
      </x:c>
      <x:c r="C1057" s="42" t="str">
        <x:v>T4</x:v>
      </x:c>
      <x:c r="D1057" s="44" t="n">
        <x:v>47483</x:v>
      </x:c>
      <x:c r="E1057" s="42" t="str">
        <x:v>Goleiro</x:v>
      </x:c>
      <x:c r="F1057" s="42" t="str">
        <x:v>Coritiba Foot Ball Club</x:v>
      </x:c>
      <x:c r="G1057" s="46"/>
      <x:c r="H1057" s="46"/>
      <x:c r="I1057" s="46"/>
      <x:c r="J1057" s="46"/>
      <x:c r="K1057" s="46" t="str">
        <x:f>IF(COUNT(G1057,I1057)=0,"",AVERAGE(G1057,I1057))</x:f>
      </x:c>
      <x:c r="L1057" s="46" t="str">
        <x:f>IF(COUNT(H1057,J1057)=0,"",AVERAGE(H1057,J1057))</x:f>
      </x:c>
      <x:c r="M1057" s="46" t="str">
        <x:f>IF(OR(K1057="",L1057=""),"",L1057-K1057)</x:f>
      </x:c>
      <x:c r="N1057" s="46" t="str">
        <x:f>IF(OR(K1057="",A1056&lt;&gt;A1057,K1056=""),"",K1057-K1056)</x:f>
      </x:c>
      <x:c r="O1057" s="42" t="str">
        <x:v>Sem informação</x:v>
      </x:c>
      <x:c r="P1057" s="42"/>
      <x:c r="Q1057" s="42" t="str"/>
      <x:c r="R1057" s="42" t="str"/>
      <x:c r="S1057" s="42" t="str"/>
      <x:c r="T1057" s="42" t="str"/>
    </x:row>
    <x:row r="1058">
      <x:c r="A1058" s="42" t="str">
        <x:v>Pedro Morisco</x:v>
      </x:c>
      <x:c r="B1058" s="42" t="n">
        <x:v>2030</x:v>
      </x:c>
      <x:c r="C1058" s="42" t="str">
        <x:v>T1</x:v>
      </x:c>
      <x:c r="D1058" s="44" t="n">
        <x:v>47573</x:v>
      </x:c>
      <x:c r="E1058" s="42" t="str">
        <x:v>Goleiro</x:v>
      </x:c>
      <x:c r="F1058" s="42" t="str">
        <x:v>Coritiba Foot Ball Club</x:v>
      </x:c>
      <x:c r="G1058" s="46"/>
      <x:c r="H1058" s="46"/>
      <x:c r="I1058" s="46"/>
      <x:c r="J1058" s="46"/>
      <x:c r="K1058" s="46" t="str">
        <x:f>IF(COUNT(G1058,I1058)=0,"",AVERAGE(G1058,I1058))</x:f>
      </x:c>
      <x:c r="L1058" s="46" t="str">
        <x:f>IF(COUNT(H1058,J1058)=0,"",AVERAGE(H1058,J1058))</x:f>
      </x:c>
      <x:c r="M1058" s="46" t="str">
        <x:f>IF(OR(K1058="",L1058=""),"",L1058-K1058)</x:f>
      </x:c>
      <x:c r="N1058" s="46" t="str">
        <x:f>IF(OR(K1058="",A1057&lt;&gt;A1058,K1057=""),"",K1058-K1057)</x:f>
      </x:c>
      <x:c r="O1058" s="42" t="str">
        <x:v>Sem informação</x:v>
      </x:c>
      <x:c r="P1058" s="42"/>
      <x:c r="Q1058" s="42" t="str"/>
      <x:c r="R1058" s="42" t="str"/>
      <x:c r="S1058" s="42" t="str"/>
      <x:c r="T1058" s="42" t="str"/>
    </x:row>
    <x:row r="1059">
      <x:c r="A1059" s="42" t="str">
        <x:v>Pedro Morisco</x:v>
      </x:c>
      <x:c r="B1059" s="42" t="n">
        <x:v>2030</x:v>
      </x:c>
      <x:c r="C1059" s="42" t="str">
        <x:v>T2</x:v>
      </x:c>
      <x:c r="D1059" s="44" t="n">
        <x:v>47664</x:v>
      </x:c>
      <x:c r="E1059" s="42" t="str">
        <x:v>Goleiro</x:v>
      </x:c>
      <x:c r="F1059" s="42" t="str">
        <x:v>Coritiba Foot Ball Club</x:v>
      </x:c>
      <x:c r="G1059" s="46"/>
      <x:c r="H1059" s="46"/>
      <x:c r="I1059" s="46"/>
      <x:c r="J1059" s="46"/>
      <x:c r="K1059" s="46" t="str">
        <x:f>IF(COUNT(G1059,I1059)=0,"",AVERAGE(G1059,I1059))</x:f>
      </x:c>
      <x:c r="L1059" s="46" t="str">
        <x:f>IF(COUNT(H1059,J1059)=0,"",AVERAGE(H1059,J1059))</x:f>
      </x:c>
      <x:c r="M1059" s="46" t="str">
        <x:f>IF(OR(K1059="",L1059=""),"",L1059-K1059)</x:f>
      </x:c>
      <x:c r="N1059" s="46" t="str">
        <x:f>IF(OR(K1059="",A1058&lt;&gt;A1059,K1058=""),"",K1059-K1058)</x:f>
      </x:c>
      <x:c r="O1059" s="42" t="str">
        <x:v>Sem informação</x:v>
      </x:c>
      <x:c r="P1059" s="42"/>
      <x:c r="Q1059" s="42" t="str"/>
      <x:c r="R1059" s="42" t="str"/>
      <x:c r="S1059" s="42" t="str"/>
      <x:c r="T1059" s="42" t="str"/>
    </x:row>
    <x:row r="1060">
      <x:c r="A1060" s="42" t="str">
        <x:v>Pedro Morisco</x:v>
      </x:c>
      <x:c r="B1060" s="42" t="n">
        <x:v>2030</x:v>
      </x:c>
      <x:c r="C1060" s="42" t="str">
        <x:v>T3</x:v>
      </x:c>
      <x:c r="D1060" s="44" t="n">
        <x:v>47756</x:v>
      </x:c>
      <x:c r="E1060" s="42" t="str">
        <x:v>Goleiro</x:v>
      </x:c>
      <x:c r="F1060" s="42" t="str">
        <x:v>Coritiba Foot Ball Club</x:v>
      </x:c>
      <x:c r="G1060" s="46"/>
      <x:c r="H1060" s="46"/>
      <x:c r="I1060" s="46"/>
      <x:c r="J1060" s="46"/>
      <x:c r="K1060" s="46" t="str">
        <x:f>IF(COUNT(G1060,I1060)=0,"",AVERAGE(G1060,I1060))</x:f>
      </x:c>
      <x:c r="L1060" s="46" t="str">
        <x:f>IF(COUNT(H1060,J1060)=0,"",AVERAGE(H1060,J1060))</x:f>
      </x:c>
      <x:c r="M1060" s="46" t="str">
        <x:f>IF(OR(K1060="",L1060=""),"",L1060-K1060)</x:f>
      </x:c>
      <x:c r="N1060" s="46" t="str">
        <x:f>IF(OR(K1060="",A1059&lt;&gt;A1060,K1059=""),"",K1060-K1059)</x:f>
      </x:c>
      <x:c r="O1060" s="42" t="str">
        <x:v>Sem informação</x:v>
      </x:c>
      <x:c r="P1060" s="42"/>
      <x:c r="Q1060" s="42" t="str"/>
      <x:c r="R1060" s="42" t="str"/>
      <x:c r="S1060" s="42" t="str"/>
      <x:c r="T1060" s="42" t="str"/>
    </x:row>
    <x:row r="1061">
      <x:c r="A1061" s="42" t="str">
        <x:v>Pedro Morisco</x:v>
      </x:c>
      <x:c r="B1061" s="42" t="n">
        <x:v>2030</x:v>
      </x:c>
      <x:c r="C1061" s="42" t="str">
        <x:v>T4</x:v>
      </x:c>
      <x:c r="D1061" s="44" t="n">
        <x:v>47848</x:v>
      </x:c>
      <x:c r="E1061" s="42" t="str">
        <x:v>Goleiro</x:v>
      </x:c>
      <x:c r="F1061" s="42" t="str">
        <x:v>Coritiba Foot Ball Club</x:v>
      </x:c>
      <x:c r="G1061" s="46"/>
      <x:c r="H1061" s="46"/>
      <x:c r="I1061" s="46"/>
      <x:c r="J1061" s="46"/>
      <x:c r="K1061" s="46" t="str">
        <x:f>IF(COUNT(G1061,I1061)=0,"",AVERAGE(G1061,I1061))</x:f>
      </x:c>
      <x:c r="L1061" s="46" t="str">
        <x:f>IF(COUNT(H1061,J1061)=0,"",AVERAGE(H1061,J1061))</x:f>
      </x:c>
      <x:c r="M1061" s="46" t="str">
        <x:f>IF(OR(K1061="",L1061=""),"",L1061-K1061)</x:f>
      </x:c>
      <x:c r="N1061" s="46" t="str">
        <x:f>IF(OR(K1061="",A1060&lt;&gt;A1061,K1060=""),"",K1061-K1060)</x:f>
      </x:c>
      <x:c r="O1061" s="42" t="str">
        <x:v>Sem informação</x:v>
      </x:c>
      <x:c r="P1061" s="42"/>
      <x:c r="Q1061" s="42" t="str"/>
      <x:c r="R1061" s="42" t="str"/>
      <x:c r="S1061" s="42" t="str"/>
      <x:c r="T1061" s="42" t="str"/>
    </x:row>
    <x:row r="1062">
      <x:c r="A1062" s="42" t="str">
        <x:v>Raphinha</x:v>
      </x:c>
      <x:c r="B1062" s="42" t="n">
        <x:v>2026</x:v>
      </x:c>
      <x:c r="C1062" s="42" t="str">
        <x:v>T1</x:v>
      </x:c>
      <x:c r="D1062" s="44" t="n">
        <x:v>46112</x:v>
      </x:c>
      <x:c r="E1062" s="42" t="str">
        <x:v>Ponta-esquerda</x:v>
      </x:c>
      <x:c r="F1062" s="42" t="str">
        <x:v>FC Barcelona</x:v>
      </x:c>
      <x:c r="G1062" s="46"/>
      <x:c r="H1062" s="46"/>
      <x:c r="I1062" s="46"/>
      <x:c r="J1062" s="46"/>
      <x:c r="K1062" s="46" t="str">
        <x:f>IF(COUNT(G1062,I1062)=0,"",AVERAGE(G1062,I1062))</x:f>
      </x:c>
      <x:c r="L1062" s="46" t="str">
        <x:f>IF(COUNT(H1062,J1062)=0,"",AVERAGE(H1062,J1062))</x:f>
      </x:c>
      <x:c r="M1062" s="46" t="str">
        <x:f>IF(OR(K1062="",L1062=""),"",L1062-K1062)</x:f>
      </x:c>
      <x:c r="N1062" s="46" t="str">
        <x:f>IF(OR(K1062="",A1061&lt;&gt;A1062,K1061=""),"",K1062-K1061)</x:f>
      </x:c>
      <x:c r="O1062" s="42" t="str">
        <x:v>Sem informação</x:v>
      </x:c>
      <x:c r="P1062" s="42"/>
      <x:c r="Q1062" s="42" t="str"/>
      <x:c r="R1062" s="42" t="str"/>
      <x:c r="S1062" s="42" t="str"/>
      <x:c r="T1062" s="42" t="str"/>
    </x:row>
    <x:row r="1063">
      <x:c r="A1063" s="42" t="str">
        <x:v>Raphinha</x:v>
      </x:c>
      <x:c r="B1063" s="42" t="n">
        <x:v>2026</x:v>
      </x:c>
      <x:c r="C1063" s="42" t="str">
        <x:v>T2</x:v>
      </x:c>
      <x:c r="D1063" s="44" t="n">
        <x:v>46203</x:v>
      </x:c>
      <x:c r="E1063" s="42" t="str">
        <x:v>Ponta-esquerda</x:v>
      </x:c>
      <x:c r="F1063" s="42" t="str">
        <x:v>FC Barcelona</x:v>
      </x:c>
      <x:c r="G1063" s="46" t="n">
        <x:v>8</x:v>
      </x:c>
      <x:c r="H1063" s="46" t="n">
        <x:v>7.5</x:v>
      </x:c>
      <x:c r="I1063" s="46" t="n">
        <x:v>9</x:v>
      </x:c>
      <x:c r="J1063" s="46" t="n">
        <x:v>7.5</x:v>
      </x:c>
      <x:c r="K1063" s="46" t="n">
        <x:f>IF(COUNT(G1063,I1063)=0,"",AVERAGE(G1063,I1063))</x:f>
        <x:v>8.5</x:v>
      </x:c>
      <x:c r="L1063" s="46" t="n">
        <x:f>IF(COUNT(H1063,J1063)=0,"",AVERAGE(H1063,J1063))</x:f>
        <x:v>7.5</x:v>
      </x:c>
      <x:c r="M1063" s="46" t="n">
        <x:f>IF(OR(K1063="",L1063=""),"",L1063-K1063)</x:f>
        <x:v>-1</x:v>
      </x:c>
      <x:c r="N1063" s="46" t="str">
        <x:f>IF(OR(K1063="",A1062&lt;&gt;A1063,K1062=""),"",K1063-K1062)</x:f>
      </x:c>
      <x:c r="O1063" s="42" t="str">
        <x:v>Sem informação</x:v>
      </x:c>
      <x:c r="P1063" s="42"/>
      <x:c r="Q1063" s="42" t="str">
        <x:v>Entre altos e baixos, ainda é importante para a seleção. Precisa ver se continuará sendo para a Copa 2030.</x:v>
      </x:c>
      <x:c r="R1063" s="42" t="str"/>
      <x:c r="S1063" s="42" t="str"/>
      <x:c r="T1063" s="42" t="str"/>
    </x:row>
    <x:row r="1064">
      <x:c r="A1064" s="42" t="str">
        <x:v>Raphinha</x:v>
      </x:c>
      <x:c r="B1064" s="42" t="n">
        <x:v>2026</x:v>
      </x:c>
      <x:c r="C1064" s="42" t="str">
        <x:v>T3</x:v>
      </x:c>
      <x:c r="D1064" s="44" t="n">
        <x:v>46295</x:v>
      </x:c>
      <x:c r="E1064" s="42" t="str">
        <x:v>Ponta-esquerda</x:v>
      </x:c>
      <x:c r="F1064" s="42" t="str">
        <x:v>FC Barcelona</x:v>
      </x:c>
      <x:c r="G1064" s="46"/>
      <x:c r="H1064" s="46"/>
      <x:c r="I1064" s="46"/>
      <x:c r="J1064" s="46"/>
      <x:c r="K1064" s="46" t="str">
        <x:f>IF(COUNT(G1064,I1064)=0,"",AVERAGE(G1064,I1064))</x:f>
      </x:c>
      <x:c r="L1064" s="46" t="str">
        <x:f>IF(COUNT(H1064,J1064)=0,"",AVERAGE(H1064,J1064))</x:f>
      </x:c>
      <x:c r="M1064" s="46" t="str">
        <x:f>IF(OR(K1064="",L1064=""),"",L1064-K1064)</x:f>
      </x:c>
      <x:c r="N1064" s="46" t="str">
        <x:f>IF(OR(K1064="",A1063&lt;&gt;A1064,K1063=""),"",K1064-K1063)</x:f>
      </x:c>
      <x:c r="O1064" s="42" t="str">
        <x:v>Sem informação</x:v>
      </x:c>
      <x:c r="P1064" s="42"/>
      <x:c r="Q1064" s="42" t="str"/>
      <x:c r="R1064" s="42" t="str"/>
      <x:c r="S1064" s="42" t="str"/>
      <x:c r="T1064" s="42" t="str"/>
    </x:row>
    <x:row r="1065">
      <x:c r="A1065" s="42" t="str">
        <x:v>Raphinha</x:v>
      </x:c>
      <x:c r="B1065" s="42" t="n">
        <x:v>2026</x:v>
      </x:c>
      <x:c r="C1065" s="42" t="str">
        <x:v>T4</x:v>
      </x:c>
      <x:c r="D1065" s="44" t="n">
        <x:v>46387</x:v>
      </x:c>
      <x:c r="E1065" s="42" t="str">
        <x:v>Ponta-esquerda</x:v>
      </x:c>
      <x:c r="F1065" s="42" t="str">
        <x:v>FC Barcelona</x:v>
      </x:c>
      <x:c r="G1065" s="46"/>
      <x:c r="H1065" s="46"/>
      <x:c r="I1065" s="46"/>
      <x:c r="J1065" s="46"/>
      <x:c r="K1065" s="46" t="str">
        <x:f>IF(COUNT(G1065,I1065)=0,"",AVERAGE(G1065,I1065))</x:f>
      </x:c>
      <x:c r="L1065" s="46" t="str">
        <x:f>IF(COUNT(H1065,J1065)=0,"",AVERAGE(H1065,J1065))</x:f>
      </x:c>
      <x:c r="M1065" s="46" t="str">
        <x:f>IF(OR(K1065="",L1065=""),"",L1065-K1065)</x:f>
      </x:c>
      <x:c r="N1065" s="46" t="str">
        <x:f>IF(OR(K1065="",A1064&lt;&gt;A1065,K1064=""),"",K1065-K1064)</x:f>
      </x:c>
      <x:c r="O1065" s="42" t="str">
        <x:v>Sem informação</x:v>
      </x:c>
      <x:c r="P1065" s="42"/>
      <x:c r="Q1065" s="42" t="str"/>
      <x:c r="R1065" s="42" t="str"/>
      <x:c r="S1065" s="42" t="str"/>
      <x:c r="T1065" s="42" t="str"/>
    </x:row>
    <x:row r="1066">
      <x:c r="A1066" s="42" t="str">
        <x:v>Raphinha</x:v>
      </x:c>
      <x:c r="B1066" s="42" t="n">
        <x:v>2027</x:v>
      </x:c>
      <x:c r="C1066" s="42" t="str">
        <x:v>T1</x:v>
      </x:c>
      <x:c r="D1066" s="44" t="n">
        <x:v>46477</x:v>
      </x:c>
      <x:c r="E1066" s="42" t="str">
        <x:v>Ponta-esquerda</x:v>
      </x:c>
      <x:c r="F1066" s="42" t="str">
        <x:v>FC Barcelona</x:v>
      </x:c>
      <x:c r="G1066" s="46"/>
      <x:c r="H1066" s="46"/>
      <x:c r="I1066" s="46"/>
      <x:c r="J1066" s="46"/>
      <x:c r="K1066" s="46" t="str">
        <x:f>IF(COUNT(G1066,I1066)=0,"",AVERAGE(G1066,I1066))</x:f>
      </x:c>
      <x:c r="L1066" s="46" t="str">
        <x:f>IF(COUNT(H1066,J1066)=0,"",AVERAGE(H1066,J1066))</x:f>
      </x:c>
      <x:c r="M1066" s="46" t="str">
        <x:f>IF(OR(K1066="",L1066=""),"",L1066-K1066)</x:f>
      </x:c>
      <x:c r="N1066" s="46" t="str">
        <x:f>IF(OR(K1066="",A1065&lt;&gt;A1066,K1065=""),"",K1066-K1065)</x:f>
      </x:c>
      <x:c r="O1066" s="42" t="str">
        <x:v>Sem informação</x:v>
      </x:c>
      <x:c r="P1066" s="42"/>
      <x:c r="Q1066" s="42" t="str"/>
      <x:c r="R1066" s="42" t="str"/>
      <x:c r="S1066" s="42" t="str"/>
      <x:c r="T1066" s="42" t="str"/>
    </x:row>
    <x:row r="1067">
      <x:c r="A1067" s="42" t="str">
        <x:v>Raphinha</x:v>
      </x:c>
      <x:c r="B1067" s="42" t="n">
        <x:v>2027</x:v>
      </x:c>
      <x:c r="C1067" s="42" t="str">
        <x:v>T2</x:v>
      </x:c>
      <x:c r="D1067" s="44" t="n">
        <x:v>46568</x:v>
      </x:c>
      <x:c r="E1067" s="42" t="str">
        <x:v>Ponta-esquerda</x:v>
      </x:c>
      <x:c r="F1067" s="42" t="str">
        <x:v>FC Barcelona</x:v>
      </x:c>
      <x:c r="G1067" s="46"/>
      <x:c r="H1067" s="46"/>
      <x:c r="I1067" s="46"/>
      <x:c r="J1067" s="46"/>
      <x:c r="K1067" s="46" t="str">
        <x:f>IF(COUNT(G1067,I1067)=0,"",AVERAGE(G1067,I1067))</x:f>
      </x:c>
      <x:c r="L1067" s="46" t="str">
        <x:f>IF(COUNT(H1067,J1067)=0,"",AVERAGE(H1067,J1067))</x:f>
      </x:c>
      <x:c r="M1067" s="46" t="str">
        <x:f>IF(OR(K1067="",L1067=""),"",L1067-K1067)</x:f>
      </x:c>
      <x:c r="N1067" s="46" t="str">
        <x:f>IF(OR(K1067="",A1066&lt;&gt;A1067,K1066=""),"",K1067-K1066)</x:f>
      </x:c>
      <x:c r="O1067" s="42" t="str">
        <x:v>Sem informação</x:v>
      </x:c>
      <x:c r="P1067" s="42"/>
      <x:c r="Q1067" s="42" t="str"/>
      <x:c r="R1067" s="42" t="str"/>
      <x:c r="S1067" s="42" t="str"/>
      <x:c r="T1067" s="42" t="str"/>
    </x:row>
    <x:row r="1068">
      <x:c r="A1068" s="42" t="str">
        <x:v>Raphinha</x:v>
      </x:c>
      <x:c r="B1068" s="42" t="n">
        <x:v>2027</x:v>
      </x:c>
      <x:c r="C1068" s="42" t="str">
        <x:v>T3</x:v>
      </x:c>
      <x:c r="D1068" s="44" t="n">
        <x:v>46660</x:v>
      </x:c>
      <x:c r="E1068" s="42" t="str">
        <x:v>Ponta-esquerda</x:v>
      </x:c>
      <x:c r="F1068" s="42" t="str">
        <x:v>FC Barcelona</x:v>
      </x:c>
      <x:c r="G1068" s="46"/>
      <x:c r="H1068" s="46"/>
      <x:c r="I1068" s="46"/>
      <x:c r="J1068" s="46"/>
      <x:c r="K1068" s="46" t="str">
        <x:f>IF(COUNT(G1068,I1068)=0,"",AVERAGE(G1068,I1068))</x:f>
      </x:c>
      <x:c r="L1068" s="46" t="str">
        <x:f>IF(COUNT(H1068,J1068)=0,"",AVERAGE(H1068,J1068))</x:f>
      </x:c>
      <x:c r="M1068" s="46" t="str">
        <x:f>IF(OR(K1068="",L1068=""),"",L1068-K1068)</x:f>
      </x:c>
      <x:c r="N1068" s="46" t="str">
        <x:f>IF(OR(K1068="",A1067&lt;&gt;A1068,K1067=""),"",K1068-K1067)</x:f>
      </x:c>
      <x:c r="O1068" s="42" t="str">
        <x:v>Sem informação</x:v>
      </x:c>
      <x:c r="P1068" s="42"/>
      <x:c r="Q1068" s="42" t="str"/>
      <x:c r="R1068" s="42" t="str"/>
      <x:c r="S1068" s="42" t="str"/>
      <x:c r="T1068" s="42" t="str"/>
    </x:row>
    <x:row r="1069">
      <x:c r="A1069" s="42" t="str">
        <x:v>Raphinha</x:v>
      </x:c>
      <x:c r="B1069" s="42" t="n">
        <x:v>2027</x:v>
      </x:c>
      <x:c r="C1069" s="42" t="str">
        <x:v>T4</x:v>
      </x:c>
      <x:c r="D1069" s="44" t="n">
        <x:v>46752</x:v>
      </x:c>
      <x:c r="E1069" s="42" t="str">
        <x:v>Ponta-esquerda</x:v>
      </x:c>
      <x:c r="F1069" s="42" t="str">
        <x:v>FC Barcelona</x:v>
      </x:c>
      <x:c r="G1069" s="46"/>
      <x:c r="H1069" s="46"/>
      <x:c r="I1069" s="46"/>
      <x:c r="J1069" s="46"/>
      <x:c r="K1069" s="46" t="str">
        <x:f>IF(COUNT(G1069,I1069)=0,"",AVERAGE(G1069,I1069))</x:f>
      </x:c>
      <x:c r="L1069" s="46" t="str">
        <x:f>IF(COUNT(H1069,J1069)=0,"",AVERAGE(H1069,J1069))</x:f>
      </x:c>
      <x:c r="M1069" s="46" t="str">
        <x:f>IF(OR(K1069="",L1069=""),"",L1069-K1069)</x:f>
      </x:c>
      <x:c r="N1069" s="46" t="str">
        <x:f>IF(OR(K1069="",A1068&lt;&gt;A1069,K1068=""),"",K1069-K1068)</x:f>
      </x:c>
      <x:c r="O1069" s="42" t="str">
        <x:v>Sem informação</x:v>
      </x:c>
      <x:c r="P1069" s="42"/>
      <x:c r="Q1069" s="42" t="str"/>
      <x:c r="R1069" s="42" t="str"/>
      <x:c r="S1069" s="42" t="str"/>
      <x:c r="T1069" s="42" t="str"/>
    </x:row>
    <x:row r="1070">
      <x:c r="A1070" s="42" t="str">
        <x:v>Raphinha</x:v>
      </x:c>
      <x:c r="B1070" s="42" t="n">
        <x:v>2028</x:v>
      </x:c>
      <x:c r="C1070" s="42" t="str">
        <x:v>T1</x:v>
      </x:c>
      <x:c r="D1070" s="44" t="n">
        <x:v>46843</x:v>
      </x:c>
      <x:c r="E1070" s="42" t="str">
        <x:v>Ponta-esquerda</x:v>
      </x:c>
      <x:c r="F1070" s="42" t="str">
        <x:v>FC Barcelona</x:v>
      </x:c>
      <x:c r="G1070" s="46"/>
      <x:c r="H1070" s="46"/>
      <x:c r="I1070" s="46"/>
      <x:c r="J1070" s="46"/>
      <x:c r="K1070" s="46" t="str">
        <x:f>IF(COUNT(G1070,I1070)=0,"",AVERAGE(G1070,I1070))</x:f>
      </x:c>
      <x:c r="L1070" s="46" t="str">
        <x:f>IF(COUNT(H1070,J1070)=0,"",AVERAGE(H1070,J1070))</x:f>
      </x:c>
      <x:c r="M1070" s="46" t="str">
        <x:f>IF(OR(K1070="",L1070=""),"",L1070-K1070)</x:f>
      </x:c>
      <x:c r="N1070" s="46" t="str">
        <x:f>IF(OR(K1070="",A1069&lt;&gt;A1070,K1069=""),"",K1070-K1069)</x:f>
      </x:c>
      <x:c r="O1070" s="42" t="str">
        <x:v>Sem informação</x:v>
      </x:c>
      <x:c r="P1070" s="42"/>
      <x:c r="Q1070" s="42" t="str"/>
      <x:c r="R1070" s="42" t="str"/>
      <x:c r="S1070" s="42" t="str"/>
      <x:c r="T1070" s="42" t="str"/>
    </x:row>
    <x:row r="1071">
      <x:c r="A1071" s="42" t="str">
        <x:v>Raphinha</x:v>
      </x:c>
      <x:c r="B1071" s="42" t="n">
        <x:v>2028</x:v>
      </x:c>
      <x:c r="C1071" s="42" t="str">
        <x:v>T2</x:v>
      </x:c>
      <x:c r="D1071" s="44" t="n">
        <x:v>46934</x:v>
      </x:c>
      <x:c r="E1071" s="42" t="str">
        <x:v>Ponta-esquerda</x:v>
      </x:c>
      <x:c r="F1071" s="42" t="str">
        <x:v>FC Barcelona</x:v>
      </x:c>
      <x:c r="G1071" s="46"/>
      <x:c r="H1071" s="46"/>
      <x:c r="I1071" s="46"/>
      <x:c r="J1071" s="46"/>
      <x:c r="K1071" s="46" t="str">
        <x:f>IF(COUNT(G1071,I1071)=0,"",AVERAGE(G1071,I1071))</x:f>
      </x:c>
      <x:c r="L1071" s="46" t="str">
        <x:f>IF(COUNT(H1071,J1071)=0,"",AVERAGE(H1071,J1071))</x:f>
      </x:c>
      <x:c r="M1071" s="46" t="str">
        <x:f>IF(OR(K1071="",L1071=""),"",L1071-K1071)</x:f>
      </x:c>
      <x:c r="N1071" s="46" t="str">
        <x:f>IF(OR(K1071="",A1070&lt;&gt;A1071,K1070=""),"",K1071-K1070)</x:f>
      </x:c>
      <x:c r="O1071" s="42" t="str">
        <x:v>Sem informação</x:v>
      </x:c>
      <x:c r="P1071" s="42"/>
      <x:c r="Q1071" s="42" t="str"/>
      <x:c r="R1071" s="42" t="str"/>
      <x:c r="S1071" s="42" t="str"/>
      <x:c r="T1071" s="42" t="str"/>
    </x:row>
    <x:row r="1072">
      <x:c r="A1072" s="42" t="str">
        <x:v>Raphinha</x:v>
      </x:c>
      <x:c r="B1072" s="42" t="n">
        <x:v>2028</x:v>
      </x:c>
      <x:c r="C1072" s="42" t="str">
        <x:v>T3</x:v>
      </x:c>
      <x:c r="D1072" s="44" t="n">
        <x:v>47026</x:v>
      </x:c>
      <x:c r="E1072" s="42" t="str">
        <x:v>Ponta-esquerda</x:v>
      </x:c>
      <x:c r="F1072" s="42" t="str">
        <x:v>FC Barcelona</x:v>
      </x:c>
      <x:c r="G1072" s="46"/>
      <x:c r="H1072" s="46"/>
      <x:c r="I1072" s="46"/>
      <x:c r="J1072" s="46"/>
      <x:c r="K1072" s="46" t="str">
        <x:f>IF(COUNT(G1072,I1072)=0,"",AVERAGE(G1072,I1072))</x:f>
      </x:c>
      <x:c r="L1072" s="46" t="str">
        <x:f>IF(COUNT(H1072,J1072)=0,"",AVERAGE(H1072,J1072))</x:f>
      </x:c>
      <x:c r="M1072" s="46" t="str">
        <x:f>IF(OR(K1072="",L1072=""),"",L1072-K1072)</x:f>
      </x:c>
      <x:c r="N1072" s="46" t="str">
        <x:f>IF(OR(K1072="",A1071&lt;&gt;A1072,K1071=""),"",K1072-K1071)</x:f>
      </x:c>
      <x:c r="O1072" s="42" t="str">
        <x:v>Sem informação</x:v>
      </x:c>
      <x:c r="P1072" s="42"/>
      <x:c r="Q1072" s="42" t="str"/>
      <x:c r="R1072" s="42" t="str"/>
      <x:c r="S1072" s="42" t="str"/>
      <x:c r="T1072" s="42" t="str"/>
    </x:row>
    <x:row r="1073">
      <x:c r="A1073" s="42" t="str">
        <x:v>Raphinha</x:v>
      </x:c>
      <x:c r="B1073" s="42" t="n">
        <x:v>2028</x:v>
      </x:c>
      <x:c r="C1073" s="42" t="str">
        <x:v>T4</x:v>
      </x:c>
      <x:c r="D1073" s="44" t="n">
        <x:v>47118</x:v>
      </x:c>
      <x:c r="E1073" s="42" t="str">
        <x:v>Ponta-esquerda</x:v>
      </x:c>
      <x:c r="F1073" s="42" t="str">
        <x:v>FC Barcelona</x:v>
      </x:c>
      <x:c r="G1073" s="46"/>
      <x:c r="H1073" s="46"/>
      <x:c r="I1073" s="46"/>
      <x:c r="J1073" s="46"/>
      <x:c r="K1073" s="46" t="str">
        <x:f>IF(COUNT(G1073,I1073)=0,"",AVERAGE(G1073,I1073))</x:f>
      </x:c>
      <x:c r="L1073" s="46" t="str">
        <x:f>IF(COUNT(H1073,J1073)=0,"",AVERAGE(H1073,J1073))</x:f>
      </x:c>
      <x:c r="M1073" s="46" t="str">
        <x:f>IF(OR(K1073="",L1073=""),"",L1073-K1073)</x:f>
      </x:c>
      <x:c r="N1073" s="46" t="str">
        <x:f>IF(OR(K1073="",A1072&lt;&gt;A1073,K1072=""),"",K1073-K1072)</x:f>
      </x:c>
      <x:c r="O1073" s="42" t="str">
        <x:v>Sem informação</x:v>
      </x:c>
      <x:c r="P1073" s="42"/>
      <x:c r="Q1073" s="42" t="str"/>
      <x:c r="R1073" s="42" t="str"/>
      <x:c r="S1073" s="42" t="str"/>
      <x:c r="T1073" s="42" t="str"/>
    </x:row>
    <x:row r="1074">
      <x:c r="A1074" s="42" t="str">
        <x:v>Raphinha</x:v>
      </x:c>
      <x:c r="B1074" s="42" t="n">
        <x:v>2029</x:v>
      </x:c>
      <x:c r="C1074" s="42" t="str">
        <x:v>T1</x:v>
      </x:c>
      <x:c r="D1074" s="44" t="n">
        <x:v>47208</x:v>
      </x:c>
      <x:c r="E1074" s="42" t="str">
        <x:v>Ponta-esquerda</x:v>
      </x:c>
      <x:c r="F1074" s="42" t="str">
        <x:v>FC Barcelona</x:v>
      </x:c>
      <x:c r="G1074" s="46"/>
      <x:c r="H1074" s="46"/>
      <x:c r="I1074" s="46"/>
      <x:c r="J1074" s="46"/>
      <x:c r="K1074" s="46" t="str">
        <x:f>IF(COUNT(G1074,I1074)=0,"",AVERAGE(G1074,I1074))</x:f>
      </x:c>
      <x:c r="L1074" s="46" t="str">
        <x:f>IF(COUNT(H1074,J1074)=0,"",AVERAGE(H1074,J1074))</x:f>
      </x:c>
      <x:c r="M1074" s="46" t="str">
        <x:f>IF(OR(K1074="",L1074=""),"",L1074-K1074)</x:f>
      </x:c>
      <x:c r="N1074" s="46" t="str">
        <x:f>IF(OR(K1074="",A1073&lt;&gt;A1074,K1073=""),"",K1074-K1073)</x:f>
      </x:c>
      <x:c r="O1074" s="42" t="str">
        <x:v>Sem informação</x:v>
      </x:c>
      <x:c r="P1074" s="42"/>
      <x:c r="Q1074" s="42" t="str"/>
      <x:c r="R1074" s="42" t="str"/>
      <x:c r="S1074" s="42" t="str"/>
      <x:c r="T1074" s="42" t="str"/>
    </x:row>
    <x:row r="1075">
      <x:c r="A1075" s="42" t="str">
        <x:v>Raphinha</x:v>
      </x:c>
      <x:c r="B1075" s="42" t="n">
        <x:v>2029</x:v>
      </x:c>
      <x:c r="C1075" s="42" t="str">
        <x:v>T2</x:v>
      </x:c>
      <x:c r="D1075" s="44" t="n">
        <x:v>47299</x:v>
      </x:c>
      <x:c r="E1075" s="42" t="str">
        <x:v>Ponta-esquerda</x:v>
      </x:c>
      <x:c r="F1075" s="42" t="str">
        <x:v>FC Barcelona</x:v>
      </x:c>
      <x:c r="G1075" s="46"/>
      <x:c r="H1075" s="46"/>
      <x:c r="I1075" s="46"/>
      <x:c r="J1075" s="46"/>
      <x:c r="K1075" s="46" t="str">
        <x:f>IF(COUNT(G1075,I1075)=0,"",AVERAGE(G1075,I1075))</x:f>
      </x:c>
      <x:c r="L1075" s="46" t="str">
        <x:f>IF(COUNT(H1075,J1075)=0,"",AVERAGE(H1075,J1075))</x:f>
      </x:c>
      <x:c r="M1075" s="46" t="str">
        <x:f>IF(OR(K1075="",L1075=""),"",L1075-K1075)</x:f>
      </x:c>
      <x:c r="N1075" s="46" t="str">
        <x:f>IF(OR(K1075="",A1074&lt;&gt;A1075,K1074=""),"",K1075-K1074)</x:f>
      </x:c>
      <x:c r="O1075" s="42" t="str">
        <x:v>Sem informação</x:v>
      </x:c>
      <x:c r="P1075" s="42"/>
      <x:c r="Q1075" s="42" t="str"/>
      <x:c r="R1075" s="42" t="str"/>
      <x:c r="S1075" s="42" t="str"/>
      <x:c r="T1075" s="42" t="str"/>
    </x:row>
    <x:row r="1076">
      <x:c r="A1076" s="42" t="str">
        <x:v>Raphinha</x:v>
      </x:c>
      <x:c r="B1076" s="42" t="n">
        <x:v>2029</x:v>
      </x:c>
      <x:c r="C1076" s="42" t="str">
        <x:v>T3</x:v>
      </x:c>
      <x:c r="D1076" s="44" t="n">
        <x:v>47391</x:v>
      </x:c>
      <x:c r="E1076" s="42" t="str">
        <x:v>Ponta-esquerda</x:v>
      </x:c>
      <x:c r="F1076" s="42" t="str">
        <x:v>FC Barcelona</x:v>
      </x:c>
      <x:c r="G1076" s="46"/>
      <x:c r="H1076" s="46"/>
      <x:c r="I1076" s="46"/>
      <x:c r="J1076" s="46"/>
      <x:c r="K1076" s="46" t="str">
        <x:f>IF(COUNT(G1076,I1076)=0,"",AVERAGE(G1076,I1076))</x:f>
      </x:c>
      <x:c r="L1076" s="46" t="str">
        <x:f>IF(COUNT(H1076,J1076)=0,"",AVERAGE(H1076,J1076))</x:f>
      </x:c>
      <x:c r="M1076" s="46" t="str">
        <x:f>IF(OR(K1076="",L1076=""),"",L1076-K1076)</x:f>
      </x:c>
      <x:c r="N1076" s="46" t="str">
        <x:f>IF(OR(K1076="",A1075&lt;&gt;A1076,K1075=""),"",K1076-K1075)</x:f>
      </x:c>
      <x:c r="O1076" s="42" t="str">
        <x:v>Sem informação</x:v>
      </x:c>
      <x:c r="P1076" s="42"/>
      <x:c r="Q1076" s="42" t="str"/>
      <x:c r="R1076" s="42" t="str"/>
      <x:c r="S1076" s="42" t="str"/>
      <x:c r="T1076" s="42" t="str"/>
    </x:row>
    <x:row r="1077">
      <x:c r="A1077" s="42" t="str">
        <x:v>Raphinha</x:v>
      </x:c>
      <x:c r="B1077" s="42" t="n">
        <x:v>2029</x:v>
      </x:c>
      <x:c r="C1077" s="42" t="str">
        <x:v>T4</x:v>
      </x:c>
      <x:c r="D1077" s="44" t="n">
        <x:v>47483</x:v>
      </x:c>
      <x:c r="E1077" s="42" t="str">
        <x:v>Ponta-esquerda</x:v>
      </x:c>
      <x:c r="F1077" s="42" t="str">
        <x:v>FC Barcelona</x:v>
      </x:c>
      <x:c r="G1077" s="46"/>
      <x:c r="H1077" s="46"/>
      <x:c r="I1077" s="46"/>
      <x:c r="J1077" s="46"/>
      <x:c r="K1077" s="46" t="str">
        <x:f>IF(COUNT(G1077,I1077)=0,"",AVERAGE(G1077,I1077))</x:f>
      </x:c>
      <x:c r="L1077" s="46" t="str">
        <x:f>IF(COUNT(H1077,J1077)=0,"",AVERAGE(H1077,J1077))</x:f>
      </x:c>
      <x:c r="M1077" s="46" t="str">
        <x:f>IF(OR(K1077="",L1077=""),"",L1077-K1077)</x:f>
      </x:c>
      <x:c r="N1077" s="46" t="str">
        <x:f>IF(OR(K1077="",A1076&lt;&gt;A1077,K1076=""),"",K1077-K1076)</x:f>
      </x:c>
      <x:c r="O1077" s="42" t="str">
        <x:v>Sem informação</x:v>
      </x:c>
      <x:c r="P1077" s="42"/>
      <x:c r="Q1077" s="42" t="str"/>
      <x:c r="R1077" s="42" t="str"/>
      <x:c r="S1077" s="42" t="str"/>
      <x:c r="T1077" s="42" t="str"/>
    </x:row>
    <x:row r="1078">
      <x:c r="A1078" s="42" t="str">
        <x:v>Raphinha</x:v>
      </x:c>
      <x:c r="B1078" s="42" t="n">
        <x:v>2030</x:v>
      </x:c>
      <x:c r="C1078" s="42" t="str">
        <x:v>T1</x:v>
      </x:c>
      <x:c r="D1078" s="44" t="n">
        <x:v>47573</x:v>
      </x:c>
      <x:c r="E1078" s="42" t="str">
        <x:v>Ponta-esquerda</x:v>
      </x:c>
      <x:c r="F1078" s="42" t="str">
        <x:v>FC Barcelona</x:v>
      </x:c>
      <x:c r="G1078" s="46"/>
      <x:c r="H1078" s="46"/>
      <x:c r="I1078" s="46"/>
      <x:c r="J1078" s="46"/>
      <x:c r="K1078" s="46" t="str">
        <x:f>IF(COUNT(G1078,I1078)=0,"",AVERAGE(G1078,I1078))</x:f>
      </x:c>
      <x:c r="L1078" s="46" t="str">
        <x:f>IF(COUNT(H1078,J1078)=0,"",AVERAGE(H1078,J1078))</x:f>
      </x:c>
      <x:c r="M1078" s="46" t="str">
        <x:f>IF(OR(K1078="",L1078=""),"",L1078-K1078)</x:f>
      </x:c>
      <x:c r="N1078" s="46" t="str">
        <x:f>IF(OR(K1078="",A1077&lt;&gt;A1078,K1077=""),"",K1078-K1077)</x:f>
      </x:c>
      <x:c r="O1078" s="42" t="str">
        <x:v>Sem informação</x:v>
      </x:c>
      <x:c r="P1078" s="42"/>
      <x:c r="Q1078" s="42" t="str"/>
      <x:c r="R1078" s="42" t="str"/>
      <x:c r="S1078" s="42" t="str"/>
      <x:c r="T1078" s="42" t="str"/>
    </x:row>
    <x:row r="1079">
      <x:c r="A1079" s="42" t="str">
        <x:v>Raphinha</x:v>
      </x:c>
      <x:c r="B1079" s="42" t="n">
        <x:v>2030</x:v>
      </x:c>
      <x:c r="C1079" s="42" t="str">
        <x:v>T2</x:v>
      </x:c>
      <x:c r="D1079" s="44" t="n">
        <x:v>47664</x:v>
      </x:c>
      <x:c r="E1079" s="42" t="str">
        <x:v>Ponta-esquerda</x:v>
      </x:c>
      <x:c r="F1079" s="42" t="str">
        <x:v>FC Barcelona</x:v>
      </x:c>
      <x:c r="G1079" s="46"/>
      <x:c r="H1079" s="46"/>
      <x:c r="I1079" s="46"/>
      <x:c r="J1079" s="46"/>
      <x:c r="K1079" s="46" t="str">
        <x:f>IF(COUNT(G1079,I1079)=0,"",AVERAGE(G1079,I1079))</x:f>
      </x:c>
      <x:c r="L1079" s="46" t="str">
        <x:f>IF(COUNT(H1079,J1079)=0,"",AVERAGE(H1079,J1079))</x:f>
      </x:c>
      <x:c r="M1079" s="46" t="str">
        <x:f>IF(OR(K1079="",L1079=""),"",L1079-K1079)</x:f>
      </x:c>
      <x:c r="N1079" s="46" t="str">
        <x:f>IF(OR(K1079="",A1078&lt;&gt;A1079,K1078=""),"",K1079-K1078)</x:f>
      </x:c>
      <x:c r="O1079" s="42" t="str">
        <x:v>Sem informação</x:v>
      </x:c>
      <x:c r="P1079" s="42"/>
      <x:c r="Q1079" s="42" t="str"/>
      <x:c r="R1079" s="42" t="str"/>
      <x:c r="S1079" s="42" t="str"/>
      <x:c r="T1079" s="42" t="str"/>
    </x:row>
    <x:row r="1080">
      <x:c r="A1080" s="42" t="str">
        <x:v>Raphinha</x:v>
      </x:c>
      <x:c r="B1080" s="42" t="n">
        <x:v>2030</x:v>
      </x:c>
      <x:c r="C1080" s="42" t="str">
        <x:v>T3</x:v>
      </x:c>
      <x:c r="D1080" s="44" t="n">
        <x:v>47756</x:v>
      </x:c>
      <x:c r="E1080" s="42" t="str">
        <x:v>Ponta-esquerda</x:v>
      </x:c>
      <x:c r="F1080" s="42" t="str">
        <x:v>FC Barcelona</x:v>
      </x:c>
      <x:c r="G1080" s="46"/>
      <x:c r="H1080" s="46"/>
      <x:c r="I1080" s="46"/>
      <x:c r="J1080" s="46"/>
      <x:c r="K1080" s="46" t="str">
        <x:f>IF(COUNT(G1080,I1080)=0,"",AVERAGE(G1080,I1080))</x:f>
      </x:c>
      <x:c r="L1080" s="46" t="str">
        <x:f>IF(COUNT(H1080,J1080)=0,"",AVERAGE(H1080,J1080))</x:f>
      </x:c>
      <x:c r="M1080" s="46" t="str">
        <x:f>IF(OR(K1080="",L1080=""),"",L1080-K1080)</x:f>
      </x:c>
      <x:c r="N1080" s="46" t="str">
        <x:f>IF(OR(K1080="",A1079&lt;&gt;A1080,K1079=""),"",K1080-K1079)</x:f>
      </x:c>
      <x:c r="O1080" s="42" t="str">
        <x:v>Sem informação</x:v>
      </x:c>
      <x:c r="P1080" s="42"/>
      <x:c r="Q1080" s="42" t="str"/>
      <x:c r="R1080" s="42" t="str"/>
      <x:c r="S1080" s="42" t="str"/>
      <x:c r="T1080" s="42" t="str"/>
    </x:row>
    <x:row r="1081">
      <x:c r="A1081" s="42" t="str">
        <x:v>Raphinha</x:v>
      </x:c>
      <x:c r="B1081" s="42" t="n">
        <x:v>2030</x:v>
      </x:c>
      <x:c r="C1081" s="42" t="str">
        <x:v>T4</x:v>
      </x:c>
      <x:c r="D1081" s="44" t="n">
        <x:v>47848</x:v>
      </x:c>
      <x:c r="E1081" s="42" t="str">
        <x:v>Ponta-esquerda</x:v>
      </x:c>
      <x:c r="F1081" s="42" t="str">
        <x:v>FC Barcelona</x:v>
      </x:c>
      <x:c r="G1081" s="46"/>
      <x:c r="H1081" s="46"/>
      <x:c r="I1081" s="46"/>
      <x:c r="J1081" s="46"/>
      <x:c r="K1081" s="46" t="str">
        <x:f>IF(COUNT(G1081,I1081)=0,"",AVERAGE(G1081,I1081))</x:f>
      </x:c>
      <x:c r="L1081" s="46" t="str">
        <x:f>IF(COUNT(H1081,J1081)=0,"",AVERAGE(H1081,J1081))</x:f>
      </x:c>
      <x:c r="M1081" s="46" t="str">
        <x:f>IF(OR(K1081="",L1081=""),"",L1081-K1081)</x:f>
      </x:c>
      <x:c r="N1081" s="46" t="str">
        <x:f>IF(OR(K1081="",A1080&lt;&gt;A1081,K1080=""),"",K1081-K1080)</x:f>
      </x:c>
      <x:c r="O1081" s="42" t="str">
        <x:v>Sem informação</x:v>
      </x:c>
      <x:c r="P1081" s="42"/>
      <x:c r="Q1081" s="42" t="str"/>
      <x:c r="R1081" s="42" t="str"/>
      <x:c r="S1081" s="42" t="str"/>
      <x:c r="T1081" s="42" t="str"/>
    </x:row>
    <x:row r="1082">
      <x:c r="A1082" s="42" t="str">
        <x:v>Rayan</x:v>
      </x:c>
      <x:c r="B1082" s="42" t="n">
        <x:v>2026</x:v>
      </x:c>
      <x:c r="C1082" s="42" t="str">
        <x:v>T1</x:v>
      </x:c>
      <x:c r="D1082" s="44" t="n">
        <x:v>46112</x:v>
      </x:c>
      <x:c r="E1082" s="42" t="str">
        <x:v>Ponta-direita</x:v>
      </x:c>
      <x:c r="F1082" s="42" t="str">
        <x:v>AFC Bournemouth</x:v>
      </x:c>
      <x:c r="G1082" s="46"/>
      <x:c r="H1082" s="46"/>
      <x:c r="I1082" s="46"/>
      <x:c r="J1082" s="46"/>
      <x:c r="K1082" s="46" t="str">
        <x:f>IF(COUNT(G1082,I1082)=0,"",AVERAGE(G1082,I1082))</x:f>
      </x:c>
      <x:c r="L1082" s="46" t="str">
        <x:f>IF(COUNT(H1082,J1082)=0,"",AVERAGE(H1082,J1082))</x:f>
      </x:c>
      <x:c r="M1082" s="46" t="str">
        <x:f>IF(OR(K1082="",L1082=""),"",L1082-K1082)</x:f>
      </x:c>
      <x:c r="N1082" s="46" t="str">
        <x:f>IF(OR(K1082="",A1081&lt;&gt;A1082,K1081=""),"",K1082-K1081)</x:f>
      </x:c>
      <x:c r="O1082" s="42" t="str">
        <x:v>Sem informação</x:v>
      </x:c>
      <x:c r="P1082" s="42"/>
      <x:c r="Q1082" s="42" t="str"/>
      <x:c r="R1082" s="42" t="str"/>
      <x:c r="S1082" s="42" t="str"/>
      <x:c r="T1082" s="42" t="str"/>
    </x:row>
    <x:row r="1083">
      <x:c r="A1083" s="42" t="str">
        <x:v>Rayan</x:v>
      </x:c>
      <x:c r="B1083" s="42" t="n">
        <x:v>2026</x:v>
      </x:c>
      <x:c r="C1083" s="42" t="str">
        <x:v>T2</x:v>
      </x:c>
      <x:c r="D1083" s="44" t="n">
        <x:v>46203</x:v>
      </x:c>
      <x:c r="E1083" s="42" t="str">
        <x:v>Ponta-direita</x:v>
      </x:c>
      <x:c r="F1083" s="42" t="str">
        <x:v>AFC Bournemouth</x:v>
      </x:c>
      <x:c r="G1083" s="46" t="n">
        <x:v>7</x:v>
      </x:c>
      <x:c r="H1083" s="46" t="n">
        <x:v>8.5</x:v>
      </x:c>
      <x:c r="I1083" s="46" t="n">
        <x:v>7.5</x:v>
      </x:c>
      <x:c r="J1083" s="46" t="n">
        <x:v>9</x:v>
      </x:c>
      <x:c r="K1083" s="46" t="n">
        <x:f>IF(COUNT(G1083,I1083)=0,"",AVERAGE(G1083,I1083))</x:f>
        <x:v>7.25</x:v>
      </x:c>
      <x:c r="L1083" s="46" t="n">
        <x:f>IF(COUNT(H1083,J1083)=0,"",AVERAGE(H1083,J1083))</x:f>
        <x:v>8.75</x:v>
      </x:c>
      <x:c r="M1083" s="46" t="n">
        <x:f>IF(OR(K1083="",L1083=""),"",L1083-K1083)</x:f>
        <x:v>1.5</x:v>
      </x:c>
      <x:c r="N1083" s="46" t="str">
        <x:f>IF(OR(K1083="",A1082&lt;&gt;A1083,K1082=""),"",K1083-K1082)</x:f>
      </x:c>
      <x:c r="O1083" s="42" t="str">
        <x:v>Sem informação</x:v>
      </x:c>
      <x:c r="P1083" s="42"/>
      <x:c r="Q1083" s="42" t="str">
        <x:v>Gosto muito porque pode ser centroavante e pode ser ponta-direita. Se liberar, ele costumar render, mas também é disciplinado taticamente se precisar. Cumpre muitas funções, tem um físico imponente e bom potencial.</x:v>
      </x:c>
      <x:c r="R1083" s="42" t="str">
        <x:v>Potencial muito grande. A ver papel dentro de um grande clube.</x:v>
      </x:c>
      <x:c r="S1083" s="42" t="str"/>
      <x:c r="T1083" s="42" t="str"/>
    </x:row>
    <x:row r="1084">
      <x:c r="A1084" s="42" t="str">
        <x:v>Rayan</x:v>
      </x:c>
      <x:c r="B1084" s="42" t="n">
        <x:v>2026</x:v>
      </x:c>
      <x:c r="C1084" s="42" t="str">
        <x:v>T3</x:v>
      </x:c>
      <x:c r="D1084" s="44" t="n">
        <x:v>46295</x:v>
      </x:c>
      <x:c r="E1084" s="42" t="str">
        <x:v>Ponta-direita</x:v>
      </x:c>
      <x:c r="F1084" s="42" t="str">
        <x:v>AFC Bournemouth</x:v>
      </x:c>
      <x:c r="G1084" s="46"/>
      <x:c r="H1084" s="46"/>
      <x:c r="I1084" s="46"/>
      <x:c r="J1084" s="46"/>
      <x:c r="K1084" s="46" t="str">
        <x:f>IF(COUNT(G1084,I1084)=0,"",AVERAGE(G1084,I1084))</x:f>
      </x:c>
      <x:c r="L1084" s="46" t="str">
        <x:f>IF(COUNT(H1084,J1084)=0,"",AVERAGE(H1084,J1084))</x:f>
      </x:c>
      <x:c r="M1084" s="46" t="str">
        <x:f>IF(OR(K1084="",L1084=""),"",L1084-K1084)</x:f>
      </x:c>
      <x:c r="N1084" s="46" t="str">
        <x:f>IF(OR(K1084="",A1083&lt;&gt;A1084,K1083=""),"",K1084-K1083)</x:f>
      </x:c>
      <x:c r="O1084" s="42" t="str">
        <x:v>Sem informação</x:v>
      </x:c>
      <x:c r="P1084" s="42"/>
      <x:c r="Q1084" s="42" t="str"/>
      <x:c r="R1084" s="42" t="str"/>
      <x:c r="S1084" s="42" t="str"/>
      <x:c r="T1084" s="42" t="str"/>
    </x:row>
    <x:row r="1085">
      <x:c r="A1085" s="42" t="str">
        <x:v>Rayan</x:v>
      </x:c>
      <x:c r="B1085" s="42" t="n">
        <x:v>2026</x:v>
      </x:c>
      <x:c r="C1085" s="42" t="str">
        <x:v>T4</x:v>
      </x:c>
      <x:c r="D1085" s="44" t="n">
        <x:v>46387</x:v>
      </x:c>
      <x:c r="E1085" s="42" t="str">
        <x:v>Ponta-direita</x:v>
      </x:c>
      <x:c r="F1085" s="42" t="str">
        <x:v>AFC Bournemouth</x:v>
      </x:c>
      <x:c r="G1085" s="46"/>
      <x:c r="H1085" s="46"/>
      <x:c r="I1085" s="46"/>
      <x:c r="J1085" s="46"/>
      <x:c r="K1085" s="46" t="str">
        <x:f>IF(COUNT(G1085,I1085)=0,"",AVERAGE(G1085,I1085))</x:f>
      </x:c>
      <x:c r="L1085" s="46" t="str">
        <x:f>IF(COUNT(H1085,J1085)=0,"",AVERAGE(H1085,J1085))</x:f>
      </x:c>
      <x:c r="M1085" s="46" t="str">
        <x:f>IF(OR(K1085="",L1085=""),"",L1085-K1085)</x:f>
      </x:c>
      <x:c r="N1085" s="46" t="str">
        <x:f>IF(OR(K1085="",A1084&lt;&gt;A1085,K1084=""),"",K1085-K1084)</x:f>
      </x:c>
      <x:c r="O1085" s="42" t="str">
        <x:v>Sem informação</x:v>
      </x:c>
      <x:c r="P1085" s="42"/>
      <x:c r="Q1085" s="42" t="str"/>
      <x:c r="R1085" s="42" t="str"/>
      <x:c r="S1085" s="42" t="str"/>
      <x:c r="T1085" s="42" t="str"/>
    </x:row>
    <x:row r="1086">
      <x:c r="A1086" s="42" t="str">
        <x:v>Rayan</x:v>
      </x:c>
      <x:c r="B1086" s="42" t="n">
        <x:v>2027</x:v>
      </x:c>
      <x:c r="C1086" s="42" t="str">
        <x:v>T1</x:v>
      </x:c>
      <x:c r="D1086" s="44" t="n">
        <x:v>46477</x:v>
      </x:c>
      <x:c r="E1086" s="42" t="str">
        <x:v>Ponta-direita</x:v>
      </x:c>
      <x:c r="F1086" s="42" t="str">
        <x:v>AFC Bournemouth</x:v>
      </x:c>
      <x:c r="G1086" s="46"/>
      <x:c r="H1086" s="46"/>
      <x:c r="I1086" s="46"/>
      <x:c r="J1086" s="46"/>
      <x:c r="K1086" s="46" t="str">
        <x:f>IF(COUNT(G1086,I1086)=0,"",AVERAGE(G1086,I1086))</x:f>
      </x:c>
      <x:c r="L1086" s="46" t="str">
        <x:f>IF(COUNT(H1086,J1086)=0,"",AVERAGE(H1086,J1086))</x:f>
      </x:c>
      <x:c r="M1086" s="46" t="str">
        <x:f>IF(OR(K1086="",L1086=""),"",L1086-K1086)</x:f>
      </x:c>
      <x:c r="N1086" s="46" t="str">
        <x:f>IF(OR(K1086="",A1085&lt;&gt;A1086,K1085=""),"",K1086-K1085)</x:f>
      </x:c>
      <x:c r="O1086" s="42" t="str">
        <x:v>Sem informação</x:v>
      </x:c>
      <x:c r="P1086" s="42"/>
      <x:c r="Q1086" s="42" t="str"/>
      <x:c r="R1086" s="42" t="str"/>
      <x:c r="S1086" s="42" t="str"/>
      <x:c r="T1086" s="42" t="str"/>
    </x:row>
    <x:row r="1087">
      <x:c r="A1087" s="42" t="str">
        <x:v>Rayan</x:v>
      </x:c>
      <x:c r="B1087" s="42" t="n">
        <x:v>2027</x:v>
      </x:c>
      <x:c r="C1087" s="42" t="str">
        <x:v>T2</x:v>
      </x:c>
      <x:c r="D1087" s="44" t="n">
        <x:v>46568</x:v>
      </x:c>
      <x:c r="E1087" s="42" t="str">
        <x:v>Ponta-direita</x:v>
      </x:c>
      <x:c r="F1087" s="42" t="str">
        <x:v>AFC Bournemouth</x:v>
      </x:c>
      <x:c r="G1087" s="46"/>
      <x:c r="H1087" s="46"/>
      <x:c r="I1087" s="46"/>
      <x:c r="J1087" s="46"/>
      <x:c r="K1087" s="46" t="str">
        <x:f>IF(COUNT(G1087,I1087)=0,"",AVERAGE(G1087,I1087))</x:f>
      </x:c>
      <x:c r="L1087" s="46" t="str">
        <x:f>IF(COUNT(H1087,J1087)=0,"",AVERAGE(H1087,J1087))</x:f>
      </x:c>
      <x:c r="M1087" s="46" t="str">
        <x:f>IF(OR(K1087="",L1087=""),"",L1087-K1087)</x:f>
      </x:c>
      <x:c r="N1087" s="46" t="str">
        <x:f>IF(OR(K1087="",A1086&lt;&gt;A1087,K1086=""),"",K1087-K1086)</x:f>
      </x:c>
      <x:c r="O1087" s="42" t="str">
        <x:v>Sem informação</x:v>
      </x:c>
      <x:c r="P1087" s="42"/>
      <x:c r="Q1087" s="42" t="str"/>
      <x:c r="R1087" s="42" t="str"/>
      <x:c r="S1087" s="42" t="str"/>
      <x:c r="T1087" s="42" t="str"/>
    </x:row>
    <x:row r="1088">
      <x:c r="A1088" s="42" t="str">
        <x:v>Rayan</x:v>
      </x:c>
      <x:c r="B1088" s="42" t="n">
        <x:v>2027</x:v>
      </x:c>
      <x:c r="C1088" s="42" t="str">
        <x:v>T3</x:v>
      </x:c>
      <x:c r="D1088" s="44" t="n">
        <x:v>46660</x:v>
      </x:c>
      <x:c r="E1088" s="42" t="str">
        <x:v>Ponta-direita</x:v>
      </x:c>
      <x:c r="F1088" s="42" t="str">
        <x:v>AFC Bournemouth</x:v>
      </x:c>
      <x:c r="G1088" s="46"/>
      <x:c r="H1088" s="46"/>
      <x:c r="I1088" s="46"/>
      <x:c r="J1088" s="46"/>
      <x:c r="K1088" s="46" t="str">
        <x:f>IF(COUNT(G1088,I1088)=0,"",AVERAGE(G1088,I1088))</x:f>
      </x:c>
      <x:c r="L1088" s="46" t="str">
        <x:f>IF(COUNT(H1088,J1088)=0,"",AVERAGE(H1088,J1088))</x:f>
      </x:c>
      <x:c r="M1088" s="46" t="str">
        <x:f>IF(OR(K1088="",L1088=""),"",L1088-K1088)</x:f>
      </x:c>
      <x:c r="N1088" s="46" t="str">
        <x:f>IF(OR(K1088="",A1087&lt;&gt;A1088,K1087=""),"",K1088-K1087)</x:f>
      </x:c>
      <x:c r="O1088" s="42" t="str">
        <x:v>Sem informação</x:v>
      </x:c>
      <x:c r="P1088" s="42"/>
      <x:c r="Q1088" s="42" t="str"/>
      <x:c r="R1088" s="42" t="str"/>
      <x:c r="S1088" s="42" t="str"/>
      <x:c r="T1088" s="42" t="str"/>
    </x:row>
    <x:row r="1089">
      <x:c r="A1089" s="42" t="str">
        <x:v>Rayan</x:v>
      </x:c>
      <x:c r="B1089" s="42" t="n">
        <x:v>2027</x:v>
      </x:c>
      <x:c r="C1089" s="42" t="str">
        <x:v>T4</x:v>
      </x:c>
      <x:c r="D1089" s="44" t="n">
        <x:v>46752</x:v>
      </x:c>
      <x:c r="E1089" s="42" t="str">
        <x:v>Ponta-direita</x:v>
      </x:c>
      <x:c r="F1089" s="42" t="str">
        <x:v>AFC Bournemouth</x:v>
      </x:c>
      <x:c r="G1089" s="46"/>
      <x:c r="H1089" s="46"/>
      <x:c r="I1089" s="46"/>
      <x:c r="J1089" s="46"/>
      <x:c r="K1089" s="46" t="str">
        <x:f>IF(COUNT(G1089,I1089)=0,"",AVERAGE(G1089,I1089))</x:f>
      </x:c>
      <x:c r="L1089" s="46" t="str">
        <x:f>IF(COUNT(H1089,J1089)=0,"",AVERAGE(H1089,J1089))</x:f>
      </x:c>
      <x:c r="M1089" s="46" t="str">
        <x:f>IF(OR(K1089="",L1089=""),"",L1089-K1089)</x:f>
      </x:c>
      <x:c r="N1089" s="46" t="str">
        <x:f>IF(OR(K1089="",A1088&lt;&gt;A1089,K1088=""),"",K1089-K1088)</x:f>
      </x:c>
      <x:c r="O1089" s="42" t="str">
        <x:v>Sem informação</x:v>
      </x:c>
      <x:c r="P1089" s="42"/>
      <x:c r="Q1089" s="42" t="str"/>
      <x:c r="R1089" s="42" t="str"/>
      <x:c r="S1089" s="42" t="str"/>
      <x:c r="T1089" s="42" t="str"/>
    </x:row>
    <x:row r="1090">
      <x:c r="A1090" s="42" t="str">
        <x:v>Rayan</x:v>
      </x:c>
      <x:c r="B1090" s="42" t="n">
        <x:v>2028</x:v>
      </x:c>
      <x:c r="C1090" s="42" t="str">
        <x:v>T1</x:v>
      </x:c>
      <x:c r="D1090" s="44" t="n">
        <x:v>46843</x:v>
      </x:c>
      <x:c r="E1090" s="42" t="str">
        <x:v>Ponta-direita</x:v>
      </x:c>
      <x:c r="F1090" s="42" t="str">
        <x:v>AFC Bournemouth</x:v>
      </x:c>
      <x:c r="G1090" s="46"/>
      <x:c r="H1090" s="46"/>
      <x:c r="I1090" s="46"/>
      <x:c r="J1090" s="46"/>
      <x:c r="K1090" s="46" t="str">
        <x:f>IF(COUNT(G1090,I1090)=0,"",AVERAGE(G1090,I1090))</x:f>
      </x:c>
      <x:c r="L1090" s="46" t="str">
        <x:f>IF(COUNT(H1090,J1090)=0,"",AVERAGE(H1090,J1090))</x:f>
      </x:c>
      <x:c r="M1090" s="46" t="str">
        <x:f>IF(OR(K1090="",L1090=""),"",L1090-K1090)</x:f>
      </x:c>
      <x:c r="N1090" s="46" t="str">
        <x:f>IF(OR(K1090="",A1089&lt;&gt;A1090,K1089=""),"",K1090-K1089)</x:f>
      </x:c>
      <x:c r="O1090" s="42" t="str">
        <x:v>Sem informação</x:v>
      </x:c>
      <x:c r="P1090" s="42"/>
      <x:c r="Q1090" s="42" t="str"/>
      <x:c r="R1090" s="42" t="str"/>
      <x:c r="S1090" s="42" t="str"/>
      <x:c r="T1090" s="42" t="str"/>
    </x:row>
    <x:row r="1091">
      <x:c r="A1091" s="42" t="str">
        <x:v>Rayan</x:v>
      </x:c>
      <x:c r="B1091" s="42" t="n">
        <x:v>2028</x:v>
      </x:c>
      <x:c r="C1091" s="42" t="str">
        <x:v>T2</x:v>
      </x:c>
      <x:c r="D1091" s="44" t="n">
        <x:v>46934</x:v>
      </x:c>
      <x:c r="E1091" s="42" t="str">
        <x:v>Ponta-direita</x:v>
      </x:c>
      <x:c r="F1091" s="42" t="str">
        <x:v>AFC Bournemouth</x:v>
      </x:c>
      <x:c r="G1091" s="46"/>
      <x:c r="H1091" s="46"/>
      <x:c r="I1091" s="46"/>
      <x:c r="J1091" s="46"/>
      <x:c r="K1091" s="46" t="str">
        <x:f>IF(COUNT(G1091,I1091)=0,"",AVERAGE(G1091,I1091))</x:f>
      </x:c>
      <x:c r="L1091" s="46" t="str">
        <x:f>IF(COUNT(H1091,J1091)=0,"",AVERAGE(H1091,J1091))</x:f>
      </x:c>
      <x:c r="M1091" s="46" t="str">
        <x:f>IF(OR(K1091="",L1091=""),"",L1091-K1091)</x:f>
      </x:c>
      <x:c r="N1091" s="46" t="str">
        <x:f>IF(OR(K1091="",A1090&lt;&gt;A1091,K1090=""),"",K1091-K1090)</x:f>
      </x:c>
      <x:c r="O1091" s="42" t="str">
        <x:v>Sem informação</x:v>
      </x:c>
      <x:c r="P1091" s="42"/>
      <x:c r="Q1091" s="42" t="str"/>
      <x:c r="R1091" s="42" t="str"/>
      <x:c r="S1091" s="42" t="str"/>
      <x:c r="T1091" s="42" t="str"/>
    </x:row>
    <x:row r="1092">
      <x:c r="A1092" s="42" t="str">
        <x:v>Rayan</x:v>
      </x:c>
      <x:c r="B1092" s="42" t="n">
        <x:v>2028</x:v>
      </x:c>
      <x:c r="C1092" s="42" t="str">
        <x:v>T3</x:v>
      </x:c>
      <x:c r="D1092" s="44" t="n">
        <x:v>47026</x:v>
      </x:c>
      <x:c r="E1092" s="42" t="str">
        <x:v>Ponta-direita</x:v>
      </x:c>
      <x:c r="F1092" s="42" t="str">
        <x:v>AFC Bournemouth</x:v>
      </x:c>
      <x:c r="G1092" s="46"/>
      <x:c r="H1092" s="46"/>
      <x:c r="I1092" s="46"/>
      <x:c r="J1092" s="46"/>
      <x:c r="K1092" s="46" t="str">
        <x:f>IF(COUNT(G1092,I1092)=0,"",AVERAGE(G1092,I1092))</x:f>
      </x:c>
      <x:c r="L1092" s="46" t="str">
        <x:f>IF(COUNT(H1092,J1092)=0,"",AVERAGE(H1092,J1092))</x:f>
      </x:c>
      <x:c r="M1092" s="46" t="str">
        <x:f>IF(OR(K1092="",L1092=""),"",L1092-K1092)</x:f>
      </x:c>
      <x:c r="N1092" s="46" t="str">
        <x:f>IF(OR(K1092="",A1091&lt;&gt;A1092,K1091=""),"",K1092-K1091)</x:f>
      </x:c>
      <x:c r="O1092" s="42" t="str">
        <x:v>Sem informação</x:v>
      </x:c>
      <x:c r="P1092" s="42"/>
      <x:c r="Q1092" s="42" t="str"/>
      <x:c r="R1092" s="42" t="str"/>
      <x:c r="S1092" s="42" t="str"/>
      <x:c r="T1092" s="42" t="str"/>
    </x:row>
    <x:row r="1093">
      <x:c r="A1093" s="42" t="str">
        <x:v>Rayan</x:v>
      </x:c>
      <x:c r="B1093" s="42" t="n">
        <x:v>2028</x:v>
      </x:c>
      <x:c r="C1093" s="42" t="str">
        <x:v>T4</x:v>
      </x:c>
      <x:c r="D1093" s="44" t="n">
        <x:v>47118</x:v>
      </x:c>
      <x:c r="E1093" s="42" t="str">
        <x:v>Ponta-direita</x:v>
      </x:c>
      <x:c r="F1093" s="42" t="str">
        <x:v>AFC Bournemouth</x:v>
      </x:c>
      <x:c r="G1093" s="46"/>
      <x:c r="H1093" s="46"/>
      <x:c r="I1093" s="46"/>
      <x:c r="J1093" s="46"/>
      <x:c r="K1093" s="46" t="str">
        <x:f>IF(COUNT(G1093,I1093)=0,"",AVERAGE(G1093,I1093))</x:f>
      </x:c>
      <x:c r="L1093" s="46" t="str">
        <x:f>IF(COUNT(H1093,J1093)=0,"",AVERAGE(H1093,J1093))</x:f>
      </x:c>
      <x:c r="M1093" s="46" t="str">
        <x:f>IF(OR(K1093="",L1093=""),"",L1093-K1093)</x:f>
      </x:c>
      <x:c r="N1093" s="46" t="str">
        <x:f>IF(OR(K1093="",A1092&lt;&gt;A1093,K1092=""),"",K1093-K1092)</x:f>
      </x:c>
      <x:c r="O1093" s="42" t="str">
        <x:v>Sem informação</x:v>
      </x:c>
      <x:c r="P1093" s="42"/>
      <x:c r="Q1093" s="42" t="str"/>
      <x:c r="R1093" s="42" t="str"/>
      <x:c r="S1093" s="42" t="str"/>
      <x:c r="T1093" s="42" t="str"/>
    </x:row>
    <x:row r="1094">
      <x:c r="A1094" s="42" t="str">
        <x:v>Rayan</x:v>
      </x:c>
      <x:c r="B1094" s="42" t="n">
        <x:v>2029</x:v>
      </x:c>
      <x:c r="C1094" s="42" t="str">
        <x:v>T1</x:v>
      </x:c>
      <x:c r="D1094" s="44" t="n">
        <x:v>47208</x:v>
      </x:c>
      <x:c r="E1094" s="42" t="str">
        <x:v>Ponta-direita</x:v>
      </x:c>
      <x:c r="F1094" s="42" t="str">
        <x:v>AFC Bournemouth</x:v>
      </x:c>
      <x:c r="G1094" s="46"/>
      <x:c r="H1094" s="46"/>
      <x:c r="I1094" s="46"/>
      <x:c r="J1094" s="46"/>
      <x:c r="K1094" s="46" t="str">
        <x:f>IF(COUNT(G1094,I1094)=0,"",AVERAGE(G1094,I1094))</x:f>
      </x:c>
      <x:c r="L1094" s="46" t="str">
        <x:f>IF(COUNT(H1094,J1094)=0,"",AVERAGE(H1094,J1094))</x:f>
      </x:c>
      <x:c r="M1094" s="46" t="str">
        <x:f>IF(OR(K1094="",L1094=""),"",L1094-K1094)</x:f>
      </x:c>
      <x:c r="N1094" s="46" t="str">
        <x:f>IF(OR(K1094="",A1093&lt;&gt;A1094,K1093=""),"",K1094-K1093)</x:f>
      </x:c>
      <x:c r="O1094" s="42" t="str">
        <x:v>Sem informação</x:v>
      </x:c>
      <x:c r="P1094" s="42"/>
      <x:c r="Q1094" s="42" t="str"/>
      <x:c r="R1094" s="42" t="str"/>
      <x:c r="S1094" s="42" t="str"/>
      <x:c r="T1094" s="42" t="str"/>
    </x:row>
    <x:row r="1095">
      <x:c r="A1095" s="42" t="str">
        <x:v>Rayan</x:v>
      </x:c>
      <x:c r="B1095" s="42" t="n">
        <x:v>2029</x:v>
      </x:c>
      <x:c r="C1095" s="42" t="str">
        <x:v>T2</x:v>
      </x:c>
      <x:c r="D1095" s="44" t="n">
        <x:v>47299</x:v>
      </x:c>
      <x:c r="E1095" s="42" t="str">
        <x:v>Ponta-direita</x:v>
      </x:c>
      <x:c r="F1095" s="42" t="str">
        <x:v>AFC Bournemouth</x:v>
      </x:c>
      <x:c r="G1095" s="46"/>
      <x:c r="H1095" s="46"/>
      <x:c r="I1095" s="46"/>
      <x:c r="J1095" s="46"/>
      <x:c r="K1095" s="46" t="str">
        <x:f>IF(COUNT(G1095,I1095)=0,"",AVERAGE(G1095,I1095))</x:f>
      </x:c>
      <x:c r="L1095" s="46" t="str">
        <x:f>IF(COUNT(H1095,J1095)=0,"",AVERAGE(H1095,J1095))</x:f>
      </x:c>
      <x:c r="M1095" s="46" t="str">
        <x:f>IF(OR(K1095="",L1095=""),"",L1095-K1095)</x:f>
      </x:c>
      <x:c r="N1095" s="46" t="str">
        <x:f>IF(OR(K1095="",A1094&lt;&gt;A1095,K1094=""),"",K1095-K1094)</x:f>
      </x:c>
      <x:c r="O1095" s="42" t="str">
        <x:v>Sem informação</x:v>
      </x:c>
      <x:c r="P1095" s="42"/>
      <x:c r="Q1095" s="42" t="str"/>
      <x:c r="R1095" s="42" t="str"/>
      <x:c r="S1095" s="42" t="str"/>
      <x:c r="T1095" s="42" t="str"/>
    </x:row>
    <x:row r="1096">
      <x:c r="A1096" s="42" t="str">
        <x:v>Rayan</x:v>
      </x:c>
      <x:c r="B1096" s="42" t="n">
        <x:v>2029</x:v>
      </x:c>
      <x:c r="C1096" s="42" t="str">
        <x:v>T3</x:v>
      </x:c>
      <x:c r="D1096" s="44" t="n">
        <x:v>47391</x:v>
      </x:c>
      <x:c r="E1096" s="42" t="str">
        <x:v>Ponta-direita</x:v>
      </x:c>
      <x:c r="F1096" s="42" t="str">
        <x:v>AFC Bournemouth</x:v>
      </x:c>
      <x:c r="G1096" s="46"/>
      <x:c r="H1096" s="46"/>
      <x:c r="I1096" s="46"/>
      <x:c r="J1096" s="46"/>
      <x:c r="K1096" s="46" t="str">
        <x:f>IF(COUNT(G1096,I1096)=0,"",AVERAGE(G1096,I1096))</x:f>
      </x:c>
      <x:c r="L1096" s="46" t="str">
        <x:f>IF(COUNT(H1096,J1096)=0,"",AVERAGE(H1096,J1096))</x:f>
      </x:c>
      <x:c r="M1096" s="46" t="str">
        <x:f>IF(OR(K1096="",L1096=""),"",L1096-K1096)</x:f>
      </x:c>
      <x:c r="N1096" s="46" t="str">
        <x:f>IF(OR(K1096="",A1095&lt;&gt;A1096,K1095=""),"",K1096-K1095)</x:f>
      </x:c>
      <x:c r="O1096" s="42" t="str">
        <x:v>Sem informação</x:v>
      </x:c>
      <x:c r="P1096" s="42"/>
      <x:c r="Q1096" s="42" t="str"/>
      <x:c r="R1096" s="42" t="str"/>
      <x:c r="S1096" s="42" t="str"/>
      <x:c r="T1096" s="42" t="str"/>
    </x:row>
    <x:row r="1097">
      <x:c r="A1097" s="42" t="str">
        <x:v>Rayan</x:v>
      </x:c>
      <x:c r="B1097" s="42" t="n">
        <x:v>2029</x:v>
      </x:c>
      <x:c r="C1097" s="42" t="str">
        <x:v>T4</x:v>
      </x:c>
      <x:c r="D1097" s="44" t="n">
        <x:v>47483</x:v>
      </x:c>
      <x:c r="E1097" s="42" t="str">
        <x:v>Ponta-direita</x:v>
      </x:c>
      <x:c r="F1097" s="42" t="str">
        <x:v>AFC Bournemouth</x:v>
      </x:c>
      <x:c r="G1097" s="46"/>
      <x:c r="H1097" s="46"/>
      <x:c r="I1097" s="46"/>
      <x:c r="J1097" s="46"/>
      <x:c r="K1097" s="46" t="str">
        <x:f>IF(COUNT(G1097,I1097)=0,"",AVERAGE(G1097,I1097))</x:f>
      </x:c>
      <x:c r="L1097" s="46" t="str">
        <x:f>IF(COUNT(H1097,J1097)=0,"",AVERAGE(H1097,J1097))</x:f>
      </x:c>
      <x:c r="M1097" s="46" t="str">
        <x:f>IF(OR(K1097="",L1097=""),"",L1097-K1097)</x:f>
      </x:c>
      <x:c r="N1097" s="46" t="str">
        <x:f>IF(OR(K1097="",A1096&lt;&gt;A1097,K1096=""),"",K1097-K1096)</x:f>
      </x:c>
      <x:c r="O1097" s="42" t="str">
        <x:v>Sem informação</x:v>
      </x:c>
      <x:c r="P1097" s="42"/>
      <x:c r="Q1097" s="42" t="str"/>
      <x:c r="R1097" s="42" t="str"/>
      <x:c r="S1097" s="42" t="str"/>
      <x:c r="T1097" s="42" t="str"/>
    </x:row>
    <x:row r="1098">
      <x:c r="A1098" s="42" t="str">
        <x:v>Rayan</x:v>
      </x:c>
      <x:c r="B1098" s="42" t="n">
        <x:v>2030</x:v>
      </x:c>
      <x:c r="C1098" s="42" t="str">
        <x:v>T1</x:v>
      </x:c>
      <x:c r="D1098" s="44" t="n">
        <x:v>47573</x:v>
      </x:c>
      <x:c r="E1098" s="42" t="str">
        <x:v>Ponta-direita</x:v>
      </x:c>
      <x:c r="F1098" s="42" t="str">
        <x:v>AFC Bournemouth</x:v>
      </x:c>
      <x:c r="G1098" s="46"/>
      <x:c r="H1098" s="46"/>
      <x:c r="I1098" s="46"/>
      <x:c r="J1098" s="46"/>
      <x:c r="K1098" s="46" t="str">
        <x:f>IF(COUNT(G1098,I1098)=0,"",AVERAGE(G1098,I1098))</x:f>
      </x:c>
      <x:c r="L1098" s="46" t="str">
        <x:f>IF(COUNT(H1098,J1098)=0,"",AVERAGE(H1098,J1098))</x:f>
      </x:c>
      <x:c r="M1098" s="46" t="str">
        <x:f>IF(OR(K1098="",L1098=""),"",L1098-K1098)</x:f>
      </x:c>
      <x:c r="N1098" s="46" t="str">
        <x:f>IF(OR(K1098="",A1097&lt;&gt;A1098,K1097=""),"",K1098-K1097)</x:f>
      </x:c>
      <x:c r="O1098" s="42" t="str">
        <x:v>Sem informação</x:v>
      </x:c>
      <x:c r="P1098" s="42"/>
      <x:c r="Q1098" s="42" t="str"/>
      <x:c r="R1098" s="42" t="str"/>
      <x:c r="S1098" s="42" t="str"/>
      <x:c r="T1098" s="42" t="str"/>
    </x:row>
    <x:row r="1099">
      <x:c r="A1099" s="42" t="str">
        <x:v>Rayan</x:v>
      </x:c>
      <x:c r="B1099" s="42" t="n">
        <x:v>2030</x:v>
      </x:c>
      <x:c r="C1099" s="42" t="str">
        <x:v>T2</x:v>
      </x:c>
      <x:c r="D1099" s="44" t="n">
        <x:v>47664</x:v>
      </x:c>
      <x:c r="E1099" s="42" t="str">
        <x:v>Ponta-direita</x:v>
      </x:c>
      <x:c r="F1099" s="42" t="str">
        <x:v>AFC Bournemouth</x:v>
      </x:c>
      <x:c r="G1099" s="46"/>
      <x:c r="H1099" s="46"/>
      <x:c r="I1099" s="46"/>
      <x:c r="J1099" s="46"/>
      <x:c r="K1099" s="46" t="str">
        <x:f>IF(COUNT(G1099,I1099)=0,"",AVERAGE(G1099,I1099))</x:f>
      </x:c>
      <x:c r="L1099" s="46" t="str">
        <x:f>IF(COUNT(H1099,J1099)=0,"",AVERAGE(H1099,J1099))</x:f>
      </x:c>
      <x:c r="M1099" s="46" t="str">
        <x:f>IF(OR(K1099="",L1099=""),"",L1099-K1099)</x:f>
      </x:c>
      <x:c r="N1099" s="46" t="str">
        <x:f>IF(OR(K1099="",A1098&lt;&gt;A1099,K1098=""),"",K1099-K1098)</x:f>
      </x:c>
      <x:c r="O1099" s="42" t="str">
        <x:v>Sem informação</x:v>
      </x:c>
      <x:c r="P1099" s="42"/>
      <x:c r="Q1099" s="42" t="str"/>
      <x:c r="R1099" s="42" t="str"/>
      <x:c r="S1099" s="42" t="str"/>
      <x:c r="T1099" s="42" t="str"/>
    </x:row>
    <x:row r="1100">
      <x:c r="A1100" s="42" t="str">
        <x:v>Rayan</x:v>
      </x:c>
      <x:c r="B1100" s="42" t="n">
        <x:v>2030</x:v>
      </x:c>
      <x:c r="C1100" s="42" t="str">
        <x:v>T3</x:v>
      </x:c>
      <x:c r="D1100" s="44" t="n">
        <x:v>47756</x:v>
      </x:c>
      <x:c r="E1100" s="42" t="str">
        <x:v>Ponta-direita</x:v>
      </x:c>
      <x:c r="F1100" s="42" t="str">
        <x:v>AFC Bournemouth</x:v>
      </x:c>
      <x:c r="G1100" s="46"/>
      <x:c r="H1100" s="46"/>
      <x:c r="I1100" s="46"/>
      <x:c r="J1100" s="46"/>
      <x:c r="K1100" s="46" t="str">
        <x:f>IF(COUNT(G1100,I1100)=0,"",AVERAGE(G1100,I1100))</x:f>
      </x:c>
      <x:c r="L1100" s="46" t="str">
        <x:f>IF(COUNT(H1100,J1100)=0,"",AVERAGE(H1100,J1100))</x:f>
      </x:c>
      <x:c r="M1100" s="46" t="str">
        <x:f>IF(OR(K1100="",L1100=""),"",L1100-K1100)</x:f>
      </x:c>
      <x:c r="N1100" s="46" t="str">
        <x:f>IF(OR(K1100="",A1099&lt;&gt;A1100,K1099=""),"",K1100-K1099)</x:f>
      </x:c>
      <x:c r="O1100" s="42" t="str">
        <x:v>Sem informação</x:v>
      </x:c>
      <x:c r="P1100" s="42"/>
      <x:c r="Q1100" s="42" t="str"/>
      <x:c r="R1100" s="42" t="str"/>
      <x:c r="S1100" s="42" t="str"/>
      <x:c r="T1100" s="42" t="str"/>
    </x:row>
    <x:row r="1101">
      <x:c r="A1101" s="42" t="str">
        <x:v>Rayan</x:v>
      </x:c>
      <x:c r="B1101" s="42" t="n">
        <x:v>2030</x:v>
      </x:c>
      <x:c r="C1101" s="42" t="str">
        <x:v>T4</x:v>
      </x:c>
      <x:c r="D1101" s="44" t="n">
        <x:v>47848</x:v>
      </x:c>
      <x:c r="E1101" s="42" t="str">
        <x:v>Ponta-direita</x:v>
      </x:c>
      <x:c r="F1101" s="42" t="str">
        <x:v>AFC Bournemouth</x:v>
      </x:c>
      <x:c r="G1101" s="46"/>
      <x:c r="H1101" s="46"/>
      <x:c r="I1101" s="46"/>
      <x:c r="J1101" s="46"/>
      <x:c r="K1101" s="46" t="str">
        <x:f>IF(COUNT(G1101,I1101)=0,"",AVERAGE(G1101,I1101))</x:f>
      </x:c>
      <x:c r="L1101" s="46" t="str">
        <x:f>IF(COUNT(H1101,J1101)=0,"",AVERAGE(H1101,J1101))</x:f>
      </x:c>
      <x:c r="M1101" s="46" t="str">
        <x:f>IF(OR(K1101="",L1101=""),"",L1101-K1101)</x:f>
      </x:c>
      <x:c r="N1101" s="46" t="str">
        <x:f>IF(OR(K1101="",A1100&lt;&gt;A1101,K1100=""),"",K1101-K1100)</x:f>
      </x:c>
      <x:c r="O1101" s="42" t="str">
        <x:v>Sem informação</x:v>
      </x:c>
      <x:c r="P1101" s="42"/>
      <x:c r="Q1101" s="42" t="str"/>
      <x:c r="R1101" s="42" t="str"/>
      <x:c r="S1101" s="42" t="str"/>
      <x:c r="T1101" s="42" t="str"/>
    </x:row>
    <x:row r="1102">
      <x:c r="A1102" s="42" t="str">
        <x:v>Roger Ibañez</x:v>
      </x:c>
      <x:c r="B1102" s="42" t="n">
        <x:v>2026</x:v>
      </x:c>
      <x:c r="C1102" s="42" t="str">
        <x:v>T1</x:v>
      </x:c>
      <x:c r="D1102" s="44" t="n">
        <x:v>46112</x:v>
      </x:c>
      <x:c r="E1102" s="42" t="str">
        <x:v>Zagueiro</x:v>
      </x:c>
      <x:c r="F1102" s="42" t="str">
        <x:v>Al-Ahli SFC</x:v>
      </x:c>
      <x:c r="G1102" s="46"/>
      <x:c r="H1102" s="46"/>
      <x:c r="I1102" s="46"/>
      <x:c r="J1102" s="46"/>
      <x:c r="K1102" s="46" t="str">
        <x:f>IF(COUNT(G1102,I1102)=0,"",AVERAGE(G1102,I1102))</x:f>
      </x:c>
      <x:c r="L1102" s="46" t="str">
        <x:f>IF(COUNT(H1102,J1102)=0,"",AVERAGE(H1102,J1102))</x:f>
      </x:c>
      <x:c r="M1102" s="46" t="str">
        <x:f>IF(OR(K1102="",L1102=""),"",L1102-K1102)</x:f>
      </x:c>
      <x:c r="N1102" s="46" t="str">
        <x:f>IF(OR(K1102="",A1101&lt;&gt;A1102,K1101=""),"",K1102-K1101)</x:f>
      </x:c>
      <x:c r="O1102" s="42" t="str">
        <x:v>Sem informação</x:v>
      </x:c>
      <x:c r="P1102" s="42"/>
      <x:c r="Q1102" s="42" t="str"/>
      <x:c r="R1102" s="42" t="str"/>
      <x:c r="S1102" s="42" t="str"/>
      <x:c r="T1102" s="42" t="str"/>
    </x:row>
    <x:row r="1103">
      <x:c r="A1103" s="42" t="str">
        <x:v>Roger Ibañez</x:v>
      </x:c>
      <x:c r="B1103" s="42" t="n">
        <x:v>2026</x:v>
      </x:c>
      <x:c r="C1103" s="42" t="str">
        <x:v>T2</x:v>
      </x:c>
      <x:c r="D1103" s="44" t="n">
        <x:v>46203</x:v>
      </x:c>
      <x:c r="E1103" s="42" t="str">
        <x:v>Zagueiro</x:v>
      </x:c>
      <x:c r="F1103" s="42" t="str">
        <x:v>Al-Ahli SFC</x:v>
      </x:c>
      <x:c r="G1103" s="46" t="n">
        <x:v>7</x:v>
      </x:c>
      <x:c r="H1103" s="46" t="n">
        <x:v>6</x:v>
      </x:c>
      <x:c r="I1103" s="46" t="n">
        <x:v>6.5</x:v>
      </x:c>
      <x:c r="J1103" s="46" t="n">
        <x:v>6</x:v>
      </x:c>
      <x:c r="K1103" s="46" t="n">
        <x:f>IF(COUNT(G1103,I1103)=0,"",AVERAGE(G1103,I1103))</x:f>
        <x:v>6.75</x:v>
      </x:c>
      <x:c r="L1103" s="46" t="n">
        <x:f>IF(COUNT(H1103,J1103)=0,"",AVERAGE(H1103,J1103))</x:f>
        <x:v>6</x:v>
      </x:c>
      <x:c r="M1103" s="46" t="n">
        <x:f>IF(OR(K1103="",L1103=""),"",L1103-K1103)</x:f>
        <x:v>-0.75</x:v>
      </x:c>
      <x:c r="N1103" s="46" t="str">
        <x:f>IF(OR(K1103="",A1102&lt;&gt;A1103,K1102=""),"",K1103-K1102)</x:f>
      </x:c>
      <x:c r="O1103" s="42" t="str">
        <x:v>Sem informação</x:v>
      </x:c>
      <x:c r="P1103" s="42"/>
      <x:c r="Q1103" s="42" t="str"/>
      <x:c r="R1103" s="42" t="str"/>
      <x:c r="S1103" s="42" t="str"/>
      <x:c r="T1103" s="42" t="str"/>
    </x:row>
    <x:row r="1104">
      <x:c r="A1104" s="42" t="str">
        <x:v>Roger Ibañez</x:v>
      </x:c>
      <x:c r="B1104" s="42" t="n">
        <x:v>2026</x:v>
      </x:c>
      <x:c r="C1104" s="42" t="str">
        <x:v>T3</x:v>
      </x:c>
      <x:c r="D1104" s="44" t="n">
        <x:v>46295</x:v>
      </x:c>
      <x:c r="E1104" s="42" t="str">
        <x:v>Zagueiro</x:v>
      </x:c>
      <x:c r="F1104" s="42" t="str">
        <x:v>Al-Ahli SFC</x:v>
      </x:c>
      <x:c r="G1104" s="46"/>
      <x:c r="H1104" s="46"/>
      <x:c r="I1104" s="46"/>
      <x:c r="J1104" s="46"/>
      <x:c r="K1104" s="46" t="str">
        <x:f>IF(COUNT(G1104,I1104)=0,"",AVERAGE(G1104,I1104))</x:f>
      </x:c>
      <x:c r="L1104" s="46" t="str">
        <x:f>IF(COUNT(H1104,J1104)=0,"",AVERAGE(H1104,J1104))</x:f>
      </x:c>
      <x:c r="M1104" s="46" t="str">
        <x:f>IF(OR(K1104="",L1104=""),"",L1104-K1104)</x:f>
      </x:c>
      <x:c r="N1104" s="46" t="str">
        <x:f>IF(OR(K1104="",A1103&lt;&gt;A1104,K1103=""),"",K1104-K1103)</x:f>
      </x:c>
      <x:c r="O1104" s="42" t="str">
        <x:v>Sem informação</x:v>
      </x:c>
      <x:c r="P1104" s="42"/>
      <x:c r="Q1104" s="42" t="str"/>
      <x:c r="R1104" s="42" t="str"/>
      <x:c r="S1104" s="42" t="str"/>
      <x:c r="T1104" s="42" t="str"/>
    </x:row>
    <x:row r="1105">
      <x:c r="A1105" s="42" t="str">
        <x:v>Roger Ibañez</x:v>
      </x:c>
      <x:c r="B1105" s="42" t="n">
        <x:v>2026</x:v>
      </x:c>
      <x:c r="C1105" s="42" t="str">
        <x:v>T4</x:v>
      </x:c>
      <x:c r="D1105" s="44" t="n">
        <x:v>46387</x:v>
      </x:c>
      <x:c r="E1105" s="42" t="str">
        <x:v>Zagueiro</x:v>
      </x:c>
      <x:c r="F1105" s="42" t="str">
        <x:v>Al-Ahli SFC</x:v>
      </x:c>
      <x:c r="G1105" s="46"/>
      <x:c r="H1105" s="46"/>
      <x:c r="I1105" s="46"/>
      <x:c r="J1105" s="46"/>
      <x:c r="K1105" s="46" t="str">
        <x:f>IF(COUNT(G1105,I1105)=0,"",AVERAGE(G1105,I1105))</x:f>
      </x:c>
      <x:c r="L1105" s="46" t="str">
        <x:f>IF(COUNT(H1105,J1105)=0,"",AVERAGE(H1105,J1105))</x:f>
      </x:c>
      <x:c r="M1105" s="46" t="str">
        <x:f>IF(OR(K1105="",L1105=""),"",L1105-K1105)</x:f>
      </x:c>
      <x:c r="N1105" s="46" t="str">
        <x:f>IF(OR(K1105="",A1104&lt;&gt;A1105,K1104=""),"",K1105-K1104)</x:f>
      </x:c>
      <x:c r="O1105" s="42" t="str">
        <x:v>Sem informação</x:v>
      </x:c>
      <x:c r="P1105" s="42"/>
      <x:c r="Q1105" s="42" t="str"/>
      <x:c r="R1105" s="42" t="str"/>
      <x:c r="S1105" s="42" t="str"/>
      <x:c r="T1105" s="42" t="str"/>
    </x:row>
    <x:row r="1106">
      <x:c r="A1106" s="42" t="str">
        <x:v>Roger Ibañez</x:v>
      </x:c>
      <x:c r="B1106" s="42" t="n">
        <x:v>2027</x:v>
      </x:c>
      <x:c r="C1106" s="42" t="str">
        <x:v>T1</x:v>
      </x:c>
      <x:c r="D1106" s="44" t="n">
        <x:v>46477</x:v>
      </x:c>
      <x:c r="E1106" s="42" t="str">
        <x:v>Zagueiro</x:v>
      </x:c>
      <x:c r="F1106" s="42" t="str">
        <x:v>Al-Ahli SFC</x:v>
      </x:c>
      <x:c r="G1106" s="46"/>
      <x:c r="H1106" s="46"/>
      <x:c r="I1106" s="46"/>
      <x:c r="J1106" s="46"/>
      <x:c r="K1106" s="46" t="str">
        <x:f>IF(COUNT(G1106,I1106)=0,"",AVERAGE(G1106,I1106))</x:f>
      </x:c>
      <x:c r="L1106" s="46" t="str">
        <x:f>IF(COUNT(H1106,J1106)=0,"",AVERAGE(H1106,J1106))</x:f>
      </x:c>
      <x:c r="M1106" s="46" t="str">
        <x:f>IF(OR(K1106="",L1106=""),"",L1106-K1106)</x:f>
      </x:c>
      <x:c r="N1106" s="46" t="str">
        <x:f>IF(OR(K1106="",A1105&lt;&gt;A1106,K1105=""),"",K1106-K1105)</x:f>
      </x:c>
      <x:c r="O1106" s="42" t="str">
        <x:v>Sem informação</x:v>
      </x:c>
      <x:c r="P1106" s="42"/>
      <x:c r="Q1106" s="42" t="str"/>
      <x:c r="R1106" s="42" t="str"/>
      <x:c r="S1106" s="42" t="str"/>
      <x:c r="T1106" s="42" t="str"/>
    </x:row>
    <x:row r="1107">
      <x:c r="A1107" s="42" t="str">
        <x:v>Roger Ibañez</x:v>
      </x:c>
      <x:c r="B1107" s="42" t="n">
        <x:v>2027</x:v>
      </x:c>
      <x:c r="C1107" s="42" t="str">
        <x:v>T2</x:v>
      </x:c>
      <x:c r="D1107" s="44" t="n">
        <x:v>46568</x:v>
      </x:c>
      <x:c r="E1107" s="42" t="str">
        <x:v>Zagueiro</x:v>
      </x:c>
      <x:c r="F1107" s="42" t="str">
        <x:v>Al-Ahli SFC</x:v>
      </x:c>
      <x:c r="G1107" s="46"/>
      <x:c r="H1107" s="46"/>
      <x:c r="I1107" s="46"/>
      <x:c r="J1107" s="46"/>
      <x:c r="K1107" s="46" t="str">
        <x:f>IF(COUNT(G1107,I1107)=0,"",AVERAGE(G1107,I1107))</x:f>
      </x:c>
      <x:c r="L1107" s="46" t="str">
        <x:f>IF(COUNT(H1107,J1107)=0,"",AVERAGE(H1107,J1107))</x:f>
      </x:c>
      <x:c r="M1107" s="46" t="str">
        <x:f>IF(OR(K1107="",L1107=""),"",L1107-K1107)</x:f>
      </x:c>
      <x:c r="N1107" s="46" t="str">
        <x:f>IF(OR(K1107="",A1106&lt;&gt;A1107,K1106=""),"",K1107-K1106)</x:f>
      </x:c>
      <x:c r="O1107" s="42" t="str">
        <x:v>Sem informação</x:v>
      </x:c>
      <x:c r="P1107" s="42"/>
      <x:c r="Q1107" s="42" t="str"/>
      <x:c r="R1107" s="42" t="str"/>
      <x:c r="S1107" s="42" t="str"/>
      <x:c r="T1107" s="42" t="str"/>
    </x:row>
    <x:row r="1108">
      <x:c r="A1108" s="42" t="str">
        <x:v>Roger Ibañez</x:v>
      </x:c>
      <x:c r="B1108" s="42" t="n">
        <x:v>2027</x:v>
      </x:c>
      <x:c r="C1108" s="42" t="str">
        <x:v>T3</x:v>
      </x:c>
      <x:c r="D1108" s="44" t="n">
        <x:v>46660</x:v>
      </x:c>
      <x:c r="E1108" s="42" t="str">
        <x:v>Zagueiro</x:v>
      </x:c>
      <x:c r="F1108" s="42" t="str">
        <x:v>Al-Ahli SFC</x:v>
      </x:c>
      <x:c r="G1108" s="46"/>
      <x:c r="H1108" s="46"/>
      <x:c r="I1108" s="46"/>
      <x:c r="J1108" s="46"/>
      <x:c r="K1108" s="46" t="str">
        <x:f>IF(COUNT(G1108,I1108)=0,"",AVERAGE(G1108,I1108))</x:f>
      </x:c>
      <x:c r="L1108" s="46" t="str">
        <x:f>IF(COUNT(H1108,J1108)=0,"",AVERAGE(H1108,J1108))</x:f>
      </x:c>
      <x:c r="M1108" s="46" t="str">
        <x:f>IF(OR(K1108="",L1108=""),"",L1108-K1108)</x:f>
      </x:c>
      <x:c r="N1108" s="46" t="str">
        <x:f>IF(OR(K1108="",A1107&lt;&gt;A1108,K1107=""),"",K1108-K1107)</x:f>
      </x:c>
      <x:c r="O1108" s="42" t="str">
        <x:v>Sem informação</x:v>
      </x:c>
      <x:c r="P1108" s="42"/>
      <x:c r="Q1108" s="42" t="str"/>
      <x:c r="R1108" s="42" t="str"/>
      <x:c r="S1108" s="42" t="str"/>
      <x:c r="T1108" s="42" t="str"/>
    </x:row>
    <x:row r="1109">
      <x:c r="A1109" s="42" t="str">
        <x:v>Roger Ibañez</x:v>
      </x:c>
      <x:c r="B1109" s="42" t="n">
        <x:v>2027</x:v>
      </x:c>
      <x:c r="C1109" s="42" t="str">
        <x:v>T4</x:v>
      </x:c>
      <x:c r="D1109" s="44" t="n">
        <x:v>46752</x:v>
      </x:c>
      <x:c r="E1109" s="42" t="str">
        <x:v>Zagueiro</x:v>
      </x:c>
      <x:c r="F1109" s="42" t="str">
        <x:v>Al-Ahli SFC</x:v>
      </x:c>
      <x:c r="G1109" s="46"/>
      <x:c r="H1109" s="46"/>
      <x:c r="I1109" s="46"/>
      <x:c r="J1109" s="46"/>
      <x:c r="K1109" s="46" t="str">
        <x:f>IF(COUNT(G1109,I1109)=0,"",AVERAGE(G1109,I1109))</x:f>
      </x:c>
      <x:c r="L1109" s="46" t="str">
        <x:f>IF(COUNT(H1109,J1109)=0,"",AVERAGE(H1109,J1109))</x:f>
      </x:c>
      <x:c r="M1109" s="46" t="str">
        <x:f>IF(OR(K1109="",L1109=""),"",L1109-K1109)</x:f>
      </x:c>
      <x:c r="N1109" s="46" t="str">
        <x:f>IF(OR(K1109="",A1108&lt;&gt;A1109,K1108=""),"",K1109-K1108)</x:f>
      </x:c>
      <x:c r="O1109" s="42" t="str">
        <x:v>Sem informação</x:v>
      </x:c>
      <x:c r="P1109" s="42"/>
      <x:c r="Q1109" s="42" t="str"/>
      <x:c r="R1109" s="42" t="str"/>
      <x:c r="S1109" s="42" t="str"/>
      <x:c r="T1109" s="42" t="str"/>
    </x:row>
    <x:row r="1110">
      <x:c r="A1110" s="42" t="str">
        <x:v>Roger Ibañez</x:v>
      </x:c>
      <x:c r="B1110" s="42" t="n">
        <x:v>2028</x:v>
      </x:c>
      <x:c r="C1110" s="42" t="str">
        <x:v>T1</x:v>
      </x:c>
      <x:c r="D1110" s="44" t="n">
        <x:v>46843</x:v>
      </x:c>
      <x:c r="E1110" s="42" t="str">
        <x:v>Zagueiro</x:v>
      </x:c>
      <x:c r="F1110" s="42" t="str">
        <x:v>Al-Ahli SFC</x:v>
      </x:c>
      <x:c r="G1110" s="46"/>
      <x:c r="H1110" s="46"/>
      <x:c r="I1110" s="46"/>
      <x:c r="J1110" s="46"/>
      <x:c r="K1110" s="46" t="str">
        <x:f>IF(COUNT(G1110,I1110)=0,"",AVERAGE(G1110,I1110))</x:f>
      </x:c>
      <x:c r="L1110" s="46" t="str">
        <x:f>IF(COUNT(H1110,J1110)=0,"",AVERAGE(H1110,J1110))</x:f>
      </x:c>
      <x:c r="M1110" s="46" t="str">
        <x:f>IF(OR(K1110="",L1110=""),"",L1110-K1110)</x:f>
      </x:c>
      <x:c r="N1110" s="46" t="str">
        <x:f>IF(OR(K1110="",A1109&lt;&gt;A1110,K1109=""),"",K1110-K1109)</x:f>
      </x:c>
      <x:c r="O1110" s="42" t="str">
        <x:v>Sem informação</x:v>
      </x:c>
      <x:c r="P1110" s="42"/>
      <x:c r="Q1110" s="42" t="str"/>
      <x:c r="R1110" s="42" t="str"/>
      <x:c r="S1110" s="42" t="str"/>
      <x:c r="T1110" s="42" t="str"/>
    </x:row>
    <x:row r="1111">
      <x:c r="A1111" s="42" t="str">
        <x:v>Roger Ibañez</x:v>
      </x:c>
      <x:c r="B1111" s="42" t="n">
        <x:v>2028</x:v>
      </x:c>
      <x:c r="C1111" s="42" t="str">
        <x:v>T2</x:v>
      </x:c>
      <x:c r="D1111" s="44" t="n">
        <x:v>46934</x:v>
      </x:c>
      <x:c r="E1111" s="42" t="str">
        <x:v>Zagueiro</x:v>
      </x:c>
      <x:c r="F1111" s="42" t="str">
        <x:v>Al-Ahli SFC</x:v>
      </x:c>
      <x:c r="G1111" s="46"/>
      <x:c r="H1111" s="46"/>
      <x:c r="I1111" s="46"/>
      <x:c r="J1111" s="46"/>
      <x:c r="K1111" s="46" t="str">
        <x:f>IF(COUNT(G1111,I1111)=0,"",AVERAGE(G1111,I1111))</x:f>
      </x:c>
      <x:c r="L1111" s="46" t="str">
        <x:f>IF(COUNT(H1111,J1111)=0,"",AVERAGE(H1111,J1111))</x:f>
      </x:c>
      <x:c r="M1111" s="46" t="str">
        <x:f>IF(OR(K1111="",L1111=""),"",L1111-K1111)</x:f>
      </x:c>
      <x:c r="N1111" s="46" t="str">
        <x:f>IF(OR(K1111="",A1110&lt;&gt;A1111,K1110=""),"",K1111-K1110)</x:f>
      </x:c>
      <x:c r="O1111" s="42" t="str">
        <x:v>Sem informação</x:v>
      </x:c>
      <x:c r="P1111" s="42"/>
      <x:c r="Q1111" s="42" t="str"/>
      <x:c r="R1111" s="42" t="str"/>
      <x:c r="S1111" s="42" t="str"/>
      <x:c r="T1111" s="42" t="str"/>
    </x:row>
    <x:row r="1112">
      <x:c r="A1112" s="42" t="str">
        <x:v>Roger Ibañez</x:v>
      </x:c>
      <x:c r="B1112" s="42" t="n">
        <x:v>2028</x:v>
      </x:c>
      <x:c r="C1112" s="42" t="str">
        <x:v>T3</x:v>
      </x:c>
      <x:c r="D1112" s="44" t="n">
        <x:v>47026</x:v>
      </x:c>
      <x:c r="E1112" s="42" t="str">
        <x:v>Zagueiro</x:v>
      </x:c>
      <x:c r="F1112" s="42" t="str">
        <x:v>Al-Ahli SFC</x:v>
      </x:c>
      <x:c r="G1112" s="46"/>
      <x:c r="H1112" s="46"/>
      <x:c r="I1112" s="46"/>
      <x:c r="J1112" s="46"/>
      <x:c r="K1112" s="46" t="str">
        <x:f>IF(COUNT(G1112,I1112)=0,"",AVERAGE(G1112,I1112))</x:f>
      </x:c>
      <x:c r="L1112" s="46" t="str">
        <x:f>IF(COUNT(H1112,J1112)=0,"",AVERAGE(H1112,J1112))</x:f>
      </x:c>
      <x:c r="M1112" s="46" t="str">
        <x:f>IF(OR(K1112="",L1112=""),"",L1112-K1112)</x:f>
      </x:c>
      <x:c r="N1112" s="46" t="str">
        <x:f>IF(OR(K1112="",A1111&lt;&gt;A1112,K1111=""),"",K1112-K1111)</x:f>
      </x:c>
      <x:c r="O1112" s="42" t="str">
        <x:v>Sem informação</x:v>
      </x:c>
      <x:c r="P1112" s="42"/>
      <x:c r="Q1112" s="42" t="str"/>
      <x:c r="R1112" s="42" t="str"/>
      <x:c r="S1112" s="42" t="str"/>
      <x:c r="T1112" s="42" t="str"/>
    </x:row>
    <x:row r="1113">
      <x:c r="A1113" s="42" t="str">
        <x:v>Roger Ibañez</x:v>
      </x:c>
      <x:c r="B1113" s="42" t="n">
        <x:v>2028</x:v>
      </x:c>
      <x:c r="C1113" s="42" t="str">
        <x:v>T4</x:v>
      </x:c>
      <x:c r="D1113" s="44" t="n">
        <x:v>47118</x:v>
      </x:c>
      <x:c r="E1113" s="42" t="str">
        <x:v>Zagueiro</x:v>
      </x:c>
      <x:c r="F1113" s="42" t="str">
        <x:v>Al-Ahli SFC</x:v>
      </x:c>
      <x:c r="G1113" s="46"/>
      <x:c r="H1113" s="46"/>
      <x:c r="I1113" s="46"/>
      <x:c r="J1113" s="46"/>
      <x:c r="K1113" s="46" t="str">
        <x:f>IF(COUNT(G1113,I1113)=0,"",AVERAGE(G1113,I1113))</x:f>
      </x:c>
      <x:c r="L1113" s="46" t="str">
        <x:f>IF(COUNT(H1113,J1113)=0,"",AVERAGE(H1113,J1113))</x:f>
      </x:c>
      <x:c r="M1113" s="46" t="str">
        <x:f>IF(OR(K1113="",L1113=""),"",L1113-K1113)</x:f>
      </x:c>
      <x:c r="N1113" s="46" t="str">
        <x:f>IF(OR(K1113="",A1112&lt;&gt;A1113,K1112=""),"",K1113-K1112)</x:f>
      </x:c>
      <x:c r="O1113" s="42" t="str">
        <x:v>Sem informação</x:v>
      </x:c>
      <x:c r="P1113" s="42"/>
      <x:c r="Q1113" s="42" t="str"/>
      <x:c r="R1113" s="42" t="str"/>
      <x:c r="S1113" s="42" t="str"/>
      <x:c r="T1113" s="42" t="str"/>
    </x:row>
    <x:row r="1114">
      <x:c r="A1114" s="42" t="str">
        <x:v>Roger Ibañez</x:v>
      </x:c>
      <x:c r="B1114" s="42" t="n">
        <x:v>2029</x:v>
      </x:c>
      <x:c r="C1114" s="42" t="str">
        <x:v>T1</x:v>
      </x:c>
      <x:c r="D1114" s="44" t="n">
        <x:v>47208</x:v>
      </x:c>
      <x:c r="E1114" s="42" t="str">
        <x:v>Zagueiro</x:v>
      </x:c>
      <x:c r="F1114" s="42" t="str">
        <x:v>Al-Ahli SFC</x:v>
      </x:c>
      <x:c r="G1114" s="46"/>
      <x:c r="H1114" s="46"/>
      <x:c r="I1114" s="46"/>
      <x:c r="J1114" s="46"/>
      <x:c r="K1114" s="46" t="str">
        <x:f>IF(COUNT(G1114,I1114)=0,"",AVERAGE(G1114,I1114))</x:f>
      </x:c>
      <x:c r="L1114" s="46" t="str">
        <x:f>IF(COUNT(H1114,J1114)=0,"",AVERAGE(H1114,J1114))</x:f>
      </x:c>
      <x:c r="M1114" s="46" t="str">
        <x:f>IF(OR(K1114="",L1114=""),"",L1114-K1114)</x:f>
      </x:c>
      <x:c r="N1114" s="46" t="str">
        <x:f>IF(OR(K1114="",A1113&lt;&gt;A1114,K1113=""),"",K1114-K1113)</x:f>
      </x:c>
      <x:c r="O1114" s="42" t="str">
        <x:v>Sem informação</x:v>
      </x:c>
      <x:c r="P1114" s="42"/>
      <x:c r="Q1114" s="42" t="str"/>
      <x:c r="R1114" s="42" t="str"/>
      <x:c r="S1114" s="42" t="str"/>
      <x:c r="T1114" s="42" t="str"/>
    </x:row>
    <x:row r="1115">
      <x:c r="A1115" s="42" t="str">
        <x:v>Roger Ibañez</x:v>
      </x:c>
      <x:c r="B1115" s="42" t="n">
        <x:v>2029</x:v>
      </x:c>
      <x:c r="C1115" s="42" t="str">
        <x:v>T2</x:v>
      </x:c>
      <x:c r="D1115" s="44" t="n">
        <x:v>47299</x:v>
      </x:c>
      <x:c r="E1115" s="42" t="str">
        <x:v>Zagueiro</x:v>
      </x:c>
      <x:c r="F1115" s="42" t="str">
        <x:v>Al-Ahli SFC</x:v>
      </x:c>
      <x:c r="G1115" s="46"/>
      <x:c r="H1115" s="46"/>
      <x:c r="I1115" s="46"/>
      <x:c r="J1115" s="46"/>
      <x:c r="K1115" s="46" t="str">
        <x:f>IF(COUNT(G1115,I1115)=0,"",AVERAGE(G1115,I1115))</x:f>
      </x:c>
      <x:c r="L1115" s="46" t="str">
        <x:f>IF(COUNT(H1115,J1115)=0,"",AVERAGE(H1115,J1115))</x:f>
      </x:c>
      <x:c r="M1115" s="46" t="str">
        <x:f>IF(OR(K1115="",L1115=""),"",L1115-K1115)</x:f>
      </x:c>
      <x:c r="N1115" s="46" t="str">
        <x:f>IF(OR(K1115="",A1114&lt;&gt;A1115,K1114=""),"",K1115-K1114)</x:f>
      </x:c>
      <x:c r="O1115" s="42" t="str">
        <x:v>Sem informação</x:v>
      </x:c>
      <x:c r="P1115" s="42"/>
      <x:c r="Q1115" s="42" t="str"/>
      <x:c r="R1115" s="42" t="str"/>
      <x:c r="S1115" s="42" t="str"/>
      <x:c r="T1115" s="42" t="str"/>
    </x:row>
    <x:row r="1116">
      <x:c r="A1116" s="42" t="str">
        <x:v>Roger Ibañez</x:v>
      </x:c>
      <x:c r="B1116" s="42" t="n">
        <x:v>2029</x:v>
      </x:c>
      <x:c r="C1116" s="42" t="str">
        <x:v>T3</x:v>
      </x:c>
      <x:c r="D1116" s="44" t="n">
        <x:v>47391</x:v>
      </x:c>
      <x:c r="E1116" s="42" t="str">
        <x:v>Zagueiro</x:v>
      </x:c>
      <x:c r="F1116" s="42" t="str">
        <x:v>Al-Ahli SFC</x:v>
      </x:c>
      <x:c r="G1116" s="46"/>
      <x:c r="H1116" s="46"/>
      <x:c r="I1116" s="46"/>
      <x:c r="J1116" s="46"/>
      <x:c r="K1116" s="46" t="str">
        <x:f>IF(COUNT(G1116,I1116)=0,"",AVERAGE(G1116,I1116))</x:f>
      </x:c>
      <x:c r="L1116" s="46" t="str">
        <x:f>IF(COUNT(H1116,J1116)=0,"",AVERAGE(H1116,J1116))</x:f>
      </x:c>
      <x:c r="M1116" s="46" t="str">
        <x:f>IF(OR(K1116="",L1116=""),"",L1116-K1116)</x:f>
      </x:c>
      <x:c r="N1116" s="46" t="str">
        <x:f>IF(OR(K1116="",A1115&lt;&gt;A1116,K1115=""),"",K1116-K1115)</x:f>
      </x:c>
      <x:c r="O1116" s="42" t="str">
        <x:v>Sem informação</x:v>
      </x:c>
      <x:c r="P1116" s="42"/>
      <x:c r="Q1116" s="42" t="str"/>
      <x:c r="R1116" s="42" t="str"/>
      <x:c r="S1116" s="42" t="str"/>
      <x:c r="T1116" s="42" t="str"/>
    </x:row>
    <x:row r="1117">
      <x:c r="A1117" s="42" t="str">
        <x:v>Roger Ibañez</x:v>
      </x:c>
      <x:c r="B1117" s="42" t="n">
        <x:v>2029</x:v>
      </x:c>
      <x:c r="C1117" s="42" t="str">
        <x:v>T4</x:v>
      </x:c>
      <x:c r="D1117" s="44" t="n">
        <x:v>47483</x:v>
      </x:c>
      <x:c r="E1117" s="42" t="str">
        <x:v>Zagueiro</x:v>
      </x:c>
      <x:c r="F1117" s="42" t="str">
        <x:v>Al-Ahli SFC</x:v>
      </x:c>
      <x:c r="G1117" s="46"/>
      <x:c r="H1117" s="46"/>
      <x:c r="I1117" s="46"/>
      <x:c r="J1117" s="46"/>
      <x:c r="K1117" s="46" t="str">
        <x:f>IF(COUNT(G1117,I1117)=0,"",AVERAGE(G1117,I1117))</x:f>
      </x:c>
      <x:c r="L1117" s="46" t="str">
        <x:f>IF(COUNT(H1117,J1117)=0,"",AVERAGE(H1117,J1117))</x:f>
      </x:c>
      <x:c r="M1117" s="46" t="str">
        <x:f>IF(OR(K1117="",L1117=""),"",L1117-K1117)</x:f>
      </x:c>
      <x:c r="N1117" s="46" t="str">
        <x:f>IF(OR(K1117="",A1116&lt;&gt;A1117,K1116=""),"",K1117-K1116)</x:f>
      </x:c>
      <x:c r="O1117" s="42" t="str">
        <x:v>Sem informação</x:v>
      </x:c>
      <x:c r="P1117" s="42"/>
      <x:c r="Q1117" s="42" t="str"/>
      <x:c r="R1117" s="42" t="str"/>
      <x:c r="S1117" s="42" t="str"/>
      <x:c r="T1117" s="42" t="str"/>
    </x:row>
    <x:row r="1118">
      <x:c r="A1118" s="42" t="str">
        <x:v>Roger Ibañez</x:v>
      </x:c>
      <x:c r="B1118" s="42" t="n">
        <x:v>2030</x:v>
      </x:c>
      <x:c r="C1118" s="42" t="str">
        <x:v>T1</x:v>
      </x:c>
      <x:c r="D1118" s="44" t="n">
        <x:v>47573</x:v>
      </x:c>
      <x:c r="E1118" s="42" t="str">
        <x:v>Zagueiro</x:v>
      </x:c>
      <x:c r="F1118" s="42" t="str">
        <x:v>Al-Ahli SFC</x:v>
      </x:c>
      <x:c r="G1118" s="46"/>
      <x:c r="H1118" s="46"/>
      <x:c r="I1118" s="46"/>
      <x:c r="J1118" s="46"/>
      <x:c r="K1118" s="46" t="str">
        <x:f>IF(COUNT(G1118,I1118)=0,"",AVERAGE(G1118,I1118))</x:f>
      </x:c>
      <x:c r="L1118" s="46" t="str">
        <x:f>IF(COUNT(H1118,J1118)=0,"",AVERAGE(H1118,J1118))</x:f>
      </x:c>
      <x:c r="M1118" s="46" t="str">
        <x:f>IF(OR(K1118="",L1118=""),"",L1118-K1118)</x:f>
      </x:c>
      <x:c r="N1118" s="46" t="str">
        <x:f>IF(OR(K1118="",A1117&lt;&gt;A1118,K1117=""),"",K1118-K1117)</x:f>
      </x:c>
      <x:c r="O1118" s="42" t="str">
        <x:v>Sem informação</x:v>
      </x:c>
      <x:c r="P1118" s="42"/>
      <x:c r="Q1118" s="42" t="str"/>
      <x:c r="R1118" s="42" t="str"/>
      <x:c r="S1118" s="42" t="str"/>
      <x:c r="T1118" s="42" t="str"/>
    </x:row>
    <x:row r="1119">
      <x:c r="A1119" s="42" t="str">
        <x:v>Roger Ibañez</x:v>
      </x:c>
      <x:c r="B1119" s="42" t="n">
        <x:v>2030</x:v>
      </x:c>
      <x:c r="C1119" s="42" t="str">
        <x:v>T2</x:v>
      </x:c>
      <x:c r="D1119" s="44" t="n">
        <x:v>47664</x:v>
      </x:c>
      <x:c r="E1119" s="42" t="str">
        <x:v>Zagueiro</x:v>
      </x:c>
      <x:c r="F1119" s="42" t="str">
        <x:v>Al-Ahli SFC</x:v>
      </x:c>
      <x:c r="G1119" s="46"/>
      <x:c r="H1119" s="46"/>
      <x:c r="I1119" s="46"/>
      <x:c r="J1119" s="46"/>
      <x:c r="K1119" s="46" t="str">
        <x:f>IF(COUNT(G1119,I1119)=0,"",AVERAGE(G1119,I1119))</x:f>
      </x:c>
      <x:c r="L1119" s="46" t="str">
        <x:f>IF(COUNT(H1119,J1119)=0,"",AVERAGE(H1119,J1119))</x:f>
      </x:c>
      <x:c r="M1119" s="46" t="str">
        <x:f>IF(OR(K1119="",L1119=""),"",L1119-K1119)</x:f>
      </x:c>
      <x:c r="N1119" s="46" t="str">
        <x:f>IF(OR(K1119="",A1118&lt;&gt;A1119,K1118=""),"",K1119-K1118)</x:f>
      </x:c>
      <x:c r="O1119" s="42" t="str">
        <x:v>Sem informação</x:v>
      </x:c>
      <x:c r="P1119" s="42"/>
      <x:c r="Q1119" s="42" t="str"/>
      <x:c r="R1119" s="42" t="str"/>
      <x:c r="S1119" s="42" t="str"/>
      <x:c r="T1119" s="42" t="str"/>
    </x:row>
    <x:row r="1120">
      <x:c r="A1120" s="42" t="str">
        <x:v>Roger Ibañez</x:v>
      </x:c>
      <x:c r="B1120" s="42" t="n">
        <x:v>2030</x:v>
      </x:c>
      <x:c r="C1120" s="42" t="str">
        <x:v>T3</x:v>
      </x:c>
      <x:c r="D1120" s="44" t="n">
        <x:v>47756</x:v>
      </x:c>
      <x:c r="E1120" s="42" t="str">
        <x:v>Zagueiro</x:v>
      </x:c>
      <x:c r="F1120" s="42" t="str">
        <x:v>Al-Ahli SFC</x:v>
      </x:c>
      <x:c r="G1120" s="46"/>
      <x:c r="H1120" s="46"/>
      <x:c r="I1120" s="46"/>
      <x:c r="J1120" s="46"/>
      <x:c r="K1120" s="46" t="str">
        <x:f>IF(COUNT(G1120,I1120)=0,"",AVERAGE(G1120,I1120))</x:f>
      </x:c>
      <x:c r="L1120" s="46" t="str">
        <x:f>IF(COUNT(H1120,J1120)=0,"",AVERAGE(H1120,J1120))</x:f>
      </x:c>
      <x:c r="M1120" s="46" t="str">
        <x:f>IF(OR(K1120="",L1120=""),"",L1120-K1120)</x:f>
      </x:c>
      <x:c r="N1120" s="46" t="str">
        <x:f>IF(OR(K1120="",A1119&lt;&gt;A1120,K1119=""),"",K1120-K1119)</x:f>
      </x:c>
      <x:c r="O1120" s="42" t="str">
        <x:v>Sem informação</x:v>
      </x:c>
      <x:c r="P1120" s="42"/>
      <x:c r="Q1120" s="42" t="str"/>
      <x:c r="R1120" s="42" t="str"/>
      <x:c r="S1120" s="42" t="str"/>
      <x:c r="T1120" s="42" t="str"/>
    </x:row>
    <x:row r="1121">
      <x:c r="A1121" s="42" t="str">
        <x:v>Roger Ibañez</x:v>
      </x:c>
      <x:c r="B1121" s="42" t="n">
        <x:v>2030</x:v>
      </x:c>
      <x:c r="C1121" s="42" t="str">
        <x:v>T4</x:v>
      </x:c>
      <x:c r="D1121" s="44" t="n">
        <x:v>47848</x:v>
      </x:c>
      <x:c r="E1121" s="42" t="str">
        <x:v>Zagueiro</x:v>
      </x:c>
      <x:c r="F1121" s="42" t="str">
        <x:v>Al-Ahli SFC</x:v>
      </x:c>
      <x:c r="G1121" s="46"/>
      <x:c r="H1121" s="46"/>
      <x:c r="I1121" s="46"/>
      <x:c r="J1121" s="46"/>
      <x:c r="K1121" s="46" t="str">
        <x:f>IF(COUNT(G1121,I1121)=0,"",AVERAGE(G1121,I1121))</x:f>
      </x:c>
      <x:c r="L1121" s="46" t="str">
        <x:f>IF(COUNT(H1121,J1121)=0,"",AVERAGE(H1121,J1121))</x:f>
      </x:c>
      <x:c r="M1121" s="46" t="str">
        <x:f>IF(OR(K1121="",L1121=""),"",L1121-K1121)</x:f>
      </x:c>
      <x:c r="N1121" s="46" t="str">
        <x:f>IF(OR(K1121="",A1120&lt;&gt;A1121,K1120=""),"",K1121-K1120)</x:f>
      </x:c>
      <x:c r="O1121" s="42" t="str">
        <x:v>Sem informação</x:v>
      </x:c>
      <x:c r="P1121" s="42"/>
      <x:c r="Q1121" s="42" t="str"/>
      <x:c r="R1121" s="42" t="str"/>
      <x:c r="S1121" s="42" t="str"/>
      <x:c r="T1121" s="42" t="str"/>
    </x:row>
    <x:row r="1122">
      <x:c r="A1122" s="42" t="str">
        <x:v>Vanderson</x:v>
      </x:c>
      <x:c r="B1122" s="42" t="n">
        <x:v>2026</x:v>
      </x:c>
      <x:c r="C1122" s="42" t="str">
        <x:v>T1</x:v>
      </x:c>
      <x:c r="D1122" s="44" t="n">
        <x:v>46112</x:v>
      </x:c>
      <x:c r="E1122" s="42" t="str">
        <x:v>Lateral-direito</x:v>
      </x:c>
      <x:c r="F1122" s="42" t="str">
        <x:v>AS Monaco</x:v>
      </x:c>
      <x:c r="G1122" s="46"/>
      <x:c r="H1122" s="46"/>
      <x:c r="I1122" s="46"/>
      <x:c r="J1122" s="46"/>
      <x:c r="K1122" s="46" t="str">
        <x:f>IF(COUNT(G1122,I1122)=0,"",AVERAGE(G1122,I1122))</x:f>
      </x:c>
      <x:c r="L1122" s="46" t="str">
        <x:f>IF(COUNT(H1122,J1122)=0,"",AVERAGE(H1122,J1122))</x:f>
      </x:c>
      <x:c r="M1122" s="46" t="str">
        <x:f>IF(OR(K1122="",L1122=""),"",L1122-K1122)</x:f>
      </x:c>
      <x:c r="N1122" s="46" t="str">
        <x:f>IF(OR(K1122="",A1121&lt;&gt;A1122,K1121=""),"",K1122-K1121)</x:f>
      </x:c>
      <x:c r="O1122" s="42" t="str">
        <x:v>Sem informação</x:v>
      </x:c>
      <x:c r="P1122" s="42"/>
      <x:c r="Q1122" s="42" t="str"/>
      <x:c r="R1122" s="42" t="str"/>
      <x:c r="S1122" s="42" t="str"/>
      <x:c r="T1122" s="42" t="str"/>
    </x:row>
    <x:row r="1123">
      <x:c r="A1123" s="42" t="str">
        <x:v>Vanderson</x:v>
      </x:c>
      <x:c r="B1123" s="42" t="n">
        <x:v>2026</x:v>
      </x:c>
      <x:c r="C1123" s="42" t="str">
        <x:v>T2</x:v>
      </x:c>
      <x:c r="D1123" s="44" t="n">
        <x:v>46203</x:v>
      </x:c>
      <x:c r="E1123" s="42" t="str">
        <x:v>Lateral-direito</x:v>
      </x:c>
      <x:c r="F1123" s="42" t="str">
        <x:v>AS Monaco</x:v>
      </x:c>
      <x:c r="G1123" s="46" t="n">
        <x:v>7</x:v>
      </x:c>
      <x:c r="H1123" s="46" t="n">
        <x:v>7.5</x:v>
      </x:c>
      <x:c r="I1123" s="46" t="n">
        <x:v>6.5</x:v>
      </x:c>
      <x:c r="J1123" s="46" t="n">
        <x:v>7.5</x:v>
      </x:c>
      <x:c r="K1123" s="46" t="n">
        <x:f>IF(COUNT(G1123,I1123)=0,"",AVERAGE(G1123,I1123))</x:f>
        <x:v>6.75</x:v>
      </x:c>
      <x:c r="L1123" s="46" t="n">
        <x:f>IF(COUNT(H1123,J1123)=0,"",AVERAGE(H1123,J1123))</x:f>
        <x:v>7.5</x:v>
      </x:c>
      <x:c r="M1123" s="46" t="n">
        <x:f>IF(OR(K1123="",L1123=""),"",L1123-K1123)</x:f>
        <x:v>0.75</x:v>
      </x:c>
      <x:c r="N1123" s="46" t="str">
        <x:f>IF(OR(K1123="",A1122&lt;&gt;A1123,K1122=""),"",K1123-K1122)</x:f>
      </x:c>
      <x:c r="O1123" s="42" t="str">
        <x:v>Sem informação</x:v>
      </x:c>
      <x:c r="P1123" s="42"/>
      <x:c r="Q1123" s="42" t="str"/>
      <x:c r="R1123" s="42" t="str"/>
      <x:c r="S1123" s="42" t="str"/>
      <x:c r="T1123" s="42" t="str"/>
    </x:row>
    <x:row r="1124">
      <x:c r="A1124" s="42" t="str">
        <x:v>Vanderson</x:v>
      </x:c>
      <x:c r="B1124" s="42" t="n">
        <x:v>2026</x:v>
      </x:c>
      <x:c r="C1124" s="42" t="str">
        <x:v>T3</x:v>
      </x:c>
      <x:c r="D1124" s="44" t="n">
        <x:v>46295</x:v>
      </x:c>
      <x:c r="E1124" s="42" t="str">
        <x:v>Lateral-direito</x:v>
      </x:c>
      <x:c r="F1124" s="42" t="str">
        <x:v>AS Monaco</x:v>
      </x:c>
      <x:c r="G1124" s="46"/>
      <x:c r="H1124" s="46"/>
      <x:c r="I1124" s="46"/>
      <x:c r="J1124" s="46"/>
      <x:c r="K1124" s="46" t="str">
        <x:f>IF(COUNT(G1124,I1124)=0,"",AVERAGE(G1124,I1124))</x:f>
      </x:c>
      <x:c r="L1124" s="46" t="str">
        <x:f>IF(COUNT(H1124,J1124)=0,"",AVERAGE(H1124,J1124))</x:f>
      </x:c>
      <x:c r="M1124" s="46" t="str">
        <x:f>IF(OR(K1124="",L1124=""),"",L1124-K1124)</x:f>
      </x:c>
      <x:c r="N1124" s="46" t="str">
        <x:f>IF(OR(K1124="",A1123&lt;&gt;A1124,K1123=""),"",K1124-K1123)</x:f>
      </x:c>
      <x:c r="O1124" s="42" t="str">
        <x:v>Sem informação</x:v>
      </x:c>
      <x:c r="P1124" s="42"/>
      <x:c r="Q1124" s="42" t="str"/>
      <x:c r="R1124" s="42" t="str"/>
      <x:c r="S1124" s="42" t="str"/>
      <x:c r="T1124" s="42" t="str"/>
    </x:row>
    <x:row r="1125">
      <x:c r="A1125" s="42" t="str">
        <x:v>Vanderson</x:v>
      </x:c>
      <x:c r="B1125" s="42" t="n">
        <x:v>2026</x:v>
      </x:c>
      <x:c r="C1125" s="42" t="str">
        <x:v>T4</x:v>
      </x:c>
      <x:c r="D1125" s="44" t="n">
        <x:v>46387</x:v>
      </x:c>
      <x:c r="E1125" s="42" t="str">
        <x:v>Lateral-direito</x:v>
      </x:c>
      <x:c r="F1125" s="42" t="str">
        <x:v>AS Monaco</x:v>
      </x:c>
      <x:c r="G1125" s="46"/>
      <x:c r="H1125" s="46"/>
      <x:c r="I1125" s="46"/>
      <x:c r="J1125" s="46"/>
      <x:c r="K1125" s="46" t="str">
        <x:f>IF(COUNT(G1125,I1125)=0,"",AVERAGE(G1125,I1125))</x:f>
      </x:c>
      <x:c r="L1125" s="46" t="str">
        <x:f>IF(COUNT(H1125,J1125)=0,"",AVERAGE(H1125,J1125))</x:f>
      </x:c>
      <x:c r="M1125" s="46" t="str">
        <x:f>IF(OR(K1125="",L1125=""),"",L1125-K1125)</x:f>
      </x:c>
      <x:c r="N1125" s="46" t="str">
        <x:f>IF(OR(K1125="",A1124&lt;&gt;A1125,K1124=""),"",K1125-K1124)</x:f>
      </x:c>
      <x:c r="O1125" s="42" t="str">
        <x:v>Sem informação</x:v>
      </x:c>
      <x:c r="P1125" s="42"/>
      <x:c r="Q1125" s="42" t="str"/>
      <x:c r="R1125" s="42" t="str"/>
      <x:c r="S1125" s="42" t="str"/>
      <x:c r="T1125" s="42" t="str"/>
    </x:row>
    <x:row r="1126">
      <x:c r="A1126" s="42" t="str">
        <x:v>Vanderson</x:v>
      </x:c>
      <x:c r="B1126" s="42" t="n">
        <x:v>2027</x:v>
      </x:c>
      <x:c r="C1126" s="42" t="str">
        <x:v>T1</x:v>
      </x:c>
      <x:c r="D1126" s="44" t="n">
        <x:v>46477</x:v>
      </x:c>
      <x:c r="E1126" s="42" t="str">
        <x:v>Lateral-direito</x:v>
      </x:c>
      <x:c r="F1126" s="42" t="str">
        <x:v>AS Monaco</x:v>
      </x:c>
      <x:c r="G1126" s="46"/>
      <x:c r="H1126" s="46"/>
      <x:c r="I1126" s="46"/>
      <x:c r="J1126" s="46"/>
      <x:c r="K1126" s="46" t="str">
        <x:f>IF(COUNT(G1126,I1126)=0,"",AVERAGE(G1126,I1126))</x:f>
      </x:c>
      <x:c r="L1126" s="46" t="str">
        <x:f>IF(COUNT(H1126,J1126)=0,"",AVERAGE(H1126,J1126))</x:f>
      </x:c>
      <x:c r="M1126" s="46" t="str">
        <x:f>IF(OR(K1126="",L1126=""),"",L1126-K1126)</x:f>
      </x:c>
      <x:c r="N1126" s="46" t="str">
        <x:f>IF(OR(K1126="",A1125&lt;&gt;A1126,K1125=""),"",K1126-K1125)</x:f>
      </x:c>
      <x:c r="O1126" s="42" t="str">
        <x:v>Sem informação</x:v>
      </x:c>
      <x:c r="P1126" s="42"/>
      <x:c r="Q1126" s="42" t="str"/>
      <x:c r="R1126" s="42" t="str"/>
      <x:c r="S1126" s="42" t="str"/>
      <x:c r="T1126" s="42" t="str"/>
    </x:row>
    <x:row r="1127">
      <x:c r="A1127" s="42" t="str">
        <x:v>Vanderson</x:v>
      </x:c>
      <x:c r="B1127" s="42" t="n">
        <x:v>2027</x:v>
      </x:c>
      <x:c r="C1127" s="42" t="str">
        <x:v>T2</x:v>
      </x:c>
      <x:c r="D1127" s="44" t="n">
        <x:v>46568</x:v>
      </x:c>
      <x:c r="E1127" s="42" t="str">
        <x:v>Lateral-direito</x:v>
      </x:c>
      <x:c r="F1127" s="42" t="str">
        <x:v>AS Monaco</x:v>
      </x:c>
      <x:c r="G1127" s="46"/>
      <x:c r="H1127" s="46"/>
      <x:c r="I1127" s="46"/>
      <x:c r="J1127" s="46"/>
      <x:c r="K1127" s="46" t="str">
        <x:f>IF(COUNT(G1127,I1127)=0,"",AVERAGE(G1127,I1127))</x:f>
      </x:c>
      <x:c r="L1127" s="46" t="str">
        <x:f>IF(COUNT(H1127,J1127)=0,"",AVERAGE(H1127,J1127))</x:f>
      </x:c>
      <x:c r="M1127" s="46" t="str">
        <x:f>IF(OR(K1127="",L1127=""),"",L1127-K1127)</x:f>
      </x:c>
      <x:c r="N1127" s="46" t="str">
        <x:f>IF(OR(K1127="",A1126&lt;&gt;A1127,K1126=""),"",K1127-K1126)</x:f>
      </x:c>
      <x:c r="O1127" s="42" t="str">
        <x:v>Sem informação</x:v>
      </x:c>
      <x:c r="P1127" s="42"/>
      <x:c r="Q1127" s="42" t="str"/>
      <x:c r="R1127" s="42" t="str"/>
      <x:c r="S1127" s="42" t="str"/>
      <x:c r="T1127" s="42" t="str"/>
    </x:row>
    <x:row r="1128">
      <x:c r="A1128" s="42" t="str">
        <x:v>Vanderson</x:v>
      </x:c>
      <x:c r="B1128" s="42" t="n">
        <x:v>2027</x:v>
      </x:c>
      <x:c r="C1128" s="42" t="str">
        <x:v>T3</x:v>
      </x:c>
      <x:c r="D1128" s="44" t="n">
        <x:v>46660</x:v>
      </x:c>
      <x:c r="E1128" s="42" t="str">
        <x:v>Lateral-direito</x:v>
      </x:c>
      <x:c r="F1128" s="42" t="str">
        <x:v>AS Monaco</x:v>
      </x:c>
      <x:c r="G1128" s="46"/>
      <x:c r="H1128" s="46"/>
      <x:c r="I1128" s="46"/>
      <x:c r="J1128" s="46"/>
      <x:c r="K1128" s="46" t="str">
        <x:f>IF(COUNT(G1128,I1128)=0,"",AVERAGE(G1128,I1128))</x:f>
      </x:c>
      <x:c r="L1128" s="46" t="str">
        <x:f>IF(COUNT(H1128,J1128)=0,"",AVERAGE(H1128,J1128))</x:f>
      </x:c>
      <x:c r="M1128" s="46" t="str">
        <x:f>IF(OR(K1128="",L1128=""),"",L1128-K1128)</x:f>
      </x:c>
      <x:c r="N1128" s="46" t="str">
        <x:f>IF(OR(K1128="",A1127&lt;&gt;A1128,K1127=""),"",K1128-K1127)</x:f>
      </x:c>
      <x:c r="O1128" s="42" t="str">
        <x:v>Sem informação</x:v>
      </x:c>
      <x:c r="P1128" s="42"/>
      <x:c r="Q1128" s="42" t="str"/>
      <x:c r="R1128" s="42" t="str"/>
      <x:c r="S1128" s="42" t="str"/>
      <x:c r="T1128" s="42" t="str"/>
    </x:row>
    <x:row r="1129">
      <x:c r="A1129" s="42" t="str">
        <x:v>Vanderson</x:v>
      </x:c>
      <x:c r="B1129" s="42" t="n">
        <x:v>2027</x:v>
      </x:c>
      <x:c r="C1129" s="42" t="str">
        <x:v>T4</x:v>
      </x:c>
      <x:c r="D1129" s="44" t="n">
        <x:v>46752</x:v>
      </x:c>
      <x:c r="E1129" s="42" t="str">
        <x:v>Lateral-direito</x:v>
      </x:c>
      <x:c r="F1129" s="42" t="str">
        <x:v>AS Monaco</x:v>
      </x:c>
      <x:c r="G1129" s="46"/>
      <x:c r="H1129" s="46"/>
      <x:c r="I1129" s="46"/>
      <x:c r="J1129" s="46"/>
      <x:c r="K1129" s="46" t="str">
        <x:f>IF(COUNT(G1129,I1129)=0,"",AVERAGE(G1129,I1129))</x:f>
      </x:c>
      <x:c r="L1129" s="46" t="str">
        <x:f>IF(COUNT(H1129,J1129)=0,"",AVERAGE(H1129,J1129))</x:f>
      </x:c>
      <x:c r="M1129" s="46" t="str">
        <x:f>IF(OR(K1129="",L1129=""),"",L1129-K1129)</x:f>
      </x:c>
      <x:c r="N1129" s="46" t="str">
        <x:f>IF(OR(K1129="",A1128&lt;&gt;A1129,K1128=""),"",K1129-K1128)</x:f>
      </x:c>
      <x:c r="O1129" s="42" t="str">
        <x:v>Sem informação</x:v>
      </x:c>
      <x:c r="P1129" s="42"/>
      <x:c r="Q1129" s="42" t="str"/>
      <x:c r="R1129" s="42" t="str"/>
      <x:c r="S1129" s="42" t="str"/>
      <x:c r="T1129" s="42" t="str"/>
    </x:row>
    <x:row r="1130">
      <x:c r="A1130" s="42" t="str">
        <x:v>Vanderson</x:v>
      </x:c>
      <x:c r="B1130" s="42" t="n">
        <x:v>2028</x:v>
      </x:c>
      <x:c r="C1130" s="42" t="str">
        <x:v>T1</x:v>
      </x:c>
      <x:c r="D1130" s="44" t="n">
        <x:v>46843</x:v>
      </x:c>
      <x:c r="E1130" s="42" t="str">
        <x:v>Lateral-direito</x:v>
      </x:c>
      <x:c r="F1130" s="42" t="str">
        <x:v>AS Monaco</x:v>
      </x:c>
      <x:c r="G1130" s="46"/>
      <x:c r="H1130" s="46"/>
      <x:c r="I1130" s="46"/>
      <x:c r="J1130" s="46"/>
      <x:c r="K1130" s="46" t="str">
        <x:f>IF(COUNT(G1130,I1130)=0,"",AVERAGE(G1130,I1130))</x:f>
      </x:c>
      <x:c r="L1130" s="46" t="str">
        <x:f>IF(COUNT(H1130,J1130)=0,"",AVERAGE(H1130,J1130))</x:f>
      </x:c>
      <x:c r="M1130" s="46" t="str">
        <x:f>IF(OR(K1130="",L1130=""),"",L1130-K1130)</x:f>
      </x:c>
      <x:c r="N1130" s="46" t="str">
        <x:f>IF(OR(K1130="",A1129&lt;&gt;A1130,K1129=""),"",K1130-K1129)</x:f>
      </x:c>
      <x:c r="O1130" s="42" t="str">
        <x:v>Sem informação</x:v>
      </x:c>
      <x:c r="P1130" s="42"/>
      <x:c r="Q1130" s="42" t="str"/>
      <x:c r="R1130" s="42" t="str"/>
      <x:c r="S1130" s="42" t="str"/>
      <x:c r="T1130" s="42" t="str"/>
    </x:row>
    <x:row r="1131">
      <x:c r="A1131" s="42" t="str">
        <x:v>Vanderson</x:v>
      </x:c>
      <x:c r="B1131" s="42" t="n">
        <x:v>2028</x:v>
      </x:c>
      <x:c r="C1131" s="42" t="str">
        <x:v>T2</x:v>
      </x:c>
      <x:c r="D1131" s="44" t="n">
        <x:v>46934</x:v>
      </x:c>
      <x:c r="E1131" s="42" t="str">
        <x:v>Lateral-direito</x:v>
      </x:c>
      <x:c r="F1131" s="42" t="str">
        <x:v>AS Monaco</x:v>
      </x:c>
      <x:c r="G1131" s="46"/>
      <x:c r="H1131" s="46"/>
      <x:c r="I1131" s="46"/>
      <x:c r="J1131" s="46"/>
      <x:c r="K1131" s="46" t="str">
        <x:f>IF(COUNT(G1131,I1131)=0,"",AVERAGE(G1131,I1131))</x:f>
      </x:c>
      <x:c r="L1131" s="46" t="str">
        <x:f>IF(COUNT(H1131,J1131)=0,"",AVERAGE(H1131,J1131))</x:f>
      </x:c>
      <x:c r="M1131" s="46" t="str">
        <x:f>IF(OR(K1131="",L1131=""),"",L1131-K1131)</x:f>
      </x:c>
      <x:c r="N1131" s="46" t="str">
        <x:f>IF(OR(K1131="",A1130&lt;&gt;A1131,K1130=""),"",K1131-K1130)</x:f>
      </x:c>
      <x:c r="O1131" s="42" t="str">
        <x:v>Sem informação</x:v>
      </x:c>
      <x:c r="P1131" s="42"/>
      <x:c r="Q1131" s="42" t="str"/>
      <x:c r="R1131" s="42" t="str"/>
      <x:c r="S1131" s="42" t="str"/>
      <x:c r="T1131" s="42" t="str"/>
    </x:row>
    <x:row r="1132">
      <x:c r="A1132" s="42" t="str">
        <x:v>Vanderson</x:v>
      </x:c>
      <x:c r="B1132" s="42" t="n">
        <x:v>2028</x:v>
      </x:c>
      <x:c r="C1132" s="42" t="str">
        <x:v>T3</x:v>
      </x:c>
      <x:c r="D1132" s="44" t="n">
        <x:v>47026</x:v>
      </x:c>
      <x:c r="E1132" s="42" t="str">
        <x:v>Lateral-direito</x:v>
      </x:c>
      <x:c r="F1132" s="42" t="str">
        <x:v>AS Monaco</x:v>
      </x:c>
      <x:c r="G1132" s="46"/>
      <x:c r="H1132" s="46"/>
      <x:c r="I1132" s="46"/>
      <x:c r="J1132" s="46"/>
      <x:c r="K1132" s="46" t="str">
        <x:f>IF(COUNT(G1132,I1132)=0,"",AVERAGE(G1132,I1132))</x:f>
      </x:c>
      <x:c r="L1132" s="46" t="str">
        <x:f>IF(COUNT(H1132,J1132)=0,"",AVERAGE(H1132,J1132))</x:f>
      </x:c>
      <x:c r="M1132" s="46" t="str">
        <x:f>IF(OR(K1132="",L1132=""),"",L1132-K1132)</x:f>
      </x:c>
      <x:c r="N1132" s="46" t="str">
        <x:f>IF(OR(K1132="",A1131&lt;&gt;A1132,K1131=""),"",K1132-K1131)</x:f>
      </x:c>
      <x:c r="O1132" s="42" t="str">
        <x:v>Sem informação</x:v>
      </x:c>
      <x:c r="P1132" s="42"/>
      <x:c r="Q1132" s="42" t="str"/>
      <x:c r="R1132" s="42" t="str"/>
      <x:c r="S1132" s="42" t="str"/>
      <x:c r="T1132" s="42" t="str"/>
    </x:row>
    <x:row r="1133">
      <x:c r="A1133" s="42" t="str">
        <x:v>Vanderson</x:v>
      </x:c>
      <x:c r="B1133" s="42" t="n">
        <x:v>2028</x:v>
      </x:c>
      <x:c r="C1133" s="42" t="str">
        <x:v>T4</x:v>
      </x:c>
      <x:c r="D1133" s="44" t="n">
        <x:v>47118</x:v>
      </x:c>
      <x:c r="E1133" s="42" t="str">
        <x:v>Lateral-direito</x:v>
      </x:c>
      <x:c r="F1133" s="42" t="str">
        <x:v>AS Monaco</x:v>
      </x:c>
      <x:c r="G1133" s="46"/>
      <x:c r="H1133" s="46"/>
      <x:c r="I1133" s="46"/>
      <x:c r="J1133" s="46"/>
      <x:c r="K1133" s="46" t="str">
        <x:f>IF(COUNT(G1133,I1133)=0,"",AVERAGE(G1133,I1133))</x:f>
      </x:c>
      <x:c r="L1133" s="46" t="str">
        <x:f>IF(COUNT(H1133,J1133)=0,"",AVERAGE(H1133,J1133))</x:f>
      </x:c>
      <x:c r="M1133" s="46" t="str">
        <x:f>IF(OR(K1133="",L1133=""),"",L1133-K1133)</x:f>
      </x:c>
      <x:c r="N1133" s="46" t="str">
        <x:f>IF(OR(K1133="",A1132&lt;&gt;A1133,K1132=""),"",K1133-K1132)</x:f>
      </x:c>
      <x:c r="O1133" s="42" t="str">
        <x:v>Sem informação</x:v>
      </x:c>
      <x:c r="P1133" s="42"/>
      <x:c r="Q1133" s="42" t="str"/>
      <x:c r="R1133" s="42" t="str"/>
      <x:c r="S1133" s="42" t="str"/>
      <x:c r="T1133" s="42" t="str"/>
    </x:row>
    <x:row r="1134">
      <x:c r="A1134" s="42" t="str">
        <x:v>Vanderson</x:v>
      </x:c>
      <x:c r="B1134" s="42" t="n">
        <x:v>2029</x:v>
      </x:c>
      <x:c r="C1134" s="42" t="str">
        <x:v>T1</x:v>
      </x:c>
      <x:c r="D1134" s="44" t="n">
        <x:v>47208</x:v>
      </x:c>
      <x:c r="E1134" s="42" t="str">
        <x:v>Lateral-direito</x:v>
      </x:c>
      <x:c r="F1134" s="42" t="str">
        <x:v>AS Monaco</x:v>
      </x:c>
      <x:c r="G1134" s="46"/>
      <x:c r="H1134" s="46"/>
      <x:c r="I1134" s="46"/>
      <x:c r="J1134" s="46"/>
      <x:c r="K1134" s="46" t="str">
        <x:f>IF(COUNT(G1134,I1134)=0,"",AVERAGE(G1134,I1134))</x:f>
      </x:c>
      <x:c r="L1134" s="46" t="str">
        <x:f>IF(COUNT(H1134,J1134)=0,"",AVERAGE(H1134,J1134))</x:f>
      </x:c>
      <x:c r="M1134" s="46" t="str">
        <x:f>IF(OR(K1134="",L1134=""),"",L1134-K1134)</x:f>
      </x:c>
      <x:c r="N1134" s="46" t="str">
        <x:f>IF(OR(K1134="",A1133&lt;&gt;A1134,K1133=""),"",K1134-K1133)</x:f>
      </x:c>
      <x:c r="O1134" s="42" t="str">
        <x:v>Sem informação</x:v>
      </x:c>
      <x:c r="P1134" s="42"/>
      <x:c r="Q1134" s="42" t="str"/>
      <x:c r="R1134" s="42" t="str"/>
      <x:c r="S1134" s="42" t="str"/>
      <x:c r="T1134" s="42" t="str"/>
    </x:row>
    <x:row r="1135">
      <x:c r="A1135" s="42" t="str">
        <x:v>Vanderson</x:v>
      </x:c>
      <x:c r="B1135" s="42" t="n">
        <x:v>2029</x:v>
      </x:c>
      <x:c r="C1135" s="42" t="str">
        <x:v>T2</x:v>
      </x:c>
      <x:c r="D1135" s="44" t="n">
        <x:v>47299</x:v>
      </x:c>
      <x:c r="E1135" s="42" t="str">
        <x:v>Lateral-direito</x:v>
      </x:c>
      <x:c r="F1135" s="42" t="str">
        <x:v>AS Monaco</x:v>
      </x:c>
      <x:c r="G1135" s="46"/>
      <x:c r="H1135" s="46"/>
      <x:c r="I1135" s="46"/>
      <x:c r="J1135" s="46"/>
      <x:c r="K1135" s="46" t="str">
        <x:f>IF(COUNT(G1135,I1135)=0,"",AVERAGE(G1135,I1135))</x:f>
      </x:c>
      <x:c r="L1135" s="46" t="str">
        <x:f>IF(COUNT(H1135,J1135)=0,"",AVERAGE(H1135,J1135))</x:f>
      </x:c>
      <x:c r="M1135" s="46" t="str">
        <x:f>IF(OR(K1135="",L1135=""),"",L1135-K1135)</x:f>
      </x:c>
      <x:c r="N1135" s="46" t="str">
        <x:f>IF(OR(K1135="",A1134&lt;&gt;A1135,K1134=""),"",K1135-K1134)</x:f>
      </x:c>
      <x:c r="O1135" s="42" t="str">
        <x:v>Sem informação</x:v>
      </x:c>
      <x:c r="P1135" s="42"/>
      <x:c r="Q1135" s="42" t="str"/>
      <x:c r="R1135" s="42" t="str"/>
      <x:c r="S1135" s="42" t="str"/>
      <x:c r="T1135" s="42" t="str"/>
    </x:row>
    <x:row r="1136">
      <x:c r="A1136" s="42" t="str">
        <x:v>Vanderson</x:v>
      </x:c>
      <x:c r="B1136" s="42" t="n">
        <x:v>2029</x:v>
      </x:c>
      <x:c r="C1136" s="42" t="str">
        <x:v>T3</x:v>
      </x:c>
      <x:c r="D1136" s="44" t="n">
        <x:v>47391</x:v>
      </x:c>
      <x:c r="E1136" s="42" t="str">
        <x:v>Lateral-direito</x:v>
      </x:c>
      <x:c r="F1136" s="42" t="str">
        <x:v>AS Monaco</x:v>
      </x:c>
      <x:c r="G1136" s="46"/>
      <x:c r="H1136" s="46"/>
      <x:c r="I1136" s="46"/>
      <x:c r="J1136" s="46"/>
      <x:c r="K1136" s="46" t="str">
        <x:f>IF(COUNT(G1136,I1136)=0,"",AVERAGE(G1136,I1136))</x:f>
      </x:c>
      <x:c r="L1136" s="46" t="str">
        <x:f>IF(COUNT(H1136,J1136)=0,"",AVERAGE(H1136,J1136))</x:f>
      </x:c>
      <x:c r="M1136" s="46" t="str">
        <x:f>IF(OR(K1136="",L1136=""),"",L1136-K1136)</x:f>
      </x:c>
      <x:c r="N1136" s="46" t="str">
        <x:f>IF(OR(K1136="",A1135&lt;&gt;A1136,K1135=""),"",K1136-K1135)</x:f>
      </x:c>
      <x:c r="O1136" s="42" t="str">
        <x:v>Sem informação</x:v>
      </x:c>
      <x:c r="P1136" s="42"/>
      <x:c r="Q1136" s="42" t="str"/>
      <x:c r="R1136" s="42" t="str"/>
      <x:c r="S1136" s="42" t="str"/>
      <x:c r="T1136" s="42" t="str"/>
    </x:row>
    <x:row r="1137">
      <x:c r="A1137" s="42" t="str">
        <x:v>Vanderson</x:v>
      </x:c>
      <x:c r="B1137" s="42" t="n">
        <x:v>2029</x:v>
      </x:c>
      <x:c r="C1137" s="42" t="str">
        <x:v>T4</x:v>
      </x:c>
      <x:c r="D1137" s="44" t="n">
        <x:v>47483</x:v>
      </x:c>
      <x:c r="E1137" s="42" t="str">
        <x:v>Lateral-direito</x:v>
      </x:c>
      <x:c r="F1137" s="42" t="str">
        <x:v>AS Monaco</x:v>
      </x:c>
      <x:c r="G1137" s="46"/>
      <x:c r="H1137" s="46"/>
      <x:c r="I1137" s="46"/>
      <x:c r="J1137" s="46"/>
      <x:c r="K1137" s="46" t="str">
        <x:f>IF(COUNT(G1137,I1137)=0,"",AVERAGE(G1137,I1137))</x:f>
      </x:c>
      <x:c r="L1137" s="46" t="str">
        <x:f>IF(COUNT(H1137,J1137)=0,"",AVERAGE(H1137,J1137))</x:f>
      </x:c>
      <x:c r="M1137" s="46" t="str">
        <x:f>IF(OR(K1137="",L1137=""),"",L1137-K1137)</x:f>
      </x:c>
      <x:c r="N1137" s="46" t="str">
        <x:f>IF(OR(K1137="",A1136&lt;&gt;A1137,K1136=""),"",K1137-K1136)</x:f>
      </x:c>
      <x:c r="O1137" s="42" t="str">
        <x:v>Sem informação</x:v>
      </x:c>
      <x:c r="P1137" s="42"/>
      <x:c r="Q1137" s="42" t="str"/>
      <x:c r="R1137" s="42" t="str"/>
      <x:c r="S1137" s="42" t="str"/>
      <x:c r="T1137" s="42" t="str"/>
    </x:row>
    <x:row r="1138">
      <x:c r="A1138" s="42" t="str">
        <x:v>Vanderson</x:v>
      </x:c>
      <x:c r="B1138" s="42" t="n">
        <x:v>2030</x:v>
      </x:c>
      <x:c r="C1138" s="42" t="str">
        <x:v>T1</x:v>
      </x:c>
      <x:c r="D1138" s="44" t="n">
        <x:v>47573</x:v>
      </x:c>
      <x:c r="E1138" s="42" t="str">
        <x:v>Lateral-direito</x:v>
      </x:c>
      <x:c r="F1138" s="42" t="str">
        <x:v>AS Monaco</x:v>
      </x:c>
      <x:c r="G1138" s="46"/>
      <x:c r="H1138" s="46"/>
      <x:c r="I1138" s="46"/>
      <x:c r="J1138" s="46"/>
      <x:c r="K1138" s="46" t="str">
        <x:f>IF(COUNT(G1138,I1138)=0,"",AVERAGE(G1138,I1138))</x:f>
      </x:c>
      <x:c r="L1138" s="46" t="str">
        <x:f>IF(COUNT(H1138,J1138)=0,"",AVERAGE(H1138,J1138))</x:f>
      </x:c>
      <x:c r="M1138" s="46" t="str">
        <x:f>IF(OR(K1138="",L1138=""),"",L1138-K1138)</x:f>
      </x:c>
      <x:c r="N1138" s="46" t="str">
        <x:f>IF(OR(K1138="",A1137&lt;&gt;A1138,K1137=""),"",K1138-K1137)</x:f>
      </x:c>
      <x:c r="O1138" s="42" t="str">
        <x:v>Sem informação</x:v>
      </x:c>
      <x:c r="P1138" s="42"/>
      <x:c r="Q1138" s="42" t="str"/>
      <x:c r="R1138" s="42" t="str"/>
      <x:c r="S1138" s="42" t="str"/>
      <x:c r="T1138" s="42" t="str"/>
    </x:row>
    <x:row r="1139">
      <x:c r="A1139" s="42" t="str">
        <x:v>Vanderson</x:v>
      </x:c>
      <x:c r="B1139" s="42" t="n">
        <x:v>2030</x:v>
      </x:c>
      <x:c r="C1139" s="42" t="str">
        <x:v>T2</x:v>
      </x:c>
      <x:c r="D1139" s="44" t="n">
        <x:v>47664</x:v>
      </x:c>
      <x:c r="E1139" s="42" t="str">
        <x:v>Lateral-direito</x:v>
      </x:c>
      <x:c r="F1139" s="42" t="str">
        <x:v>AS Monaco</x:v>
      </x:c>
      <x:c r="G1139" s="46"/>
      <x:c r="H1139" s="46"/>
      <x:c r="I1139" s="46"/>
      <x:c r="J1139" s="46"/>
      <x:c r="K1139" s="46" t="str">
        <x:f>IF(COUNT(G1139,I1139)=0,"",AVERAGE(G1139,I1139))</x:f>
      </x:c>
      <x:c r="L1139" s="46" t="str">
        <x:f>IF(COUNT(H1139,J1139)=0,"",AVERAGE(H1139,J1139))</x:f>
      </x:c>
      <x:c r="M1139" s="46" t="str">
        <x:f>IF(OR(K1139="",L1139=""),"",L1139-K1139)</x:f>
      </x:c>
      <x:c r="N1139" s="46" t="str">
        <x:f>IF(OR(K1139="",A1138&lt;&gt;A1139,K1138=""),"",K1139-K1138)</x:f>
      </x:c>
      <x:c r="O1139" s="42" t="str">
        <x:v>Sem informação</x:v>
      </x:c>
      <x:c r="P1139" s="42"/>
      <x:c r="Q1139" s="42" t="str"/>
      <x:c r="R1139" s="42" t="str"/>
      <x:c r="S1139" s="42" t="str"/>
      <x:c r="T1139" s="42" t="str"/>
    </x:row>
    <x:row r="1140">
      <x:c r="A1140" s="42" t="str">
        <x:v>Vanderson</x:v>
      </x:c>
      <x:c r="B1140" s="42" t="n">
        <x:v>2030</x:v>
      </x:c>
      <x:c r="C1140" s="42" t="str">
        <x:v>T3</x:v>
      </x:c>
      <x:c r="D1140" s="44" t="n">
        <x:v>47756</x:v>
      </x:c>
      <x:c r="E1140" s="42" t="str">
        <x:v>Lateral-direito</x:v>
      </x:c>
      <x:c r="F1140" s="42" t="str">
        <x:v>AS Monaco</x:v>
      </x:c>
      <x:c r="G1140" s="46"/>
      <x:c r="H1140" s="46"/>
      <x:c r="I1140" s="46"/>
      <x:c r="J1140" s="46"/>
      <x:c r="K1140" s="46" t="str">
        <x:f>IF(COUNT(G1140,I1140)=0,"",AVERAGE(G1140,I1140))</x:f>
      </x:c>
      <x:c r="L1140" s="46" t="str">
        <x:f>IF(COUNT(H1140,J1140)=0,"",AVERAGE(H1140,J1140))</x:f>
      </x:c>
      <x:c r="M1140" s="46" t="str">
        <x:f>IF(OR(K1140="",L1140=""),"",L1140-K1140)</x:f>
      </x:c>
      <x:c r="N1140" s="46" t="str">
        <x:f>IF(OR(K1140="",A1139&lt;&gt;A1140,K1139=""),"",K1140-K1139)</x:f>
      </x:c>
      <x:c r="O1140" s="42" t="str">
        <x:v>Sem informação</x:v>
      </x:c>
      <x:c r="P1140" s="42"/>
      <x:c r="Q1140" s="42" t="str"/>
      <x:c r="R1140" s="42" t="str"/>
      <x:c r="S1140" s="42" t="str"/>
      <x:c r="T1140" s="42" t="str"/>
    </x:row>
    <x:row r="1141">
      <x:c r="A1141" s="42" t="str">
        <x:v>Vanderson</x:v>
      </x:c>
      <x:c r="B1141" s="42" t="n">
        <x:v>2030</x:v>
      </x:c>
      <x:c r="C1141" s="42" t="str">
        <x:v>T4</x:v>
      </x:c>
      <x:c r="D1141" s="44" t="n">
        <x:v>47848</x:v>
      </x:c>
      <x:c r="E1141" s="42" t="str">
        <x:v>Lateral-direito</x:v>
      </x:c>
      <x:c r="F1141" s="42" t="str">
        <x:v>AS Monaco</x:v>
      </x:c>
      <x:c r="G1141" s="46"/>
      <x:c r="H1141" s="46"/>
      <x:c r="I1141" s="46"/>
      <x:c r="J1141" s="46"/>
      <x:c r="K1141" s="46" t="str">
        <x:f>IF(COUNT(G1141,I1141)=0,"",AVERAGE(G1141,I1141))</x:f>
      </x:c>
      <x:c r="L1141" s="46" t="str">
        <x:f>IF(COUNT(H1141,J1141)=0,"",AVERAGE(H1141,J1141))</x:f>
      </x:c>
      <x:c r="M1141" s="46" t="str">
        <x:f>IF(OR(K1141="",L1141=""),"",L1141-K1141)</x:f>
      </x:c>
      <x:c r="N1141" s="46" t="str">
        <x:f>IF(OR(K1141="",A1140&lt;&gt;A1141,K1140=""),"",K1141-K1140)</x:f>
      </x:c>
      <x:c r="O1141" s="42" t="str">
        <x:v>Sem informação</x:v>
      </x:c>
      <x:c r="P1141" s="42"/>
      <x:c r="Q1141" s="42" t="str"/>
      <x:c r="R1141" s="42" t="str"/>
      <x:c r="S1141" s="42" t="str"/>
      <x:c r="T1141" s="42" t="str"/>
    </x:row>
    <x:row r="1142">
      <x:c r="A1142" s="42" t="str">
        <x:v>Vitor Roque</x:v>
      </x:c>
      <x:c r="B1142" s="42" t="n">
        <x:v>2026</x:v>
      </x:c>
      <x:c r="C1142" s="42" t="str">
        <x:v>T1</x:v>
      </x:c>
      <x:c r="D1142" s="44" t="n">
        <x:v>46112</x:v>
      </x:c>
      <x:c r="E1142" s="42" t="str">
        <x:v>Centroavante</x:v>
      </x:c>
      <x:c r="F1142" s="42" t="str">
        <x:v>SE Palmeiras</x:v>
      </x:c>
      <x:c r="G1142" s="46"/>
      <x:c r="H1142" s="46"/>
      <x:c r="I1142" s="46"/>
      <x:c r="J1142" s="46"/>
      <x:c r="K1142" s="46" t="str">
        <x:f>IF(COUNT(G1142,I1142)=0,"",AVERAGE(G1142,I1142))</x:f>
      </x:c>
      <x:c r="L1142" s="46" t="str">
        <x:f>IF(COUNT(H1142,J1142)=0,"",AVERAGE(H1142,J1142))</x:f>
      </x:c>
      <x:c r="M1142" s="46" t="str">
        <x:f>IF(OR(K1142="",L1142=""),"",L1142-K1142)</x:f>
      </x:c>
      <x:c r="N1142" s="46" t="str">
        <x:f>IF(OR(K1142="",A1141&lt;&gt;A1142,K1141=""),"",K1142-K1141)</x:f>
      </x:c>
      <x:c r="O1142" s="42" t="str">
        <x:v>Sem informação</x:v>
      </x:c>
      <x:c r="P1142" s="42"/>
      <x:c r="Q1142" s="42" t="str"/>
      <x:c r="R1142" s="42" t="str"/>
      <x:c r="S1142" s="42" t="str"/>
      <x:c r="T1142" s="42" t="str"/>
    </x:row>
    <x:row r="1143">
      <x:c r="A1143" s="42" t="str">
        <x:v>Vitor Roque</x:v>
      </x:c>
      <x:c r="B1143" s="42" t="n">
        <x:v>2026</x:v>
      </x:c>
      <x:c r="C1143" s="42" t="str">
        <x:v>T2</x:v>
      </x:c>
      <x:c r="D1143" s="44" t="n">
        <x:v>46203</x:v>
      </x:c>
      <x:c r="E1143" s="42" t="str">
        <x:v>Centroavante</x:v>
      </x:c>
      <x:c r="F1143" s="42" t="str">
        <x:v>SE Palmeiras</x:v>
      </x:c>
      <x:c r="G1143" s="46" t="n">
        <x:v>6.5</x:v>
      </x:c>
      <x:c r="H1143" s="46" t="n">
        <x:v>8</x:v>
      </x:c>
      <x:c r="I1143" s="46" t="n">
        <x:v>7</x:v>
      </x:c>
      <x:c r="J1143" s="46" t="n">
        <x:v>9</x:v>
      </x:c>
      <x:c r="K1143" s="46" t="n">
        <x:f>IF(COUNT(G1143,I1143)=0,"",AVERAGE(G1143,I1143))</x:f>
        <x:v>6.75</x:v>
      </x:c>
      <x:c r="L1143" s="46" t="n">
        <x:f>IF(COUNT(H1143,J1143)=0,"",AVERAGE(H1143,J1143))</x:f>
        <x:v>8.5</x:v>
      </x:c>
      <x:c r="M1143" s="46" t="n">
        <x:f>IF(OR(K1143="",L1143=""),"",L1143-K1143)</x:f>
        <x:v>1.75</x:v>
      </x:c>
      <x:c r="N1143" s="46" t="str">
        <x:f>IF(OR(K1143="",A1142&lt;&gt;A1143,K1142=""),"",K1143-K1142)</x:f>
      </x:c>
      <x:c r="O1143" s="42" t="str">
        <x:v>Sem informação</x:v>
      </x:c>
      <x:c r="P1143" s="42"/>
      <x:c r="Q1143" s="42" t="str"/>
      <x:c r="R1143" s="42" t="str"/>
      <x:c r="S1143" s="42" t="str"/>
      <x:c r="T1143" s="42" t="str"/>
    </x:row>
    <x:row r="1144">
      <x:c r="A1144" s="42" t="str">
        <x:v>Vitor Roque</x:v>
      </x:c>
      <x:c r="B1144" s="42" t="n">
        <x:v>2026</x:v>
      </x:c>
      <x:c r="C1144" s="42" t="str">
        <x:v>T3</x:v>
      </x:c>
      <x:c r="D1144" s="44" t="n">
        <x:v>46295</x:v>
      </x:c>
      <x:c r="E1144" s="42" t="str">
        <x:v>Centroavante</x:v>
      </x:c>
      <x:c r="F1144" s="42" t="str">
        <x:v>SE Palmeiras</x:v>
      </x:c>
      <x:c r="G1144" s="46"/>
      <x:c r="H1144" s="46"/>
      <x:c r="I1144" s="46"/>
      <x:c r="J1144" s="46"/>
      <x:c r="K1144" s="46" t="str">
        <x:f>IF(COUNT(G1144,I1144)=0,"",AVERAGE(G1144,I1144))</x:f>
      </x:c>
      <x:c r="L1144" s="46" t="str">
        <x:f>IF(COUNT(H1144,J1144)=0,"",AVERAGE(H1144,J1144))</x:f>
      </x:c>
      <x:c r="M1144" s="46" t="str">
        <x:f>IF(OR(K1144="",L1144=""),"",L1144-K1144)</x:f>
      </x:c>
      <x:c r="N1144" s="46" t="str">
        <x:f>IF(OR(K1144="",A1143&lt;&gt;A1144,K1143=""),"",K1144-K1143)</x:f>
      </x:c>
      <x:c r="O1144" s="42" t="str">
        <x:v>Sem informação</x:v>
      </x:c>
      <x:c r="P1144" s="42"/>
      <x:c r="Q1144" s="42" t="str"/>
      <x:c r="R1144" s="42" t="str"/>
      <x:c r="S1144" s="42" t="str"/>
      <x:c r="T1144" s="42" t="str"/>
    </x:row>
    <x:row r="1145">
      <x:c r="A1145" s="42" t="str">
        <x:v>Vitor Roque</x:v>
      </x:c>
      <x:c r="B1145" s="42" t="n">
        <x:v>2026</x:v>
      </x:c>
      <x:c r="C1145" s="42" t="str">
        <x:v>T4</x:v>
      </x:c>
      <x:c r="D1145" s="44" t="n">
        <x:v>46387</x:v>
      </x:c>
      <x:c r="E1145" s="42" t="str">
        <x:v>Centroavante</x:v>
      </x:c>
      <x:c r="F1145" s="42" t="str">
        <x:v>SE Palmeiras</x:v>
      </x:c>
      <x:c r="G1145" s="46"/>
      <x:c r="H1145" s="46"/>
      <x:c r="I1145" s="46"/>
      <x:c r="J1145" s="46"/>
      <x:c r="K1145" s="46" t="str">
        <x:f>IF(COUNT(G1145,I1145)=0,"",AVERAGE(G1145,I1145))</x:f>
      </x:c>
      <x:c r="L1145" s="46" t="str">
        <x:f>IF(COUNT(H1145,J1145)=0,"",AVERAGE(H1145,J1145))</x:f>
      </x:c>
      <x:c r="M1145" s="46" t="str">
        <x:f>IF(OR(K1145="",L1145=""),"",L1145-K1145)</x:f>
      </x:c>
      <x:c r="N1145" s="46" t="str">
        <x:f>IF(OR(K1145="",A1144&lt;&gt;A1145,K1144=""),"",K1145-K1144)</x:f>
      </x:c>
      <x:c r="O1145" s="42" t="str">
        <x:v>Sem informação</x:v>
      </x:c>
      <x:c r="P1145" s="42"/>
      <x:c r="Q1145" s="42" t="str"/>
      <x:c r="R1145" s="42" t="str"/>
      <x:c r="S1145" s="42" t="str"/>
      <x:c r="T1145" s="42" t="str"/>
    </x:row>
    <x:row r="1146">
      <x:c r="A1146" s="42" t="str">
        <x:v>Vitor Roque</x:v>
      </x:c>
      <x:c r="B1146" s="42" t="n">
        <x:v>2027</x:v>
      </x:c>
      <x:c r="C1146" s="42" t="str">
        <x:v>T1</x:v>
      </x:c>
      <x:c r="D1146" s="44" t="n">
        <x:v>46477</x:v>
      </x:c>
      <x:c r="E1146" s="42" t="str">
        <x:v>Centroavante</x:v>
      </x:c>
      <x:c r="F1146" s="42" t="str">
        <x:v>SE Palmeiras</x:v>
      </x:c>
      <x:c r="G1146" s="46"/>
      <x:c r="H1146" s="46"/>
      <x:c r="I1146" s="46"/>
      <x:c r="J1146" s="46"/>
      <x:c r="K1146" s="46" t="str">
        <x:f>IF(COUNT(G1146,I1146)=0,"",AVERAGE(G1146,I1146))</x:f>
      </x:c>
      <x:c r="L1146" s="46" t="str">
        <x:f>IF(COUNT(H1146,J1146)=0,"",AVERAGE(H1146,J1146))</x:f>
      </x:c>
      <x:c r="M1146" s="46" t="str">
        <x:f>IF(OR(K1146="",L1146=""),"",L1146-K1146)</x:f>
      </x:c>
      <x:c r="N1146" s="46" t="str">
        <x:f>IF(OR(K1146="",A1145&lt;&gt;A1146,K1145=""),"",K1146-K1145)</x:f>
      </x:c>
      <x:c r="O1146" s="42" t="str">
        <x:v>Sem informação</x:v>
      </x:c>
      <x:c r="P1146" s="42"/>
      <x:c r="Q1146" s="42" t="str"/>
      <x:c r="R1146" s="42" t="str"/>
      <x:c r="S1146" s="42" t="str"/>
      <x:c r="T1146" s="42" t="str"/>
    </x:row>
    <x:row r="1147">
      <x:c r="A1147" s="42" t="str">
        <x:v>Vitor Roque</x:v>
      </x:c>
      <x:c r="B1147" s="42" t="n">
        <x:v>2027</x:v>
      </x:c>
      <x:c r="C1147" s="42" t="str">
        <x:v>T2</x:v>
      </x:c>
      <x:c r="D1147" s="44" t="n">
        <x:v>46568</x:v>
      </x:c>
      <x:c r="E1147" s="42" t="str">
        <x:v>Centroavante</x:v>
      </x:c>
      <x:c r="F1147" s="42" t="str">
        <x:v>SE Palmeiras</x:v>
      </x:c>
      <x:c r="G1147" s="46"/>
      <x:c r="H1147" s="46"/>
      <x:c r="I1147" s="46"/>
      <x:c r="J1147" s="46"/>
      <x:c r="K1147" s="46" t="str">
        <x:f>IF(COUNT(G1147,I1147)=0,"",AVERAGE(G1147,I1147))</x:f>
      </x:c>
      <x:c r="L1147" s="46" t="str">
        <x:f>IF(COUNT(H1147,J1147)=0,"",AVERAGE(H1147,J1147))</x:f>
      </x:c>
      <x:c r="M1147" s="46" t="str">
        <x:f>IF(OR(K1147="",L1147=""),"",L1147-K1147)</x:f>
      </x:c>
      <x:c r="N1147" s="46" t="str">
        <x:f>IF(OR(K1147="",A1146&lt;&gt;A1147,K1146=""),"",K1147-K1146)</x:f>
      </x:c>
      <x:c r="O1147" s="42" t="str">
        <x:v>Sem informação</x:v>
      </x:c>
      <x:c r="P1147" s="42"/>
      <x:c r="Q1147" s="42" t="str"/>
      <x:c r="R1147" s="42" t="str"/>
      <x:c r="S1147" s="42" t="str"/>
      <x:c r="T1147" s="42" t="str"/>
    </x:row>
    <x:row r="1148">
      <x:c r="A1148" s="42" t="str">
        <x:v>Vitor Roque</x:v>
      </x:c>
      <x:c r="B1148" s="42" t="n">
        <x:v>2027</x:v>
      </x:c>
      <x:c r="C1148" s="42" t="str">
        <x:v>T3</x:v>
      </x:c>
      <x:c r="D1148" s="44" t="n">
        <x:v>46660</x:v>
      </x:c>
      <x:c r="E1148" s="42" t="str">
        <x:v>Centroavante</x:v>
      </x:c>
      <x:c r="F1148" s="42" t="str">
        <x:v>SE Palmeiras</x:v>
      </x:c>
      <x:c r="G1148" s="46"/>
      <x:c r="H1148" s="46"/>
      <x:c r="I1148" s="46"/>
      <x:c r="J1148" s="46"/>
      <x:c r="K1148" s="46" t="str">
        <x:f>IF(COUNT(G1148,I1148)=0,"",AVERAGE(G1148,I1148))</x:f>
      </x:c>
      <x:c r="L1148" s="46" t="str">
        <x:f>IF(COUNT(H1148,J1148)=0,"",AVERAGE(H1148,J1148))</x:f>
      </x:c>
      <x:c r="M1148" s="46" t="str">
        <x:f>IF(OR(K1148="",L1148=""),"",L1148-K1148)</x:f>
      </x:c>
      <x:c r="N1148" s="46" t="str">
        <x:f>IF(OR(K1148="",A1147&lt;&gt;A1148,K1147=""),"",K1148-K1147)</x:f>
      </x:c>
      <x:c r="O1148" s="42" t="str">
        <x:v>Sem informação</x:v>
      </x:c>
      <x:c r="P1148" s="42"/>
      <x:c r="Q1148" s="42" t="str"/>
      <x:c r="R1148" s="42" t="str"/>
      <x:c r="S1148" s="42" t="str"/>
      <x:c r="T1148" s="42" t="str"/>
    </x:row>
    <x:row r="1149">
      <x:c r="A1149" s="42" t="str">
        <x:v>Vitor Roque</x:v>
      </x:c>
      <x:c r="B1149" s="42" t="n">
        <x:v>2027</x:v>
      </x:c>
      <x:c r="C1149" s="42" t="str">
        <x:v>T4</x:v>
      </x:c>
      <x:c r="D1149" s="44" t="n">
        <x:v>46752</x:v>
      </x:c>
      <x:c r="E1149" s="42" t="str">
        <x:v>Centroavante</x:v>
      </x:c>
      <x:c r="F1149" s="42" t="str">
        <x:v>SE Palmeiras</x:v>
      </x:c>
      <x:c r="G1149" s="46"/>
      <x:c r="H1149" s="46"/>
      <x:c r="I1149" s="46"/>
      <x:c r="J1149" s="46"/>
      <x:c r="K1149" s="46" t="str">
        <x:f>IF(COUNT(G1149,I1149)=0,"",AVERAGE(G1149,I1149))</x:f>
      </x:c>
      <x:c r="L1149" s="46" t="str">
        <x:f>IF(COUNT(H1149,J1149)=0,"",AVERAGE(H1149,J1149))</x:f>
      </x:c>
      <x:c r="M1149" s="46" t="str">
        <x:f>IF(OR(K1149="",L1149=""),"",L1149-K1149)</x:f>
      </x:c>
      <x:c r="N1149" s="46" t="str">
        <x:f>IF(OR(K1149="",A1148&lt;&gt;A1149,K1148=""),"",K1149-K1148)</x:f>
      </x:c>
      <x:c r="O1149" s="42" t="str">
        <x:v>Sem informação</x:v>
      </x:c>
      <x:c r="P1149" s="42"/>
      <x:c r="Q1149" s="42" t="str"/>
      <x:c r="R1149" s="42" t="str"/>
      <x:c r="S1149" s="42" t="str"/>
      <x:c r="T1149" s="42" t="str"/>
    </x:row>
    <x:row r="1150">
      <x:c r="A1150" s="42" t="str">
        <x:v>Vitor Roque</x:v>
      </x:c>
      <x:c r="B1150" s="42" t="n">
        <x:v>2028</x:v>
      </x:c>
      <x:c r="C1150" s="42" t="str">
        <x:v>T1</x:v>
      </x:c>
      <x:c r="D1150" s="44" t="n">
        <x:v>46843</x:v>
      </x:c>
      <x:c r="E1150" s="42" t="str">
        <x:v>Centroavante</x:v>
      </x:c>
      <x:c r="F1150" s="42" t="str">
        <x:v>SE Palmeiras</x:v>
      </x:c>
      <x:c r="G1150" s="46"/>
      <x:c r="H1150" s="46"/>
      <x:c r="I1150" s="46"/>
      <x:c r="J1150" s="46"/>
      <x:c r="K1150" s="46" t="str">
        <x:f>IF(COUNT(G1150,I1150)=0,"",AVERAGE(G1150,I1150))</x:f>
      </x:c>
      <x:c r="L1150" s="46" t="str">
        <x:f>IF(COUNT(H1150,J1150)=0,"",AVERAGE(H1150,J1150))</x:f>
      </x:c>
      <x:c r="M1150" s="46" t="str">
        <x:f>IF(OR(K1150="",L1150=""),"",L1150-K1150)</x:f>
      </x:c>
      <x:c r="N1150" s="46" t="str">
        <x:f>IF(OR(K1150="",A1149&lt;&gt;A1150,K1149=""),"",K1150-K1149)</x:f>
      </x:c>
      <x:c r="O1150" s="42" t="str">
        <x:v>Sem informação</x:v>
      </x:c>
      <x:c r="P1150" s="42"/>
      <x:c r="Q1150" s="42" t="str"/>
      <x:c r="R1150" s="42" t="str"/>
      <x:c r="S1150" s="42" t="str"/>
      <x:c r="T1150" s="42" t="str"/>
    </x:row>
    <x:row r="1151">
      <x:c r="A1151" s="42" t="str">
        <x:v>Vitor Roque</x:v>
      </x:c>
      <x:c r="B1151" s="42" t="n">
        <x:v>2028</x:v>
      </x:c>
      <x:c r="C1151" s="42" t="str">
        <x:v>T2</x:v>
      </x:c>
      <x:c r="D1151" s="44" t="n">
        <x:v>46934</x:v>
      </x:c>
      <x:c r="E1151" s="42" t="str">
        <x:v>Centroavante</x:v>
      </x:c>
      <x:c r="F1151" s="42" t="str">
        <x:v>SE Palmeiras</x:v>
      </x:c>
      <x:c r="G1151" s="46"/>
      <x:c r="H1151" s="46"/>
      <x:c r="I1151" s="46"/>
      <x:c r="J1151" s="46"/>
      <x:c r="K1151" s="46" t="str">
        <x:f>IF(COUNT(G1151,I1151)=0,"",AVERAGE(G1151,I1151))</x:f>
      </x:c>
      <x:c r="L1151" s="46" t="str">
        <x:f>IF(COUNT(H1151,J1151)=0,"",AVERAGE(H1151,J1151))</x:f>
      </x:c>
      <x:c r="M1151" s="46" t="str">
        <x:f>IF(OR(K1151="",L1151=""),"",L1151-K1151)</x:f>
      </x:c>
      <x:c r="N1151" s="46" t="str">
        <x:f>IF(OR(K1151="",A1150&lt;&gt;A1151,K1150=""),"",K1151-K1150)</x:f>
      </x:c>
      <x:c r="O1151" s="42" t="str">
        <x:v>Sem informação</x:v>
      </x:c>
      <x:c r="P1151" s="42"/>
      <x:c r="Q1151" s="42" t="str"/>
      <x:c r="R1151" s="42" t="str"/>
      <x:c r="S1151" s="42" t="str"/>
      <x:c r="T1151" s="42" t="str"/>
    </x:row>
    <x:row r="1152">
      <x:c r="A1152" s="42" t="str">
        <x:v>Vitor Roque</x:v>
      </x:c>
      <x:c r="B1152" s="42" t="n">
        <x:v>2028</x:v>
      </x:c>
      <x:c r="C1152" s="42" t="str">
        <x:v>T3</x:v>
      </x:c>
      <x:c r="D1152" s="44" t="n">
        <x:v>47026</x:v>
      </x:c>
      <x:c r="E1152" s="42" t="str">
        <x:v>Centroavante</x:v>
      </x:c>
      <x:c r="F1152" s="42" t="str">
        <x:v>SE Palmeiras</x:v>
      </x:c>
      <x:c r="G1152" s="46"/>
      <x:c r="H1152" s="46"/>
      <x:c r="I1152" s="46"/>
      <x:c r="J1152" s="46"/>
      <x:c r="K1152" s="46" t="str">
        <x:f>IF(COUNT(G1152,I1152)=0,"",AVERAGE(G1152,I1152))</x:f>
      </x:c>
      <x:c r="L1152" s="46" t="str">
        <x:f>IF(COUNT(H1152,J1152)=0,"",AVERAGE(H1152,J1152))</x:f>
      </x:c>
      <x:c r="M1152" s="46" t="str">
        <x:f>IF(OR(K1152="",L1152=""),"",L1152-K1152)</x:f>
      </x:c>
      <x:c r="N1152" s="46" t="str">
        <x:f>IF(OR(K1152="",A1151&lt;&gt;A1152,K1151=""),"",K1152-K1151)</x:f>
      </x:c>
      <x:c r="O1152" s="42" t="str">
        <x:v>Sem informação</x:v>
      </x:c>
      <x:c r="P1152" s="42"/>
      <x:c r="Q1152" s="42" t="str"/>
      <x:c r="R1152" s="42" t="str"/>
      <x:c r="S1152" s="42" t="str"/>
      <x:c r="T1152" s="42" t="str"/>
    </x:row>
    <x:row r="1153">
      <x:c r="A1153" s="42" t="str">
        <x:v>Vitor Roque</x:v>
      </x:c>
      <x:c r="B1153" s="42" t="n">
        <x:v>2028</x:v>
      </x:c>
      <x:c r="C1153" s="42" t="str">
        <x:v>T4</x:v>
      </x:c>
      <x:c r="D1153" s="44" t="n">
        <x:v>47118</x:v>
      </x:c>
      <x:c r="E1153" s="42" t="str">
        <x:v>Centroavante</x:v>
      </x:c>
      <x:c r="F1153" s="42" t="str">
        <x:v>SE Palmeiras</x:v>
      </x:c>
      <x:c r="G1153" s="46"/>
      <x:c r="H1153" s="46"/>
      <x:c r="I1153" s="46"/>
      <x:c r="J1153" s="46"/>
      <x:c r="K1153" s="46" t="str">
        <x:f>IF(COUNT(G1153,I1153)=0,"",AVERAGE(G1153,I1153))</x:f>
      </x:c>
      <x:c r="L1153" s="46" t="str">
        <x:f>IF(COUNT(H1153,J1153)=0,"",AVERAGE(H1153,J1153))</x:f>
      </x:c>
      <x:c r="M1153" s="46" t="str">
        <x:f>IF(OR(K1153="",L1153=""),"",L1153-K1153)</x:f>
      </x:c>
      <x:c r="N1153" s="46" t="str">
        <x:f>IF(OR(K1153="",A1152&lt;&gt;A1153,K1152=""),"",K1153-K1152)</x:f>
      </x:c>
      <x:c r="O1153" s="42" t="str">
        <x:v>Sem informação</x:v>
      </x:c>
      <x:c r="P1153" s="42"/>
      <x:c r="Q1153" s="42" t="str"/>
      <x:c r="R1153" s="42" t="str"/>
      <x:c r="S1153" s="42" t="str"/>
      <x:c r="T1153" s="42" t="str"/>
    </x:row>
    <x:row r="1154">
      <x:c r="A1154" s="42" t="str">
        <x:v>Vitor Roque</x:v>
      </x:c>
      <x:c r="B1154" s="42" t="n">
        <x:v>2029</x:v>
      </x:c>
      <x:c r="C1154" s="42" t="str">
        <x:v>T1</x:v>
      </x:c>
      <x:c r="D1154" s="44" t="n">
        <x:v>47208</x:v>
      </x:c>
      <x:c r="E1154" s="42" t="str">
        <x:v>Centroavante</x:v>
      </x:c>
      <x:c r="F1154" s="42" t="str">
        <x:v>SE Palmeiras</x:v>
      </x:c>
      <x:c r="G1154" s="46"/>
      <x:c r="H1154" s="46"/>
      <x:c r="I1154" s="46"/>
      <x:c r="J1154" s="46"/>
      <x:c r="K1154" s="46" t="str">
        <x:f>IF(COUNT(G1154,I1154)=0,"",AVERAGE(G1154,I1154))</x:f>
      </x:c>
      <x:c r="L1154" s="46" t="str">
        <x:f>IF(COUNT(H1154,J1154)=0,"",AVERAGE(H1154,J1154))</x:f>
      </x:c>
      <x:c r="M1154" s="46" t="str">
        <x:f>IF(OR(K1154="",L1154=""),"",L1154-K1154)</x:f>
      </x:c>
      <x:c r="N1154" s="46" t="str">
        <x:f>IF(OR(K1154="",A1153&lt;&gt;A1154,K1153=""),"",K1154-K1153)</x:f>
      </x:c>
      <x:c r="O1154" s="42" t="str">
        <x:v>Sem informação</x:v>
      </x:c>
      <x:c r="P1154" s="42"/>
      <x:c r="Q1154" s="42" t="str"/>
      <x:c r="R1154" s="42" t="str"/>
      <x:c r="S1154" s="42" t="str"/>
      <x:c r="T1154" s="42" t="str"/>
    </x:row>
    <x:row r="1155">
      <x:c r="A1155" s="42" t="str">
        <x:v>Vitor Roque</x:v>
      </x:c>
      <x:c r="B1155" s="42" t="n">
        <x:v>2029</x:v>
      </x:c>
      <x:c r="C1155" s="42" t="str">
        <x:v>T2</x:v>
      </x:c>
      <x:c r="D1155" s="44" t="n">
        <x:v>47299</x:v>
      </x:c>
      <x:c r="E1155" s="42" t="str">
        <x:v>Centroavante</x:v>
      </x:c>
      <x:c r="F1155" s="42" t="str">
        <x:v>SE Palmeiras</x:v>
      </x:c>
      <x:c r="G1155" s="46"/>
      <x:c r="H1155" s="46"/>
      <x:c r="I1155" s="46"/>
      <x:c r="J1155" s="46"/>
      <x:c r="K1155" s="46" t="str">
        <x:f>IF(COUNT(G1155,I1155)=0,"",AVERAGE(G1155,I1155))</x:f>
      </x:c>
      <x:c r="L1155" s="46" t="str">
        <x:f>IF(COUNT(H1155,J1155)=0,"",AVERAGE(H1155,J1155))</x:f>
      </x:c>
      <x:c r="M1155" s="46" t="str">
        <x:f>IF(OR(K1155="",L1155=""),"",L1155-K1155)</x:f>
      </x:c>
      <x:c r="N1155" s="46" t="str">
        <x:f>IF(OR(K1155="",A1154&lt;&gt;A1155,K1154=""),"",K1155-K1154)</x:f>
      </x:c>
      <x:c r="O1155" s="42" t="str">
        <x:v>Sem informação</x:v>
      </x:c>
      <x:c r="P1155" s="42"/>
      <x:c r="Q1155" s="42" t="str"/>
      <x:c r="R1155" s="42" t="str"/>
      <x:c r="S1155" s="42" t="str"/>
      <x:c r="T1155" s="42" t="str"/>
    </x:row>
    <x:row r="1156">
      <x:c r="A1156" s="42" t="str">
        <x:v>Vitor Roque</x:v>
      </x:c>
      <x:c r="B1156" s="42" t="n">
        <x:v>2029</x:v>
      </x:c>
      <x:c r="C1156" s="42" t="str">
        <x:v>T3</x:v>
      </x:c>
      <x:c r="D1156" s="44" t="n">
        <x:v>47391</x:v>
      </x:c>
      <x:c r="E1156" s="42" t="str">
        <x:v>Centroavante</x:v>
      </x:c>
      <x:c r="F1156" s="42" t="str">
        <x:v>SE Palmeiras</x:v>
      </x:c>
      <x:c r="G1156" s="46"/>
      <x:c r="H1156" s="46"/>
      <x:c r="I1156" s="46"/>
      <x:c r="J1156" s="46"/>
      <x:c r="K1156" s="46" t="str">
        <x:f>IF(COUNT(G1156,I1156)=0,"",AVERAGE(G1156,I1156))</x:f>
      </x:c>
      <x:c r="L1156" s="46" t="str">
        <x:f>IF(COUNT(H1156,J1156)=0,"",AVERAGE(H1156,J1156))</x:f>
      </x:c>
      <x:c r="M1156" s="46" t="str">
        <x:f>IF(OR(K1156="",L1156=""),"",L1156-K1156)</x:f>
      </x:c>
      <x:c r="N1156" s="46" t="str">
        <x:f>IF(OR(K1156="",A1155&lt;&gt;A1156,K1155=""),"",K1156-K1155)</x:f>
      </x:c>
      <x:c r="O1156" s="42" t="str">
        <x:v>Sem informação</x:v>
      </x:c>
      <x:c r="P1156" s="42"/>
      <x:c r="Q1156" s="42" t="str"/>
      <x:c r="R1156" s="42" t="str"/>
      <x:c r="S1156" s="42" t="str"/>
      <x:c r="T1156" s="42" t="str"/>
    </x:row>
    <x:row r="1157">
      <x:c r="A1157" s="42" t="str">
        <x:v>Vitor Roque</x:v>
      </x:c>
      <x:c r="B1157" s="42" t="n">
        <x:v>2029</x:v>
      </x:c>
      <x:c r="C1157" s="42" t="str">
        <x:v>T4</x:v>
      </x:c>
      <x:c r="D1157" s="44" t="n">
        <x:v>47483</x:v>
      </x:c>
      <x:c r="E1157" s="42" t="str">
        <x:v>Centroavante</x:v>
      </x:c>
      <x:c r="F1157" s="42" t="str">
        <x:v>SE Palmeiras</x:v>
      </x:c>
      <x:c r="G1157" s="46"/>
      <x:c r="H1157" s="46"/>
      <x:c r="I1157" s="46"/>
      <x:c r="J1157" s="46"/>
      <x:c r="K1157" s="46" t="str">
        <x:f>IF(COUNT(G1157,I1157)=0,"",AVERAGE(G1157,I1157))</x:f>
      </x:c>
      <x:c r="L1157" s="46" t="str">
        <x:f>IF(COUNT(H1157,J1157)=0,"",AVERAGE(H1157,J1157))</x:f>
      </x:c>
      <x:c r="M1157" s="46" t="str">
        <x:f>IF(OR(K1157="",L1157=""),"",L1157-K1157)</x:f>
      </x:c>
      <x:c r="N1157" s="46" t="str">
        <x:f>IF(OR(K1157="",A1156&lt;&gt;A1157,K1156=""),"",K1157-K1156)</x:f>
      </x:c>
      <x:c r="O1157" s="42" t="str">
        <x:v>Sem informação</x:v>
      </x:c>
      <x:c r="P1157" s="42"/>
      <x:c r="Q1157" s="42" t="str"/>
      <x:c r="R1157" s="42" t="str"/>
      <x:c r="S1157" s="42" t="str"/>
      <x:c r="T1157" s="42" t="str"/>
    </x:row>
    <x:row r="1158">
      <x:c r="A1158" s="42" t="str">
        <x:v>Vitor Roque</x:v>
      </x:c>
      <x:c r="B1158" s="42" t="n">
        <x:v>2030</x:v>
      </x:c>
      <x:c r="C1158" s="42" t="str">
        <x:v>T1</x:v>
      </x:c>
      <x:c r="D1158" s="44" t="n">
        <x:v>47573</x:v>
      </x:c>
      <x:c r="E1158" s="42" t="str">
        <x:v>Centroavante</x:v>
      </x:c>
      <x:c r="F1158" s="42" t="str">
        <x:v>SE Palmeiras</x:v>
      </x:c>
      <x:c r="G1158" s="46"/>
      <x:c r="H1158" s="46"/>
      <x:c r="I1158" s="46"/>
      <x:c r="J1158" s="46"/>
      <x:c r="K1158" s="46" t="str">
        <x:f>IF(COUNT(G1158,I1158)=0,"",AVERAGE(G1158,I1158))</x:f>
      </x:c>
      <x:c r="L1158" s="46" t="str">
        <x:f>IF(COUNT(H1158,J1158)=0,"",AVERAGE(H1158,J1158))</x:f>
      </x:c>
      <x:c r="M1158" s="46" t="str">
        <x:f>IF(OR(K1158="",L1158=""),"",L1158-K1158)</x:f>
      </x:c>
      <x:c r="N1158" s="46" t="str">
        <x:f>IF(OR(K1158="",A1157&lt;&gt;A1158,K1157=""),"",K1158-K1157)</x:f>
      </x:c>
      <x:c r="O1158" s="42" t="str">
        <x:v>Sem informação</x:v>
      </x:c>
      <x:c r="P1158" s="42"/>
      <x:c r="Q1158" s="42" t="str"/>
      <x:c r="R1158" s="42" t="str"/>
      <x:c r="S1158" s="42" t="str"/>
      <x:c r="T1158" s="42" t="str"/>
    </x:row>
    <x:row r="1159">
      <x:c r="A1159" s="42" t="str">
        <x:v>Vitor Roque</x:v>
      </x:c>
      <x:c r="B1159" s="42" t="n">
        <x:v>2030</x:v>
      </x:c>
      <x:c r="C1159" s="42" t="str">
        <x:v>T2</x:v>
      </x:c>
      <x:c r="D1159" s="44" t="n">
        <x:v>47664</x:v>
      </x:c>
      <x:c r="E1159" s="42" t="str">
        <x:v>Centroavante</x:v>
      </x:c>
      <x:c r="F1159" s="42" t="str">
        <x:v>SE Palmeiras</x:v>
      </x:c>
      <x:c r="G1159" s="46"/>
      <x:c r="H1159" s="46"/>
      <x:c r="I1159" s="46"/>
      <x:c r="J1159" s="46"/>
      <x:c r="K1159" s="46" t="str">
        <x:f>IF(COUNT(G1159,I1159)=0,"",AVERAGE(G1159,I1159))</x:f>
      </x:c>
      <x:c r="L1159" s="46" t="str">
        <x:f>IF(COUNT(H1159,J1159)=0,"",AVERAGE(H1159,J1159))</x:f>
      </x:c>
      <x:c r="M1159" s="46" t="str">
        <x:f>IF(OR(K1159="",L1159=""),"",L1159-K1159)</x:f>
      </x:c>
      <x:c r="N1159" s="46" t="str">
        <x:f>IF(OR(K1159="",A1158&lt;&gt;A1159,K1158=""),"",K1159-K1158)</x:f>
      </x:c>
      <x:c r="O1159" s="42" t="str">
        <x:v>Sem informação</x:v>
      </x:c>
      <x:c r="P1159" s="42"/>
      <x:c r="Q1159" s="42" t="str"/>
      <x:c r="R1159" s="42" t="str"/>
      <x:c r="S1159" s="42" t="str"/>
      <x:c r="T1159" s="42" t="str"/>
    </x:row>
    <x:row r="1160">
      <x:c r="A1160" s="42" t="str">
        <x:v>Vitor Roque</x:v>
      </x:c>
      <x:c r="B1160" s="42" t="n">
        <x:v>2030</x:v>
      </x:c>
      <x:c r="C1160" s="42" t="str">
        <x:v>T3</x:v>
      </x:c>
      <x:c r="D1160" s="44" t="n">
        <x:v>47756</x:v>
      </x:c>
      <x:c r="E1160" s="42" t="str">
        <x:v>Centroavante</x:v>
      </x:c>
      <x:c r="F1160" s="42" t="str">
        <x:v>SE Palmeiras</x:v>
      </x:c>
      <x:c r="G1160" s="46"/>
      <x:c r="H1160" s="46"/>
      <x:c r="I1160" s="46"/>
      <x:c r="J1160" s="46"/>
      <x:c r="K1160" s="46" t="str">
        <x:f>IF(COUNT(G1160,I1160)=0,"",AVERAGE(G1160,I1160))</x:f>
      </x:c>
      <x:c r="L1160" s="46" t="str">
        <x:f>IF(COUNT(H1160,J1160)=0,"",AVERAGE(H1160,J1160))</x:f>
      </x:c>
      <x:c r="M1160" s="46" t="str">
        <x:f>IF(OR(K1160="",L1160=""),"",L1160-K1160)</x:f>
      </x:c>
      <x:c r="N1160" s="46" t="str">
        <x:f>IF(OR(K1160="",A1159&lt;&gt;A1160,K1159=""),"",K1160-K1159)</x:f>
      </x:c>
      <x:c r="O1160" s="42" t="str">
        <x:v>Sem informação</x:v>
      </x:c>
      <x:c r="P1160" s="42"/>
      <x:c r="Q1160" s="42" t="str"/>
      <x:c r="R1160" s="42" t="str"/>
      <x:c r="S1160" s="42" t="str"/>
      <x:c r="T1160" s="42" t="str"/>
    </x:row>
    <x:row r="1161">
      <x:c r="A1161" s="42" t="str">
        <x:v>Vitor Roque</x:v>
      </x:c>
      <x:c r="B1161" s="42" t="n">
        <x:v>2030</x:v>
      </x:c>
      <x:c r="C1161" s="42" t="str">
        <x:v>T4</x:v>
      </x:c>
      <x:c r="D1161" s="44" t="n">
        <x:v>47848</x:v>
      </x:c>
      <x:c r="E1161" s="42" t="str">
        <x:v>Centroavante</x:v>
      </x:c>
      <x:c r="F1161" s="42" t="str">
        <x:v>SE Palmeiras</x:v>
      </x:c>
      <x:c r="G1161" s="46"/>
      <x:c r="H1161" s="46"/>
      <x:c r="I1161" s="46"/>
      <x:c r="J1161" s="46"/>
      <x:c r="K1161" s="46" t="str">
        <x:f>IF(COUNT(G1161,I1161)=0,"",AVERAGE(G1161,I1161))</x:f>
      </x:c>
      <x:c r="L1161" s="46" t="str">
        <x:f>IF(COUNT(H1161,J1161)=0,"",AVERAGE(H1161,J1161))</x:f>
      </x:c>
      <x:c r="M1161" s="46" t="str">
        <x:f>IF(OR(K1161="",L1161=""),"",L1161-K1161)</x:f>
      </x:c>
      <x:c r="N1161" s="46" t="str">
        <x:f>IF(OR(K1161="",A1160&lt;&gt;A1161,K1160=""),"",K1161-K1160)</x:f>
      </x:c>
      <x:c r="O1161" s="42" t="str">
        <x:v>Sem informação</x:v>
      </x:c>
      <x:c r="P1161" s="42"/>
      <x:c r="Q1161" s="42" t="str"/>
      <x:c r="R1161" s="42" t="str"/>
      <x:c r="S1161" s="42" t="str"/>
      <x:c r="T1161" s="42" t="str"/>
    </x:row>
    <x:row r="1162">
      <x:c r="A1162" s="42" t="str">
        <x:v>William Gomes</x:v>
      </x:c>
      <x:c r="B1162" s="42" t="n">
        <x:v>2026</x:v>
      </x:c>
      <x:c r="C1162" s="42" t="str">
        <x:v>T1</x:v>
      </x:c>
      <x:c r="D1162" s="44" t="n">
        <x:v>46112</x:v>
      </x:c>
      <x:c r="E1162" s="42" t="str">
        <x:v>Ponta-direita</x:v>
      </x:c>
      <x:c r="F1162" s="42" t="str">
        <x:v>FC Porto</x:v>
      </x:c>
      <x:c r="G1162" s="46"/>
      <x:c r="H1162" s="46"/>
      <x:c r="I1162" s="46"/>
      <x:c r="J1162" s="46"/>
      <x:c r="K1162" s="46" t="str">
        <x:f>IF(COUNT(G1162,I1162)=0,"",AVERAGE(G1162,I1162))</x:f>
      </x:c>
      <x:c r="L1162" s="46" t="str">
        <x:f>IF(COUNT(H1162,J1162)=0,"",AVERAGE(H1162,J1162))</x:f>
      </x:c>
      <x:c r="M1162" s="46" t="str">
        <x:f>IF(OR(K1162="",L1162=""),"",L1162-K1162)</x:f>
      </x:c>
      <x:c r="N1162" s="46" t="str">
        <x:f>IF(OR(K1162="",A1161&lt;&gt;A1162,K1161=""),"",K1162-K1161)</x:f>
      </x:c>
      <x:c r="O1162" s="42" t="str">
        <x:v>Sem informação</x:v>
      </x:c>
      <x:c r="P1162" s="42"/>
      <x:c r="Q1162" s="42" t="str"/>
      <x:c r="R1162" s="42" t="str"/>
      <x:c r="S1162" s="42" t="str"/>
      <x:c r="T1162" s="42" t="str"/>
    </x:row>
    <x:row r="1163">
      <x:c r="A1163" s="42" t="str">
        <x:v>William Gomes</x:v>
      </x:c>
      <x:c r="B1163" s="42" t="n">
        <x:v>2026</x:v>
      </x:c>
      <x:c r="C1163" s="42" t="str">
        <x:v>T2</x:v>
      </x:c>
      <x:c r="D1163" s="44" t="n">
        <x:v>46203</x:v>
      </x:c>
      <x:c r="E1163" s="42" t="str">
        <x:v>Ponta-direita</x:v>
      </x:c>
      <x:c r="F1163" s="42" t="str">
        <x:v>FC Porto</x:v>
      </x:c>
      <x:c r="G1163" s="46"/>
      <x:c r="H1163" s="46"/>
      <x:c r="I1163" s="46"/>
      <x:c r="J1163" s="46"/>
      <x:c r="K1163" s="46" t="str">
        <x:f>IF(COUNT(G1163,I1163)=0,"",AVERAGE(G1163,I1163))</x:f>
      </x:c>
      <x:c r="L1163" s="46" t="str">
        <x:f>IF(COUNT(H1163,J1163)=0,"",AVERAGE(H1163,J1163))</x:f>
      </x:c>
      <x:c r="M1163" s="46" t="str">
        <x:f>IF(OR(K1163="",L1163=""),"",L1163-K1163)</x:f>
      </x:c>
      <x:c r="N1163" s="46" t="str">
        <x:f>IF(OR(K1163="",A1162&lt;&gt;A1163,K1162=""),"",K1163-K1162)</x:f>
      </x:c>
      <x:c r="O1163" s="42" t="str">
        <x:v>Sem informação</x:v>
      </x:c>
      <x:c r="P1163" s="42"/>
      <x:c r="Q1163" s="42" t="str"/>
      <x:c r="R1163" s="42" t="str"/>
      <x:c r="S1163" s="42" t="str"/>
      <x:c r="T1163" s="42" t="str"/>
    </x:row>
    <x:row r="1164">
      <x:c r="A1164" s="42" t="str">
        <x:v>William Gomes</x:v>
      </x:c>
      <x:c r="B1164" s="42" t="n">
        <x:v>2026</x:v>
      </x:c>
      <x:c r="C1164" s="42" t="str">
        <x:v>T3</x:v>
      </x:c>
      <x:c r="D1164" s="44" t="n">
        <x:v>46295</x:v>
      </x:c>
      <x:c r="E1164" s="42" t="str">
        <x:v>Ponta-direita</x:v>
      </x:c>
      <x:c r="F1164" s="42" t="str">
        <x:v>FC Porto</x:v>
      </x:c>
      <x:c r="G1164" s="46"/>
      <x:c r="H1164" s="46"/>
      <x:c r="I1164" s="46"/>
      <x:c r="J1164" s="46"/>
      <x:c r="K1164" s="46" t="str">
        <x:f>IF(COUNT(G1164,I1164)=0,"",AVERAGE(G1164,I1164))</x:f>
      </x:c>
      <x:c r="L1164" s="46" t="str">
        <x:f>IF(COUNT(H1164,J1164)=0,"",AVERAGE(H1164,J1164))</x:f>
      </x:c>
      <x:c r="M1164" s="46" t="str">
        <x:f>IF(OR(K1164="",L1164=""),"",L1164-K1164)</x:f>
      </x:c>
      <x:c r="N1164" s="46" t="str">
        <x:f>IF(OR(K1164="",A1163&lt;&gt;A1164,K1163=""),"",K1164-K1163)</x:f>
      </x:c>
      <x:c r="O1164" s="42" t="str">
        <x:v>Sem informação</x:v>
      </x:c>
      <x:c r="P1164" s="42"/>
      <x:c r="Q1164" s="42" t="str"/>
      <x:c r="R1164" s="42" t="str"/>
      <x:c r="S1164" s="42" t="str"/>
      <x:c r="T1164" s="42" t="str"/>
    </x:row>
    <x:row r="1165">
      <x:c r="A1165" s="42" t="str">
        <x:v>William Gomes</x:v>
      </x:c>
      <x:c r="B1165" s="42" t="n">
        <x:v>2026</x:v>
      </x:c>
      <x:c r="C1165" s="42" t="str">
        <x:v>T4</x:v>
      </x:c>
      <x:c r="D1165" s="44" t="n">
        <x:v>46387</x:v>
      </x:c>
      <x:c r="E1165" s="42" t="str">
        <x:v>Ponta-direita</x:v>
      </x:c>
      <x:c r="F1165" s="42" t="str">
        <x:v>FC Porto</x:v>
      </x:c>
      <x:c r="G1165" s="46"/>
      <x:c r="H1165" s="46"/>
      <x:c r="I1165" s="46"/>
      <x:c r="J1165" s="46"/>
      <x:c r="K1165" s="46" t="str">
        <x:f>IF(COUNT(G1165,I1165)=0,"",AVERAGE(G1165,I1165))</x:f>
      </x:c>
      <x:c r="L1165" s="46" t="str">
        <x:f>IF(COUNT(H1165,J1165)=0,"",AVERAGE(H1165,J1165))</x:f>
      </x:c>
      <x:c r="M1165" s="46" t="str">
        <x:f>IF(OR(K1165="",L1165=""),"",L1165-K1165)</x:f>
      </x:c>
      <x:c r="N1165" s="46" t="str">
        <x:f>IF(OR(K1165="",A1164&lt;&gt;A1165,K1164=""),"",K1165-K1164)</x:f>
      </x:c>
      <x:c r="O1165" s="42" t="str">
        <x:v>Sem informação</x:v>
      </x:c>
      <x:c r="P1165" s="42"/>
      <x:c r="Q1165" s="42" t="str"/>
      <x:c r="R1165" s="42" t="str"/>
      <x:c r="S1165" s="42" t="str"/>
      <x:c r="T1165" s="42" t="str"/>
    </x:row>
    <x:row r="1166">
      <x:c r="A1166" s="42" t="str">
        <x:v>William Gomes</x:v>
      </x:c>
      <x:c r="B1166" s="42" t="n">
        <x:v>2027</x:v>
      </x:c>
      <x:c r="C1166" s="42" t="str">
        <x:v>T1</x:v>
      </x:c>
      <x:c r="D1166" s="44" t="n">
        <x:v>46477</x:v>
      </x:c>
      <x:c r="E1166" s="42" t="str">
        <x:v>Ponta-direita</x:v>
      </x:c>
      <x:c r="F1166" s="42" t="str">
        <x:v>FC Porto</x:v>
      </x:c>
      <x:c r="G1166" s="46"/>
      <x:c r="H1166" s="46"/>
      <x:c r="I1166" s="46"/>
      <x:c r="J1166" s="46"/>
      <x:c r="K1166" s="46" t="str">
        <x:f>IF(COUNT(G1166,I1166)=0,"",AVERAGE(G1166,I1166))</x:f>
      </x:c>
      <x:c r="L1166" s="46" t="str">
        <x:f>IF(COUNT(H1166,J1166)=0,"",AVERAGE(H1166,J1166))</x:f>
      </x:c>
      <x:c r="M1166" s="46" t="str">
        <x:f>IF(OR(K1166="",L1166=""),"",L1166-K1166)</x:f>
      </x:c>
      <x:c r="N1166" s="46" t="str">
        <x:f>IF(OR(K1166="",A1165&lt;&gt;A1166,K1165=""),"",K1166-K1165)</x:f>
      </x:c>
      <x:c r="O1166" s="42" t="str">
        <x:v>Sem informação</x:v>
      </x:c>
      <x:c r="P1166" s="42"/>
      <x:c r="Q1166" s="42" t="str"/>
      <x:c r="R1166" s="42" t="str"/>
      <x:c r="S1166" s="42" t="str"/>
      <x:c r="T1166" s="42" t="str"/>
    </x:row>
    <x:row r="1167">
      <x:c r="A1167" s="42" t="str">
        <x:v>William Gomes</x:v>
      </x:c>
      <x:c r="B1167" s="42" t="n">
        <x:v>2027</x:v>
      </x:c>
      <x:c r="C1167" s="42" t="str">
        <x:v>T2</x:v>
      </x:c>
      <x:c r="D1167" s="44" t="n">
        <x:v>46568</x:v>
      </x:c>
      <x:c r="E1167" s="42" t="str">
        <x:v>Ponta-direita</x:v>
      </x:c>
      <x:c r="F1167" s="42" t="str">
        <x:v>FC Porto</x:v>
      </x:c>
      <x:c r="G1167" s="46"/>
      <x:c r="H1167" s="46"/>
      <x:c r="I1167" s="46"/>
      <x:c r="J1167" s="46"/>
      <x:c r="K1167" s="46" t="str">
        <x:f>IF(COUNT(G1167,I1167)=0,"",AVERAGE(G1167,I1167))</x:f>
      </x:c>
      <x:c r="L1167" s="46" t="str">
        <x:f>IF(COUNT(H1167,J1167)=0,"",AVERAGE(H1167,J1167))</x:f>
      </x:c>
      <x:c r="M1167" s="46" t="str">
        <x:f>IF(OR(K1167="",L1167=""),"",L1167-K1167)</x:f>
      </x:c>
      <x:c r="N1167" s="46" t="str">
        <x:f>IF(OR(K1167="",A1166&lt;&gt;A1167,K1166=""),"",K1167-K1166)</x:f>
      </x:c>
      <x:c r="O1167" s="42" t="str">
        <x:v>Sem informação</x:v>
      </x:c>
      <x:c r="P1167" s="42"/>
      <x:c r="Q1167" s="42" t="str"/>
      <x:c r="R1167" s="42" t="str"/>
      <x:c r="S1167" s="42" t="str"/>
      <x:c r="T1167" s="42" t="str"/>
    </x:row>
    <x:row r="1168">
      <x:c r="A1168" s="42" t="str">
        <x:v>William Gomes</x:v>
      </x:c>
      <x:c r="B1168" s="42" t="n">
        <x:v>2027</x:v>
      </x:c>
      <x:c r="C1168" s="42" t="str">
        <x:v>T3</x:v>
      </x:c>
      <x:c r="D1168" s="44" t="n">
        <x:v>46660</x:v>
      </x:c>
      <x:c r="E1168" s="42" t="str">
        <x:v>Ponta-direita</x:v>
      </x:c>
      <x:c r="F1168" s="42" t="str">
        <x:v>FC Porto</x:v>
      </x:c>
      <x:c r="G1168" s="46"/>
      <x:c r="H1168" s="46"/>
      <x:c r="I1168" s="46"/>
      <x:c r="J1168" s="46"/>
      <x:c r="K1168" s="46" t="str">
        <x:f>IF(COUNT(G1168,I1168)=0,"",AVERAGE(G1168,I1168))</x:f>
      </x:c>
      <x:c r="L1168" s="46" t="str">
        <x:f>IF(COUNT(H1168,J1168)=0,"",AVERAGE(H1168,J1168))</x:f>
      </x:c>
      <x:c r="M1168" s="46" t="str">
        <x:f>IF(OR(K1168="",L1168=""),"",L1168-K1168)</x:f>
      </x:c>
      <x:c r="N1168" s="46" t="str">
        <x:f>IF(OR(K1168="",A1167&lt;&gt;A1168,K1167=""),"",K1168-K1167)</x:f>
      </x:c>
      <x:c r="O1168" s="42" t="str">
        <x:v>Sem informação</x:v>
      </x:c>
      <x:c r="P1168" s="42"/>
      <x:c r="Q1168" s="42" t="str"/>
      <x:c r="R1168" s="42" t="str"/>
      <x:c r="S1168" s="42" t="str"/>
      <x:c r="T1168" s="42" t="str"/>
    </x:row>
    <x:row r="1169">
      <x:c r="A1169" s="42" t="str">
        <x:v>William Gomes</x:v>
      </x:c>
      <x:c r="B1169" s="42" t="n">
        <x:v>2027</x:v>
      </x:c>
      <x:c r="C1169" s="42" t="str">
        <x:v>T4</x:v>
      </x:c>
      <x:c r="D1169" s="44" t="n">
        <x:v>46752</x:v>
      </x:c>
      <x:c r="E1169" s="42" t="str">
        <x:v>Ponta-direita</x:v>
      </x:c>
      <x:c r="F1169" s="42" t="str">
        <x:v>FC Porto</x:v>
      </x:c>
      <x:c r="G1169" s="46"/>
      <x:c r="H1169" s="46"/>
      <x:c r="I1169" s="46"/>
      <x:c r="J1169" s="46"/>
      <x:c r="K1169" s="46" t="str">
        <x:f>IF(COUNT(G1169,I1169)=0,"",AVERAGE(G1169,I1169))</x:f>
      </x:c>
      <x:c r="L1169" s="46" t="str">
        <x:f>IF(COUNT(H1169,J1169)=0,"",AVERAGE(H1169,J1169))</x:f>
      </x:c>
      <x:c r="M1169" s="46" t="str">
        <x:f>IF(OR(K1169="",L1169=""),"",L1169-K1169)</x:f>
      </x:c>
      <x:c r="N1169" s="46" t="str">
        <x:f>IF(OR(K1169="",A1168&lt;&gt;A1169,K1168=""),"",K1169-K1168)</x:f>
      </x:c>
      <x:c r="O1169" s="42" t="str">
        <x:v>Sem informação</x:v>
      </x:c>
      <x:c r="P1169" s="42"/>
      <x:c r="Q1169" s="42" t="str"/>
      <x:c r="R1169" s="42" t="str"/>
      <x:c r="S1169" s="42" t="str"/>
      <x:c r="T1169" s="42" t="str"/>
    </x:row>
    <x:row r="1170">
      <x:c r="A1170" s="42" t="str">
        <x:v>William Gomes</x:v>
      </x:c>
      <x:c r="B1170" s="42" t="n">
        <x:v>2028</x:v>
      </x:c>
      <x:c r="C1170" s="42" t="str">
        <x:v>T1</x:v>
      </x:c>
      <x:c r="D1170" s="44" t="n">
        <x:v>46843</x:v>
      </x:c>
      <x:c r="E1170" s="42" t="str">
        <x:v>Ponta-direita</x:v>
      </x:c>
      <x:c r="F1170" s="42" t="str">
        <x:v>FC Porto</x:v>
      </x:c>
      <x:c r="G1170" s="46"/>
      <x:c r="H1170" s="46"/>
      <x:c r="I1170" s="46"/>
      <x:c r="J1170" s="46"/>
      <x:c r="K1170" s="46" t="str">
        <x:f>IF(COUNT(G1170,I1170)=0,"",AVERAGE(G1170,I1170))</x:f>
      </x:c>
      <x:c r="L1170" s="46" t="str">
        <x:f>IF(COUNT(H1170,J1170)=0,"",AVERAGE(H1170,J1170))</x:f>
      </x:c>
      <x:c r="M1170" s="46" t="str">
        <x:f>IF(OR(K1170="",L1170=""),"",L1170-K1170)</x:f>
      </x:c>
      <x:c r="N1170" s="46" t="str">
        <x:f>IF(OR(K1170="",A1169&lt;&gt;A1170,K1169=""),"",K1170-K1169)</x:f>
      </x:c>
      <x:c r="O1170" s="42" t="str">
        <x:v>Sem informação</x:v>
      </x:c>
      <x:c r="P1170" s="42"/>
      <x:c r="Q1170" s="42" t="str"/>
      <x:c r="R1170" s="42" t="str"/>
      <x:c r="S1170" s="42" t="str"/>
      <x:c r="T1170" s="42" t="str"/>
    </x:row>
    <x:row r="1171">
      <x:c r="A1171" s="42" t="str">
        <x:v>William Gomes</x:v>
      </x:c>
      <x:c r="B1171" s="42" t="n">
        <x:v>2028</x:v>
      </x:c>
      <x:c r="C1171" s="42" t="str">
        <x:v>T2</x:v>
      </x:c>
      <x:c r="D1171" s="44" t="n">
        <x:v>46934</x:v>
      </x:c>
      <x:c r="E1171" s="42" t="str">
        <x:v>Ponta-direita</x:v>
      </x:c>
      <x:c r="F1171" s="42" t="str">
        <x:v>FC Porto</x:v>
      </x:c>
      <x:c r="G1171" s="46"/>
      <x:c r="H1171" s="46"/>
      <x:c r="I1171" s="46"/>
      <x:c r="J1171" s="46"/>
      <x:c r="K1171" s="46" t="str">
        <x:f>IF(COUNT(G1171,I1171)=0,"",AVERAGE(G1171,I1171))</x:f>
      </x:c>
      <x:c r="L1171" s="46" t="str">
        <x:f>IF(COUNT(H1171,J1171)=0,"",AVERAGE(H1171,J1171))</x:f>
      </x:c>
      <x:c r="M1171" s="46" t="str">
        <x:f>IF(OR(K1171="",L1171=""),"",L1171-K1171)</x:f>
      </x:c>
      <x:c r="N1171" s="46" t="str">
        <x:f>IF(OR(K1171="",A1170&lt;&gt;A1171,K1170=""),"",K1171-K1170)</x:f>
      </x:c>
      <x:c r="O1171" s="42" t="str">
        <x:v>Sem informação</x:v>
      </x:c>
      <x:c r="P1171" s="42"/>
      <x:c r="Q1171" s="42" t="str"/>
      <x:c r="R1171" s="42" t="str"/>
      <x:c r="S1171" s="42" t="str"/>
      <x:c r="T1171" s="42" t="str"/>
    </x:row>
    <x:row r="1172">
      <x:c r="A1172" s="42" t="str">
        <x:v>William Gomes</x:v>
      </x:c>
      <x:c r="B1172" s="42" t="n">
        <x:v>2028</x:v>
      </x:c>
      <x:c r="C1172" s="42" t="str">
        <x:v>T3</x:v>
      </x:c>
      <x:c r="D1172" s="44" t="n">
        <x:v>47026</x:v>
      </x:c>
      <x:c r="E1172" s="42" t="str">
        <x:v>Ponta-direita</x:v>
      </x:c>
      <x:c r="F1172" s="42" t="str">
        <x:v>FC Porto</x:v>
      </x:c>
      <x:c r="G1172" s="46"/>
      <x:c r="H1172" s="46"/>
      <x:c r="I1172" s="46"/>
      <x:c r="J1172" s="46"/>
      <x:c r="K1172" s="46" t="str">
        <x:f>IF(COUNT(G1172,I1172)=0,"",AVERAGE(G1172,I1172))</x:f>
      </x:c>
      <x:c r="L1172" s="46" t="str">
        <x:f>IF(COUNT(H1172,J1172)=0,"",AVERAGE(H1172,J1172))</x:f>
      </x:c>
      <x:c r="M1172" s="46" t="str">
        <x:f>IF(OR(K1172="",L1172=""),"",L1172-K1172)</x:f>
      </x:c>
      <x:c r="N1172" s="46" t="str">
        <x:f>IF(OR(K1172="",A1171&lt;&gt;A1172,K1171=""),"",K1172-K1171)</x:f>
      </x:c>
      <x:c r="O1172" s="42" t="str">
        <x:v>Sem informação</x:v>
      </x:c>
      <x:c r="P1172" s="42"/>
      <x:c r="Q1172" s="42" t="str"/>
      <x:c r="R1172" s="42" t="str"/>
      <x:c r="S1172" s="42" t="str"/>
      <x:c r="T1172" s="42" t="str"/>
    </x:row>
    <x:row r="1173">
      <x:c r="A1173" s="42" t="str">
        <x:v>William Gomes</x:v>
      </x:c>
      <x:c r="B1173" s="42" t="n">
        <x:v>2028</x:v>
      </x:c>
      <x:c r="C1173" s="42" t="str">
        <x:v>T4</x:v>
      </x:c>
      <x:c r="D1173" s="44" t="n">
        <x:v>47118</x:v>
      </x:c>
      <x:c r="E1173" s="42" t="str">
        <x:v>Ponta-direita</x:v>
      </x:c>
      <x:c r="F1173" s="42" t="str">
        <x:v>FC Porto</x:v>
      </x:c>
      <x:c r="G1173" s="46"/>
      <x:c r="H1173" s="46"/>
      <x:c r="I1173" s="46"/>
      <x:c r="J1173" s="46"/>
      <x:c r="K1173" s="46" t="str">
        <x:f>IF(COUNT(G1173,I1173)=0,"",AVERAGE(G1173,I1173))</x:f>
      </x:c>
      <x:c r="L1173" s="46" t="str">
        <x:f>IF(COUNT(H1173,J1173)=0,"",AVERAGE(H1173,J1173))</x:f>
      </x:c>
      <x:c r="M1173" s="46" t="str">
        <x:f>IF(OR(K1173="",L1173=""),"",L1173-K1173)</x:f>
      </x:c>
      <x:c r="N1173" s="46" t="str">
        <x:f>IF(OR(K1173="",A1172&lt;&gt;A1173,K1172=""),"",K1173-K1172)</x:f>
      </x:c>
      <x:c r="O1173" s="42" t="str">
        <x:v>Sem informação</x:v>
      </x:c>
      <x:c r="P1173" s="42"/>
      <x:c r="Q1173" s="42" t="str"/>
      <x:c r="R1173" s="42" t="str"/>
      <x:c r="S1173" s="42" t="str"/>
      <x:c r="T1173" s="42" t="str"/>
    </x:row>
    <x:row r="1174">
      <x:c r="A1174" s="42" t="str">
        <x:v>William Gomes</x:v>
      </x:c>
      <x:c r="B1174" s="42" t="n">
        <x:v>2029</x:v>
      </x:c>
      <x:c r="C1174" s="42" t="str">
        <x:v>T1</x:v>
      </x:c>
      <x:c r="D1174" s="44" t="n">
        <x:v>47208</x:v>
      </x:c>
      <x:c r="E1174" s="42" t="str">
        <x:v>Ponta-direita</x:v>
      </x:c>
      <x:c r="F1174" s="42" t="str">
        <x:v>FC Porto</x:v>
      </x:c>
      <x:c r="G1174" s="46"/>
      <x:c r="H1174" s="46"/>
      <x:c r="I1174" s="46"/>
      <x:c r="J1174" s="46"/>
      <x:c r="K1174" s="46" t="str">
        <x:f>IF(COUNT(G1174,I1174)=0,"",AVERAGE(G1174,I1174))</x:f>
      </x:c>
      <x:c r="L1174" s="46" t="str">
        <x:f>IF(COUNT(H1174,J1174)=0,"",AVERAGE(H1174,J1174))</x:f>
      </x:c>
      <x:c r="M1174" s="46" t="str">
        <x:f>IF(OR(K1174="",L1174=""),"",L1174-K1174)</x:f>
      </x:c>
      <x:c r="N1174" s="46" t="str">
        <x:f>IF(OR(K1174="",A1173&lt;&gt;A1174,K1173=""),"",K1174-K1173)</x:f>
      </x:c>
      <x:c r="O1174" s="42" t="str">
        <x:v>Sem informação</x:v>
      </x:c>
      <x:c r="P1174" s="42"/>
      <x:c r="Q1174" s="42" t="str"/>
      <x:c r="R1174" s="42" t="str"/>
      <x:c r="S1174" s="42" t="str"/>
      <x:c r="T1174" s="42" t="str"/>
    </x:row>
    <x:row r="1175">
      <x:c r="A1175" s="42" t="str">
        <x:v>William Gomes</x:v>
      </x:c>
      <x:c r="B1175" s="42" t="n">
        <x:v>2029</x:v>
      </x:c>
      <x:c r="C1175" s="42" t="str">
        <x:v>T2</x:v>
      </x:c>
      <x:c r="D1175" s="44" t="n">
        <x:v>47299</x:v>
      </x:c>
      <x:c r="E1175" s="42" t="str">
        <x:v>Ponta-direita</x:v>
      </x:c>
      <x:c r="F1175" s="42" t="str">
        <x:v>FC Porto</x:v>
      </x:c>
      <x:c r="G1175" s="46"/>
      <x:c r="H1175" s="46"/>
      <x:c r="I1175" s="46"/>
      <x:c r="J1175" s="46"/>
      <x:c r="K1175" s="46" t="str">
        <x:f>IF(COUNT(G1175,I1175)=0,"",AVERAGE(G1175,I1175))</x:f>
      </x:c>
      <x:c r="L1175" s="46" t="str">
        <x:f>IF(COUNT(H1175,J1175)=0,"",AVERAGE(H1175,J1175))</x:f>
      </x:c>
      <x:c r="M1175" s="46" t="str">
        <x:f>IF(OR(K1175="",L1175=""),"",L1175-K1175)</x:f>
      </x:c>
      <x:c r="N1175" s="46" t="str">
        <x:f>IF(OR(K1175="",A1174&lt;&gt;A1175,K1174=""),"",K1175-K1174)</x:f>
      </x:c>
      <x:c r="O1175" s="42" t="str">
        <x:v>Sem informação</x:v>
      </x:c>
      <x:c r="P1175" s="42"/>
      <x:c r="Q1175" s="42" t="str"/>
      <x:c r="R1175" s="42" t="str"/>
      <x:c r="S1175" s="42" t="str"/>
      <x:c r="T1175" s="42" t="str"/>
    </x:row>
    <x:row r="1176">
      <x:c r="A1176" s="42" t="str">
        <x:v>William Gomes</x:v>
      </x:c>
      <x:c r="B1176" s="42" t="n">
        <x:v>2029</x:v>
      </x:c>
      <x:c r="C1176" s="42" t="str">
        <x:v>T3</x:v>
      </x:c>
      <x:c r="D1176" s="44" t="n">
        <x:v>47391</x:v>
      </x:c>
      <x:c r="E1176" s="42" t="str">
        <x:v>Ponta-direita</x:v>
      </x:c>
      <x:c r="F1176" s="42" t="str">
        <x:v>FC Porto</x:v>
      </x:c>
      <x:c r="G1176" s="46"/>
      <x:c r="H1176" s="46"/>
      <x:c r="I1176" s="46"/>
      <x:c r="J1176" s="46"/>
      <x:c r="K1176" s="46" t="str">
        <x:f>IF(COUNT(G1176,I1176)=0,"",AVERAGE(G1176,I1176))</x:f>
      </x:c>
      <x:c r="L1176" s="46" t="str">
        <x:f>IF(COUNT(H1176,J1176)=0,"",AVERAGE(H1176,J1176))</x:f>
      </x:c>
      <x:c r="M1176" s="46" t="str">
        <x:f>IF(OR(K1176="",L1176=""),"",L1176-K1176)</x:f>
      </x:c>
      <x:c r="N1176" s="46" t="str">
        <x:f>IF(OR(K1176="",A1175&lt;&gt;A1176,K1175=""),"",K1176-K1175)</x:f>
      </x:c>
      <x:c r="O1176" s="42" t="str">
        <x:v>Sem informação</x:v>
      </x:c>
      <x:c r="P1176" s="42"/>
      <x:c r="Q1176" s="42" t="str"/>
      <x:c r="R1176" s="42" t="str"/>
      <x:c r="S1176" s="42" t="str"/>
      <x:c r="T1176" s="42" t="str"/>
    </x:row>
    <x:row r="1177">
      <x:c r="A1177" s="42" t="str">
        <x:v>William Gomes</x:v>
      </x:c>
      <x:c r="B1177" s="42" t="n">
        <x:v>2029</x:v>
      </x:c>
      <x:c r="C1177" s="42" t="str">
        <x:v>T4</x:v>
      </x:c>
      <x:c r="D1177" s="44" t="n">
        <x:v>47483</x:v>
      </x:c>
      <x:c r="E1177" s="42" t="str">
        <x:v>Ponta-direita</x:v>
      </x:c>
      <x:c r="F1177" s="42" t="str">
        <x:v>FC Porto</x:v>
      </x:c>
      <x:c r="G1177" s="46"/>
      <x:c r="H1177" s="46"/>
      <x:c r="I1177" s="46"/>
      <x:c r="J1177" s="46"/>
      <x:c r="K1177" s="46" t="str">
        <x:f>IF(COUNT(G1177,I1177)=0,"",AVERAGE(G1177,I1177))</x:f>
      </x:c>
      <x:c r="L1177" s="46" t="str">
        <x:f>IF(COUNT(H1177,J1177)=0,"",AVERAGE(H1177,J1177))</x:f>
      </x:c>
      <x:c r="M1177" s="46" t="str">
        <x:f>IF(OR(K1177="",L1177=""),"",L1177-K1177)</x:f>
      </x:c>
      <x:c r="N1177" s="46" t="str">
        <x:f>IF(OR(K1177="",A1176&lt;&gt;A1177,K1176=""),"",K1177-K1176)</x:f>
      </x:c>
      <x:c r="O1177" s="42" t="str">
        <x:v>Sem informação</x:v>
      </x:c>
      <x:c r="P1177" s="42"/>
      <x:c r="Q1177" s="42" t="str"/>
      <x:c r="R1177" s="42" t="str"/>
      <x:c r="S1177" s="42" t="str"/>
      <x:c r="T1177" s="42" t="str"/>
    </x:row>
    <x:row r="1178">
      <x:c r="A1178" s="42" t="str">
        <x:v>William Gomes</x:v>
      </x:c>
      <x:c r="B1178" s="42" t="n">
        <x:v>2030</x:v>
      </x:c>
      <x:c r="C1178" s="42" t="str">
        <x:v>T1</x:v>
      </x:c>
      <x:c r="D1178" s="44" t="n">
        <x:v>47573</x:v>
      </x:c>
      <x:c r="E1178" s="42" t="str">
        <x:v>Ponta-direita</x:v>
      </x:c>
      <x:c r="F1178" s="42" t="str">
        <x:v>FC Porto</x:v>
      </x:c>
      <x:c r="G1178" s="46"/>
      <x:c r="H1178" s="46"/>
      <x:c r="I1178" s="46"/>
      <x:c r="J1178" s="46"/>
      <x:c r="K1178" s="46" t="str">
        <x:f>IF(COUNT(G1178,I1178)=0,"",AVERAGE(G1178,I1178))</x:f>
      </x:c>
      <x:c r="L1178" s="46" t="str">
        <x:f>IF(COUNT(H1178,J1178)=0,"",AVERAGE(H1178,J1178))</x:f>
      </x:c>
      <x:c r="M1178" s="46" t="str">
        <x:f>IF(OR(K1178="",L1178=""),"",L1178-K1178)</x:f>
      </x:c>
      <x:c r="N1178" s="46" t="str">
        <x:f>IF(OR(K1178="",A1177&lt;&gt;A1178,K1177=""),"",K1178-K1177)</x:f>
      </x:c>
      <x:c r="O1178" s="42" t="str">
        <x:v>Sem informação</x:v>
      </x:c>
      <x:c r="P1178" s="42"/>
      <x:c r="Q1178" s="42" t="str"/>
      <x:c r="R1178" s="42" t="str"/>
      <x:c r="S1178" s="42" t="str"/>
      <x:c r="T1178" s="42" t="str"/>
    </x:row>
    <x:row r="1179">
      <x:c r="A1179" s="42" t="str">
        <x:v>William Gomes</x:v>
      </x:c>
      <x:c r="B1179" s="42" t="n">
        <x:v>2030</x:v>
      </x:c>
      <x:c r="C1179" s="42" t="str">
        <x:v>T2</x:v>
      </x:c>
      <x:c r="D1179" s="44" t="n">
        <x:v>47664</x:v>
      </x:c>
      <x:c r="E1179" s="42" t="str">
        <x:v>Ponta-direita</x:v>
      </x:c>
      <x:c r="F1179" s="42" t="str">
        <x:v>FC Porto</x:v>
      </x:c>
      <x:c r="G1179" s="46"/>
      <x:c r="H1179" s="46"/>
      <x:c r="I1179" s="46"/>
      <x:c r="J1179" s="46"/>
      <x:c r="K1179" s="46" t="str">
        <x:f>IF(COUNT(G1179,I1179)=0,"",AVERAGE(G1179,I1179))</x:f>
      </x:c>
      <x:c r="L1179" s="46" t="str">
        <x:f>IF(COUNT(H1179,J1179)=0,"",AVERAGE(H1179,J1179))</x:f>
      </x:c>
      <x:c r="M1179" s="46" t="str">
        <x:f>IF(OR(K1179="",L1179=""),"",L1179-K1179)</x:f>
      </x:c>
      <x:c r="N1179" s="46" t="str">
        <x:f>IF(OR(K1179="",A1178&lt;&gt;A1179,K1178=""),"",K1179-K1178)</x:f>
      </x:c>
      <x:c r="O1179" s="42" t="str">
        <x:v>Sem informação</x:v>
      </x:c>
      <x:c r="P1179" s="42"/>
      <x:c r="Q1179" s="42" t="str"/>
      <x:c r="R1179" s="42" t="str"/>
      <x:c r="S1179" s="42" t="str"/>
      <x:c r="T1179" s="42" t="str"/>
    </x:row>
    <x:row r="1180">
      <x:c r="A1180" s="42" t="str">
        <x:v>William Gomes</x:v>
      </x:c>
      <x:c r="B1180" s="42" t="n">
        <x:v>2030</x:v>
      </x:c>
      <x:c r="C1180" s="42" t="str">
        <x:v>T3</x:v>
      </x:c>
      <x:c r="D1180" s="44" t="n">
        <x:v>47756</x:v>
      </x:c>
      <x:c r="E1180" s="42" t="str">
        <x:v>Ponta-direita</x:v>
      </x:c>
      <x:c r="F1180" s="42" t="str">
        <x:v>FC Porto</x:v>
      </x:c>
      <x:c r="G1180" s="46"/>
      <x:c r="H1180" s="46"/>
      <x:c r="I1180" s="46"/>
      <x:c r="J1180" s="46"/>
      <x:c r="K1180" s="46" t="str">
        <x:f>IF(COUNT(G1180,I1180)=0,"",AVERAGE(G1180,I1180))</x:f>
      </x:c>
      <x:c r="L1180" s="46" t="str">
        <x:f>IF(COUNT(H1180,J1180)=0,"",AVERAGE(H1180,J1180))</x:f>
      </x:c>
      <x:c r="M1180" s="46" t="str">
        <x:f>IF(OR(K1180="",L1180=""),"",L1180-K1180)</x:f>
      </x:c>
      <x:c r="N1180" s="46" t="str">
        <x:f>IF(OR(K1180="",A1179&lt;&gt;A1180,K1179=""),"",K1180-K1179)</x:f>
      </x:c>
      <x:c r="O1180" s="42" t="str">
        <x:v>Sem informação</x:v>
      </x:c>
      <x:c r="P1180" s="42"/>
      <x:c r="Q1180" s="42" t="str"/>
      <x:c r="R1180" s="42" t="str"/>
      <x:c r="S1180" s="42" t="str"/>
      <x:c r="T1180" s="42" t="str"/>
    </x:row>
    <x:row r="1181">
      <x:c r="A1181" s="42" t="str">
        <x:v>William Gomes</x:v>
      </x:c>
      <x:c r="B1181" s="42" t="n">
        <x:v>2030</x:v>
      </x:c>
      <x:c r="C1181" s="42" t="str">
        <x:v>T4</x:v>
      </x:c>
      <x:c r="D1181" s="44" t="n">
        <x:v>47848</x:v>
      </x:c>
      <x:c r="E1181" s="42" t="str">
        <x:v>Ponta-direita</x:v>
      </x:c>
      <x:c r="F1181" s="42" t="str">
        <x:v>FC Porto</x:v>
      </x:c>
      <x:c r="G1181" s="46"/>
      <x:c r="H1181" s="46"/>
      <x:c r="I1181" s="46"/>
      <x:c r="J1181" s="46"/>
      <x:c r="K1181" s="46" t="str">
        <x:f>IF(COUNT(G1181,I1181)=0,"",AVERAGE(G1181,I1181))</x:f>
      </x:c>
      <x:c r="L1181" s="46" t="str">
        <x:f>IF(COUNT(H1181,J1181)=0,"",AVERAGE(H1181,J1181))</x:f>
      </x:c>
      <x:c r="M1181" s="46" t="str">
        <x:f>IF(OR(K1181="",L1181=""),"",L1181-K1181)</x:f>
      </x:c>
      <x:c r="N1181" s="46" t="str">
        <x:f>IF(OR(K1181="",A1180&lt;&gt;A1181,K1180=""),"",K1181-K1180)</x:f>
      </x:c>
      <x:c r="O1181" s="42" t="str">
        <x:v>Sem informação</x:v>
      </x:c>
      <x:c r="P1181" s="42"/>
      <x:c r="Q1181" s="42" t="str"/>
      <x:c r="R1181" s="42" t="str"/>
      <x:c r="S1181" s="42" t="str"/>
      <x:c r="T1181" s="42" t="str"/>
    </x:row>
    <x:row r="1182">
      <x:c r="A1182" s="42" t="str">
        <x:v>Éder Militão</x:v>
      </x:c>
      <x:c r="B1182" s="42" t="n">
        <x:v>2026</x:v>
      </x:c>
      <x:c r="C1182" s="42" t="str">
        <x:v>T1</x:v>
      </x:c>
      <x:c r="D1182" s="44" t="n">
        <x:v>46112</x:v>
      </x:c>
      <x:c r="E1182" s="42" t="str">
        <x:v>Zagueiro</x:v>
      </x:c>
      <x:c r="F1182" s="42" t="str">
        <x:v>Real Madrid CF</x:v>
      </x:c>
      <x:c r="G1182" s="46"/>
      <x:c r="H1182" s="46"/>
      <x:c r="I1182" s="46"/>
      <x:c r="J1182" s="46"/>
      <x:c r="K1182" s="46" t="str">
        <x:f>IF(COUNT(G1182,I1182)=0,"",AVERAGE(G1182,I1182))</x:f>
      </x:c>
      <x:c r="L1182" s="46" t="str">
        <x:f>IF(COUNT(H1182,J1182)=0,"",AVERAGE(H1182,J1182))</x:f>
      </x:c>
      <x:c r="M1182" s="46" t="str">
        <x:f>IF(OR(K1182="",L1182=""),"",L1182-K1182)</x:f>
      </x:c>
      <x:c r="N1182" s="46" t="str">
        <x:f>IF(OR(K1182="",A1181&lt;&gt;A1182,K1181=""),"",K1182-K1181)</x:f>
      </x:c>
      <x:c r="O1182" s="42" t="str">
        <x:v>Sem informação</x:v>
      </x:c>
      <x:c r="P1182" s="42"/>
      <x:c r="Q1182" s="42" t="str"/>
      <x:c r="R1182" s="42" t="str"/>
      <x:c r="S1182" s="42" t="str"/>
      <x:c r="T1182" s="42" t="str"/>
    </x:row>
    <x:row r="1183">
      <x:c r="A1183" s="42" t="str">
        <x:v>Éder Militão</x:v>
      </x:c>
      <x:c r="B1183" s="42" t="n">
        <x:v>2026</x:v>
      </x:c>
      <x:c r="C1183" s="42" t="str">
        <x:v>T2</x:v>
      </x:c>
      <x:c r="D1183" s="44" t="n">
        <x:v>46203</x:v>
      </x:c>
      <x:c r="E1183" s="42" t="str">
        <x:v>Zagueiro</x:v>
      </x:c>
      <x:c r="F1183" s="42" t="str">
        <x:v>Real Madrid CF</x:v>
      </x:c>
      <x:c r="G1183" s="46" t="n">
        <x:v>7.5</x:v>
      </x:c>
      <x:c r="H1183" s="46" t="n">
        <x:v>6.5</x:v>
      </x:c>
      <x:c r="I1183" s="46" t="n">
        <x:v>8</x:v>
      </x:c>
      <x:c r="J1183" s="46" t="n">
        <x:v>7.5</x:v>
      </x:c>
      <x:c r="K1183" s="46" t="n">
        <x:f>IF(COUNT(G1183,I1183)=0,"",AVERAGE(G1183,I1183))</x:f>
        <x:v>7.75</x:v>
      </x:c>
      <x:c r="L1183" s="46" t="n">
        <x:f>IF(COUNT(H1183,J1183)=0,"",AVERAGE(H1183,J1183))</x:f>
        <x:v>7</x:v>
      </x:c>
      <x:c r="M1183" s="46" t="n">
        <x:f>IF(OR(K1183="",L1183=""),"",L1183-K1183)</x:f>
        <x:v>-0.75</x:v>
      </x:c>
      <x:c r="N1183" s="46" t="str">
        <x:f>IF(OR(K1183="",A1182&lt;&gt;A1183,K1182=""),"",K1183-K1182)</x:f>
      </x:c>
      <x:c r="O1183" s="42" t="str">
        <x:v>Sem informação</x:v>
      </x:c>
      <x:c r="P1183" s="42"/>
      <x:c r="Q1183" s="42" t="str">
        <x:v>O físico e a inteligência de jogo não colaboram. Não confio.</x:v>
      </x:c>
      <x:c r="R1183" s="42" t="str"/>
      <x:c r="S1183" s="42" t="str"/>
      <x:c r="T1183" s="42" t="str"/>
    </x:row>
    <x:row r="1184">
      <x:c r="A1184" s="42" t="str">
        <x:v>Éder Militão</x:v>
      </x:c>
      <x:c r="B1184" s="42" t="n">
        <x:v>2026</x:v>
      </x:c>
      <x:c r="C1184" s="42" t="str">
        <x:v>T3</x:v>
      </x:c>
      <x:c r="D1184" s="44" t="n">
        <x:v>46295</x:v>
      </x:c>
      <x:c r="E1184" s="42" t="str">
        <x:v>Zagueiro</x:v>
      </x:c>
      <x:c r="F1184" s="42" t="str">
        <x:v>Real Madrid CF</x:v>
      </x:c>
      <x:c r="G1184" s="46"/>
      <x:c r="H1184" s="46"/>
      <x:c r="I1184" s="46"/>
      <x:c r="J1184" s="46"/>
      <x:c r="K1184" s="46" t="str">
        <x:f>IF(COUNT(G1184,I1184)=0,"",AVERAGE(G1184,I1184))</x:f>
      </x:c>
      <x:c r="L1184" s="46" t="str">
        <x:f>IF(COUNT(H1184,J1184)=0,"",AVERAGE(H1184,J1184))</x:f>
      </x:c>
      <x:c r="M1184" s="46" t="str">
        <x:f>IF(OR(K1184="",L1184=""),"",L1184-K1184)</x:f>
      </x:c>
      <x:c r="N1184" s="46" t="str">
        <x:f>IF(OR(K1184="",A1183&lt;&gt;A1184,K1183=""),"",K1184-K1183)</x:f>
      </x:c>
      <x:c r="O1184" s="42" t="str">
        <x:v>Sem informação</x:v>
      </x:c>
      <x:c r="P1184" s="42"/>
      <x:c r="Q1184" s="42" t="str"/>
      <x:c r="R1184" s="42" t="str"/>
      <x:c r="S1184" s="42" t="str"/>
      <x:c r="T1184" s="42" t="str"/>
    </x:row>
    <x:row r="1185">
      <x:c r="A1185" s="42" t="str">
        <x:v>Éder Militão</x:v>
      </x:c>
      <x:c r="B1185" s="42" t="n">
        <x:v>2026</x:v>
      </x:c>
      <x:c r="C1185" s="42" t="str">
        <x:v>T4</x:v>
      </x:c>
      <x:c r="D1185" s="44" t="n">
        <x:v>46387</x:v>
      </x:c>
      <x:c r="E1185" s="42" t="str">
        <x:v>Zagueiro</x:v>
      </x:c>
      <x:c r="F1185" s="42" t="str">
        <x:v>Real Madrid CF</x:v>
      </x:c>
      <x:c r="G1185" s="46"/>
      <x:c r="H1185" s="46"/>
      <x:c r="I1185" s="46"/>
      <x:c r="J1185" s="46"/>
      <x:c r="K1185" s="46" t="str">
        <x:f>IF(COUNT(G1185,I1185)=0,"",AVERAGE(G1185,I1185))</x:f>
      </x:c>
      <x:c r="L1185" s="46" t="str">
        <x:f>IF(COUNT(H1185,J1185)=0,"",AVERAGE(H1185,J1185))</x:f>
      </x:c>
      <x:c r="M1185" s="46" t="str">
        <x:f>IF(OR(K1185="",L1185=""),"",L1185-K1185)</x:f>
      </x:c>
      <x:c r="N1185" s="46" t="str">
        <x:f>IF(OR(K1185="",A1184&lt;&gt;A1185,K1184=""),"",K1185-K1184)</x:f>
      </x:c>
      <x:c r="O1185" s="42" t="str">
        <x:v>Sem informação</x:v>
      </x:c>
      <x:c r="P1185" s="42"/>
      <x:c r="Q1185" s="42" t="str"/>
      <x:c r="R1185" s="42" t="str"/>
      <x:c r="S1185" s="42" t="str"/>
      <x:c r="T1185" s="42" t="str"/>
    </x:row>
    <x:row r="1186">
      <x:c r="A1186" s="42" t="str">
        <x:v>Éder Militão</x:v>
      </x:c>
      <x:c r="B1186" s="42" t="n">
        <x:v>2027</x:v>
      </x:c>
      <x:c r="C1186" s="42" t="str">
        <x:v>T1</x:v>
      </x:c>
      <x:c r="D1186" s="44" t="n">
        <x:v>46477</x:v>
      </x:c>
      <x:c r="E1186" s="42" t="str">
        <x:v>Zagueiro</x:v>
      </x:c>
      <x:c r="F1186" s="42" t="str">
        <x:v>Real Madrid CF</x:v>
      </x:c>
      <x:c r="G1186" s="46"/>
      <x:c r="H1186" s="46"/>
      <x:c r="I1186" s="46"/>
      <x:c r="J1186" s="46"/>
      <x:c r="K1186" s="46" t="str">
        <x:f>IF(COUNT(G1186,I1186)=0,"",AVERAGE(G1186,I1186))</x:f>
      </x:c>
      <x:c r="L1186" s="46" t="str">
        <x:f>IF(COUNT(H1186,J1186)=0,"",AVERAGE(H1186,J1186))</x:f>
      </x:c>
      <x:c r="M1186" s="46" t="str">
        <x:f>IF(OR(K1186="",L1186=""),"",L1186-K1186)</x:f>
      </x:c>
      <x:c r="N1186" s="46" t="str">
        <x:f>IF(OR(K1186="",A1185&lt;&gt;A1186,K1185=""),"",K1186-K1185)</x:f>
      </x:c>
      <x:c r="O1186" s="42" t="str">
        <x:v>Sem informação</x:v>
      </x:c>
      <x:c r="P1186" s="42"/>
      <x:c r="Q1186" s="42" t="str"/>
      <x:c r="R1186" s="42" t="str"/>
      <x:c r="S1186" s="42" t="str"/>
      <x:c r="T1186" s="42" t="str"/>
    </x:row>
    <x:row r="1187">
      <x:c r="A1187" s="42" t="str">
        <x:v>Éder Militão</x:v>
      </x:c>
      <x:c r="B1187" s="42" t="n">
        <x:v>2027</x:v>
      </x:c>
      <x:c r="C1187" s="42" t="str">
        <x:v>T2</x:v>
      </x:c>
      <x:c r="D1187" s="44" t="n">
        <x:v>46568</x:v>
      </x:c>
      <x:c r="E1187" s="42" t="str">
        <x:v>Zagueiro</x:v>
      </x:c>
      <x:c r="F1187" s="42" t="str">
        <x:v>Real Madrid CF</x:v>
      </x:c>
      <x:c r="G1187" s="46"/>
      <x:c r="H1187" s="46"/>
      <x:c r="I1187" s="46"/>
      <x:c r="J1187" s="46"/>
      <x:c r="K1187" s="46" t="str">
        <x:f>IF(COUNT(G1187,I1187)=0,"",AVERAGE(G1187,I1187))</x:f>
      </x:c>
      <x:c r="L1187" s="46" t="str">
        <x:f>IF(COUNT(H1187,J1187)=0,"",AVERAGE(H1187,J1187))</x:f>
      </x:c>
      <x:c r="M1187" s="46" t="str">
        <x:f>IF(OR(K1187="",L1187=""),"",L1187-K1187)</x:f>
      </x:c>
      <x:c r="N1187" s="46" t="str">
        <x:f>IF(OR(K1187="",A1186&lt;&gt;A1187,K1186=""),"",K1187-K1186)</x:f>
      </x:c>
      <x:c r="O1187" s="42" t="str">
        <x:v>Sem informação</x:v>
      </x:c>
      <x:c r="P1187" s="42"/>
      <x:c r="Q1187" s="42" t="str"/>
      <x:c r="R1187" s="42" t="str"/>
      <x:c r="S1187" s="42" t="str"/>
      <x:c r="T1187" s="42" t="str"/>
    </x:row>
    <x:row r="1188">
      <x:c r="A1188" s="42" t="str">
        <x:v>Éder Militão</x:v>
      </x:c>
      <x:c r="B1188" s="42" t="n">
        <x:v>2027</x:v>
      </x:c>
      <x:c r="C1188" s="42" t="str">
        <x:v>T3</x:v>
      </x:c>
      <x:c r="D1188" s="44" t="n">
        <x:v>46660</x:v>
      </x:c>
      <x:c r="E1188" s="42" t="str">
        <x:v>Zagueiro</x:v>
      </x:c>
      <x:c r="F1188" s="42" t="str">
        <x:v>Real Madrid CF</x:v>
      </x:c>
      <x:c r="G1188" s="46"/>
      <x:c r="H1188" s="46"/>
      <x:c r="I1188" s="46"/>
      <x:c r="J1188" s="46"/>
      <x:c r="K1188" s="46" t="str">
        <x:f>IF(COUNT(G1188,I1188)=0,"",AVERAGE(G1188,I1188))</x:f>
      </x:c>
      <x:c r="L1188" s="46" t="str">
        <x:f>IF(COUNT(H1188,J1188)=0,"",AVERAGE(H1188,J1188))</x:f>
      </x:c>
      <x:c r="M1188" s="46" t="str">
        <x:f>IF(OR(K1188="",L1188=""),"",L1188-K1188)</x:f>
      </x:c>
      <x:c r="N1188" s="46" t="str">
        <x:f>IF(OR(K1188="",A1187&lt;&gt;A1188,K1187=""),"",K1188-K1187)</x:f>
      </x:c>
      <x:c r="O1188" s="42" t="str">
        <x:v>Sem informação</x:v>
      </x:c>
      <x:c r="P1188" s="42"/>
      <x:c r="Q1188" s="42" t="str"/>
      <x:c r="R1188" s="42" t="str"/>
      <x:c r="S1188" s="42" t="str"/>
      <x:c r="T1188" s="42" t="str"/>
    </x:row>
    <x:row r="1189">
      <x:c r="A1189" s="42" t="str">
        <x:v>Éder Militão</x:v>
      </x:c>
      <x:c r="B1189" s="42" t="n">
        <x:v>2027</x:v>
      </x:c>
      <x:c r="C1189" s="42" t="str">
        <x:v>T4</x:v>
      </x:c>
      <x:c r="D1189" s="44" t="n">
        <x:v>46752</x:v>
      </x:c>
      <x:c r="E1189" s="42" t="str">
        <x:v>Zagueiro</x:v>
      </x:c>
      <x:c r="F1189" s="42" t="str">
        <x:v>Real Madrid CF</x:v>
      </x:c>
      <x:c r="G1189" s="46"/>
      <x:c r="H1189" s="46"/>
      <x:c r="I1189" s="46"/>
      <x:c r="J1189" s="46"/>
      <x:c r="K1189" s="46" t="str">
        <x:f>IF(COUNT(G1189,I1189)=0,"",AVERAGE(G1189,I1189))</x:f>
      </x:c>
      <x:c r="L1189" s="46" t="str">
        <x:f>IF(COUNT(H1189,J1189)=0,"",AVERAGE(H1189,J1189))</x:f>
      </x:c>
      <x:c r="M1189" s="46" t="str">
        <x:f>IF(OR(K1189="",L1189=""),"",L1189-K1189)</x:f>
      </x:c>
      <x:c r="N1189" s="46" t="str">
        <x:f>IF(OR(K1189="",A1188&lt;&gt;A1189,K1188=""),"",K1189-K1188)</x:f>
      </x:c>
      <x:c r="O1189" s="42" t="str">
        <x:v>Sem informação</x:v>
      </x:c>
      <x:c r="P1189" s="42"/>
      <x:c r="Q1189" s="42" t="str"/>
      <x:c r="R1189" s="42" t="str"/>
      <x:c r="S1189" s="42" t="str"/>
      <x:c r="T1189" s="42" t="str"/>
    </x:row>
    <x:row r="1190">
      <x:c r="A1190" s="42" t="str">
        <x:v>Éder Militão</x:v>
      </x:c>
      <x:c r="B1190" s="42" t="n">
        <x:v>2028</x:v>
      </x:c>
      <x:c r="C1190" s="42" t="str">
        <x:v>T1</x:v>
      </x:c>
      <x:c r="D1190" s="44" t="n">
        <x:v>46843</x:v>
      </x:c>
      <x:c r="E1190" s="42" t="str">
        <x:v>Zagueiro</x:v>
      </x:c>
      <x:c r="F1190" s="42" t="str">
        <x:v>Real Madrid CF</x:v>
      </x:c>
      <x:c r="G1190" s="46"/>
      <x:c r="H1190" s="46"/>
      <x:c r="I1190" s="46"/>
      <x:c r="J1190" s="46"/>
      <x:c r="K1190" s="46" t="str">
        <x:f>IF(COUNT(G1190,I1190)=0,"",AVERAGE(G1190,I1190))</x:f>
      </x:c>
      <x:c r="L1190" s="46" t="str">
        <x:f>IF(COUNT(H1190,J1190)=0,"",AVERAGE(H1190,J1190))</x:f>
      </x:c>
      <x:c r="M1190" s="46" t="str">
        <x:f>IF(OR(K1190="",L1190=""),"",L1190-K1190)</x:f>
      </x:c>
      <x:c r="N1190" s="46" t="str">
        <x:f>IF(OR(K1190="",A1189&lt;&gt;A1190,K1189=""),"",K1190-K1189)</x:f>
      </x:c>
      <x:c r="O1190" s="42" t="str">
        <x:v>Sem informação</x:v>
      </x:c>
      <x:c r="P1190" s="42"/>
      <x:c r="Q1190" s="42" t="str"/>
      <x:c r="R1190" s="42" t="str"/>
      <x:c r="S1190" s="42" t="str"/>
      <x:c r="T1190" s="42" t="str"/>
    </x:row>
    <x:row r="1191">
      <x:c r="A1191" s="42" t="str">
        <x:v>Éder Militão</x:v>
      </x:c>
      <x:c r="B1191" s="42" t="n">
        <x:v>2028</x:v>
      </x:c>
      <x:c r="C1191" s="42" t="str">
        <x:v>T2</x:v>
      </x:c>
      <x:c r="D1191" s="44" t="n">
        <x:v>46934</x:v>
      </x:c>
      <x:c r="E1191" s="42" t="str">
        <x:v>Zagueiro</x:v>
      </x:c>
      <x:c r="F1191" s="42" t="str">
        <x:v>Real Madrid CF</x:v>
      </x:c>
      <x:c r="G1191" s="46"/>
      <x:c r="H1191" s="46"/>
      <x:c r="I1191" s="46"/>
      <x:c r="J1191" s="46"/>
      <x:c r="K1191" s="46" t="str">
        <x:f>IF(COUNT(G1191,I1191)=0,"",AVERAGE(G1191,I1191))</x:f>
      </x:c>
      <x:c r="L1191" s="46" t="str">
        <x:f>IF(COUNT(H1191,J1191)=0,"",AVERAGE(H1191,J1191))</x:f>
      </x:c>
      <x:c r="M1191" s="46" t="str">
        <x:f>IF(OR(K1191="",L1191=""),"",L1191-K1191)</x:f>
      </x:c>
      <x:c r="N1191" s="46" t="str">
        <x:f>IF(OR(K1191="",A1190&lt;&gt;A1191,K1190=""),"",K1191-K1190)</x:f>
      </x:c>
      <x:c r="O1191" s="42" t="str">
        <x:v>Sem informação</x:v>
      </x:c>
      <x:c r="P1191" s="42"/>
      <x:c r="Q1191" s="42" t="str"/>
      <x:c r="R1191" s="42" t="str"/>
      <x:c r="S1191" s="42" t="str"/>
      <x:c r="T1191" s="42" t="str"/>
    </x:row>
    <x:row r="1192">
      <x:c r="A1192" s="42" t="str">
        <x:v>Éder Militão</x:v>
      </x:c>
      <x:c r="B1192" s="42" t="n">
        <x:v>2028</x:v>
      </x:c>
      <x:c r="C1192" s="42" t="str">
        <x:v>T3</x:v>
      </x:c>
      <x:c r="D1192" s="44" t="n">
        <x:v>47026</x:v>
      </x:c>
      <x:c r="E1192" s="42" t="str">
        <x:v>Zagueiro</x:v>
      </x:c>
      <x:c r="F1192" s="42" t="str">
        <x:v>Real Madrid CF</x:v>
      </x:c>
      <x:c r="G1192" s="46"/>
      <x:c r="H1192" s="46"/>
      <x:c r="I1192" s="46"/>
      <x:c r="J1192" s="46"/>
      <x:c r="K1192" s="46" t="str">
        <x:f>IF(COUNT(G1192,I1192)=0,"",AVERAGE(G1192,I1192))</x:f>
      </x:c>
      <x:c r="L1192" s="46" t="str">
        <x:f>IF(COUNT(H1192,J1192)=0,"",AVERAGE(H1192,J1192))</x:f>
      </x:c>
      <x:c r="M1192" s="46" t="str">
        <x:f>IF(OR(K1192="",L1192=""),"",L1192-K1192)</x:f>
      </x:c>
      <x:c r="N1192" s="46" t="str">
        <x:f>IF(OR(K1192="",A1191&lt;&gt;A1192,K1191=""),"",K1192-K1191)</x:f>
      </x:c>
      <x:c r="O1192" s="42" t="str">
        <x:v>Sem informação</x:v>
      </x:c>
      <x:c r="P1192" s="42"/>
      <x:c r="Q1192" s="42" t="str"/>
      <x:c r="R1192" s="42" t="str"/>
      <x:c r="S1192" s="42" t="str"/>
      <x:c r="T1192" s="42" t="str"/>
    </x:row>
    <x:row r="1193">
      <x:c r="A1193" s="42" t="str">
        <x:v>Éder Militão</x:v>
      </x:c>
      <x:c r="B1193" s="42" t="n">
        <x:v>2028</x:v>
      </x:c>
      <x:c r="C1193" s="42" t="str">
        <x:v>T4</x:v>
      </x:c>
      <x:c r="D1193" s="44" t="n">
        <x:v>47118</x:v>
      </x:c>
      <x:c r="E1193" s="42" t="str">
        <x:v>Zagueiro</x:v>
      </x:c>
      <x:c r="F1193" s="42" t="str">
        <x:v>Real Madrid CF</x:v>
      </x:c>
      <x:c r="G1193" s="46"/>
      <x:c r="H1193" s="46"/>
      <x:c r="I1193" s="46"/>
      <x:c r="J1193" s="46"/>
      <x:c r="K1193" s="46" t="str">
        <x:f>IF(COUNT(G1193,I1193)=0,"",AVERAGE(G1193,I1193))</x:f>
      </x:c>
      <x:c r="L1193" s="46" t="str">
        <x:f>IF(COUNT(H1193,J1193)=0,"",AVERAGE(H1193,J1193))</x:f>
      </x:c>
      <x:c r="M1193" s="46" t="str">
        <x:f>IF(OR(K1193="",L1193=""),"",L1193-K1193)</x:f>
      </x:c>
      <x:c r="N1193" s="46" t="str">
        <x:f>IF(OR(K1193="",A1192&lt;&gt;A1193,K1192=""),"",K1193-K1192)</x:f>
      </x:c>
      <x:c r="O1193" s="42" t="str">
        <x:v>Sem informação</x:v>
      </x:c>
      <x:c r="P1193" s="42"/>
      <x:c r="Q1193" s="42" t="str"/>
      <x:c r="R1193" s="42" t="str"/>
      <x:c r="S1193" s="42" t="str"/>
      <x:c r="T1193" s="42" t="str"/>
    </x:row>
    <x:row r="1194">
      <x:c r="A1194" s="42" t="str">
        <x:v>Éder Militão</x:v>
      </x:c>
      <x:c r="B1194" s="42" t="n">
        <x:v>2029</x:v>
      </x:c>
      <x:c r="C1194" s="42" t="str">
        <x:v>T1</x:v>
      </x:c>
      <x:c r="D1194" s="44" t="n">
        <x:v>47208</x:v>
      </x:c>
      <x:c r="E1194" s="42" t="str">
        <x:v>Zagueiro</x:v>
      </x:c>
      <x:c r="F1194" s="42" t="str">
        <x:v>Real Madrid CF</x:v>
      </x:c>
      <x:c r="G1194" s="46"/>
      <x:c r="H1194" s="46"/>
      <x:c r="I1194" s="46"/>
      <x:c r="J1194" s="46"/>
      <x:c r="K1194" s="46" t="str">
        <x:f>IF(COUNT(G1194,I1194)=0,"",AVERAGE(G1194,I1194))</x:f>
      </x:c>
      <x:c r="L1194" s="46" t="str">
        <x:f>IF(COUNT(H1194,J1194)=0,"",AVERAGE(H1194,J1194))</x:f>
      </x:c>
      <x:c r="M1194" s="46" t="str">
        <x:f>IF(OR(K1194="",L1194=""),"",L1194-K1194)</x:f>
      </x:c>
      <x:c r="N1194" s="46" t="str">
        <x:f>IF(OR(K1194="",A1193&lt;&gt;A1194,K1193=""),"",K1194-K1193)</x:f>
      </x:c>
      <x:c r="O1194" s="42" t="str">
        <x:v>Sem informação</x:v>
      </x:c>
      <x:c r="P1194" s="42"/>
      <x:c r="Q1194" s="42" t="str"/>
      <x:c r="R1194" s="42" t="str"/>
      <x:c r="S1194" s="42" t="str"/>
      <x:c r="T1194" s="42" t="str"/>
    </x:row>
    <x:row r="1195">
      <x:c r="A1195" s="42" t="str">
        <x:v>Éder Militão</x:v>
      </x:c>
      <x:c r="B1195" s="42" t="n">
        <x:v>2029</x:v>
      </x:c>
      <x:c r="C1195" s="42" t="str">
        <x:v>T2</x:v>
      </x:c>
      <x:c r="D1195" s="44" t="n">
        <x:v>47299</x:v>
      </x:c>
      <x:c r="E1195" s="42" t="str">
        <x:v>Zagueiro</x:v>
      </x:c>
      <x:c r="F1195" s="42" t="str">
        <x:v>Real Madrid CF</x:v>
      </x:c>
      <x:c r="G1195" s="46"/>
      <x:c r="H1195" s="46"/>
      <x:c r="I1195" s="46"/>
      <x:c r="J1195" s="46"/>
      <x:c r="K1195" s="46" t="str">
        <x:f>IF(COUNT(G1195,I1195)=0,"",AVERAGE(G1195,I1195))</x:f>
      </x:c>
      <x:c r="L1195" s="46" t="str">
        <x:f>IF(COUNT(H1195,J1195)=0,"",AVERAGE(H1195,J1195))</x:f>
      </x:c>
      <x:c r="M1195" s="46" t="str">
        <x:f>IF(OR(K1195="",L1195=""),"",L1195-K1195)</x:f>
      </x:c>
      <x:c r="N1195" s="46" t="str">
        <x:f>IF(OR(K1195="",A1194&lt;&gt;A1195,K1194=""),"",K1195-K1194)</x:f>
      </x:c>
      <x:c r="O1195" s="42" t="str">
        <x:v>Sem informação</x:v>
      </x:c>
      <x:c r="P1195" s="42"/>
      <x:c r="Q1195" s="42" t="str"/>
      <x:c r="R1195" s="42" t="str"/>
      <x:c r="S1195" s="42" t="str"/>
      <x:c r="T1195" s="42" t="str"/>
    </x:row>
    <x:row r="1196">
      <x:c r="A1196" s="42" t="str">
        <x:v>Éder Militão</x:v>
      </x:c>
      <x:c r="B1196" s="42" t="n">
        <x:v>2029</x:v>
      </x:c>
      <x:c r="C1196" s="42" t="str">
        <x:v>T3</x:v>
      </x:c>
      <x:c r="D1196" s="44" t="n">
        <x:v>47391</x:v>
      </x:c>
      <x:c r="E1196" s="42" t="str">
        <x:v>Zagueiro</x:v>
      </x:c>
      <x:c r="F1196" s="42" t="str">
        <x:v>Real Madrid CF</x:v>
      </x:c>
      <x:c r="G1196" s="46"/>
      <x:c r="H1196" s="46"/>
      <x:c r="I1196" s="46"/>
      <x:c r="J1196" s="46"/>
      <x:c r="K1196" s="46" t="str">
        <x:f>IF(COUNT(G1196,I1196)=0,"",AVERAGE(G1196,I1196))</x:f>
      </x:c>
      <x:c r="L1196" s="46" t="str">
        <x:f>IF(COUNT(H1196,J1196)=0,"",AVERAGE(H1196,J1196))</x:f>
      </x:c>
      <x:c r="M1196" s="46" t="str">
        <x:f>IF(OR(K1196="",L1196=""),"",L1196-K1196)</x:f>
      </x:c>
      <x:c r="N1196" s="46" t="str">
        <x:f>IF(OR(K1196="",A1195&lt;&gt;A1196,K1195=""),"",K1196-K1195)</x:f>
      </x:c>
      <x:c r="O1196" s="42" t="str">
        <x:v>Sem informação</x:v>
      </x:c>
      <x:c r="P1196" s="42"/>
      <x:c r="Q1196" s="42" t="str"/>
      <x:c r="R1196" s="42" t="str"/>
      <x:c r="S1196" s="42" t="str"/>
      <x:c r="T1196" s="42" t="str"/>
    </x:row>
    <x:row r="1197">
      <x:c r="A1197" s="42" t="str">
        <x:v>Éder Militão</x:v>
      </x:c>
      <x:c r="B1197" s="42" t="n">
        <x:v>2029</x:v>
      </x:c>
      <x:c r="C1197" s="42" t="str">
        <x:v>T4</x:v>
      </x:c>
      <x:c r="D1197" s="44" t="n">
        <x:v>47483</x:v>
      </x:c>
      <x:c r="E1197" s="42" t="str">
        <x:v>Zagueiro</x:v>
      </x:c>
      <x:c r="F1197" s="42" t="str">
        <x:v>Real Madrid CF</x:v>
      </x:c>
      <x:c r="G1197" s="46"/>
      <x:c r="H1197" s="46"/>
      <x:c r="I1197" s="46"/>
      <x:c r="J1197" s="46"/>
      <x:c r="K1197" s="46" t="str">
        <x:f>IF(COUNT(G1197,I1197)=0,"",AVERAGE(G1197,I1197))</x:f>
      </x:c>
      <x:c r="L1197" s="46" t="str">
        <x:f>IF(COUNT(H1197,J1197)=0,"",AVERAGE(H1197,J1197))</x:f>
      </x:c>
      <x:c r="M1197" s="46" t="str">
        <x:f>IF(OR(K1197="",L1197=""),"",L1197-K1197)</x:f>
      </x:c>
      <x:c r="N1197" s="46" t="str">
        <x:f>IF(OR(K1197="",A1196&lt;&gt;A1197,K1196=""),"",K1197-K1196)</x:f>
      </x:c>
      <x:c r="O1197" s="42" t="str">
        <x:v>Sem informação</x:v>
      </x:c>
      <x:c r="P1197" s="42"/>
      <x:c r="Q1197" s="42" t="str"/>
      <x:c r="R1197" s="42" t="str"/>
      <x:c r="S1197" s="42" t="str"/>
      <x:c r="T1197" s="42" t="str"/>
    </x:row>
    <x:row r="1198">
      <x:c r="A1198" s="42" t="str">
        <x:v>Éder Militão</x:v>
      </x:c>
      <x:c r="B1198" s="42" t="n">
        <x:v>2030</x:v>
      </x:c>
      <x:c r="C1198" s="42" t="str">
        <x:v>T1</x:v>
      </x:c>
      <x:c r="D1198" s="44" t="n">
        <x:v>47573</x:v>
      </x:c>
      <x:c r="E1198" s="42" t="str">
        <x:v>Zagueiro</x:v>
      </x:c>
      <x:c r="F1198" s="42" t="str">
        <x:v>Real Madrid CF</x:v>
      </x:c>
      <x:c r="G1198" s="46"/>
      <x:c r="H1198" s="46"/>
      <x:c r="I1198" s="46"/>
      <x:c r="J1198" s="46"/>
      <x:c r="K1198" s="46" t="str">
        <x:f>IF(COUNT(G1198,I1198)=0,"",AVERAGE(G1198,I1198))</x:f>
      </x:c>
      <x:c r="L1198" s="46" t="str">
        <x:f>IF(COUNT(H1198,J1198)=0,"",AVERAGE(H1198,J1198))</x:f>
      </x:c>
      <x:c r="M1198" s="46" t="str">
        <x:f>IF(OR(K1198="",L1198=""),"",L1198-K1198)</x:f>
      </x:c>
      <x:c r="N1198" s="46" t="str">
        <x:f>IF(OR(K1198="",A1197&lt;&gt;A1198,K1197=""),"",K1198-K1197)</x:f>
      </x:c>
      <x:c r="O1198" s="42" t="str">
        <x:v>Sem informação</x:v>
      </x:c>
      <x:c r="P1198" s="42"/>
      <x:c r="Q1198" s="42" t="str"/>
      <x:c r="R1198" s="42" t="str"/>
      <x:c r="S1198" s="42" t="str"/>
      <x:c r="T1198" s="42" t="str"/>
    </x:row>
    <x:row r="1199">
      <x:c r="A1199" s="42" t="str">
        <x:v>Éder Militão</x:v>
      </x:c>
      <x:c r="B1199" s="42" t="n">
        <x:v>2030</x:v>
      </x:c>
      <x:c r="C1199" s="42" t="str">
        <x:v>T2</x:v>
      </x:c>
      <x:c r="D1199" s="44" t="n">
        <x:v>47664</x:v>
      </x:c>
      <x:c r="E1199" s="42" t="str">
        <x:v>Zagueiro</x:v>
      </x:c>
      <x:c r="F1199" s="42" t="str">
        <x:v>Real Madrid CF</x:v>
      </x:c>
      <x:c r="G1199" s="46"/>
      <x:c r="H1199" s="46"/>
      <x:c r="I1199" s="46"/>
      <x:c r="J1199" s="46"/>
      <x:c r="K1199" s="46" t="str">
        <x:f>IF(COUNT(G1199,I1199)=0,"",AVERAGE(G1199,I1199))</x:f>
      </x:c>
      <x:c r="L1199" s="46" t="str">
        <x:f>IF(COUNT(H1199,J1199)=0,"",AVERAGE(H1199,J1199))</x:f>
      </x:c>
      <x:c r="M1199" s="46" t="str">
        <x:f>IF(OR(K1199="",L1199=""),"",L1199-K1199)</x:f>
      </x:c>
      <x:c r="N1199" s="46" t="str">
        <x:f>IF(OR(K1199="",A1198&lt;&gt;A1199,K1198=""),"",K1199-K1198)</x:f>
      </x:c>
      <x:c r="O1199" s="42" t="str">
        <x:v>Sem informação</x:v>
      </x:c>
      <x:c r="P1199" s="42"/>
      <x:c r="Q1199" s="42" t="str"/>
      <x:c r="R1199" s="42" t="str"/>
      <x:c r="S1199" s="42" t="str"/>
      <x:c r="T1199" s="42" t="str"/>
    </x:row>
    <x:row r="1200">
      <x:c r="A1200" s="42" t="str">
        <x:v>Éder Militão</x:v>
      </x:c>
      <x:c r="B1200" s="42" t="n">
        <x:v>2030</x:v>
      </x:c>
      <x:c r="C1200" s="42" t="str">
        <x:v>T3</x:v>
      </x:c>
      <x:c r="D1200" s="44" t="n">
        <x:v>47756</x:v>
      </x:c>
      <x:c r="E1200" s="42" t="str">
        <x:v>Zagueiro</x:v>
      </x:c>
      <x:c r="F1200" s="42" t="str">
        <x:v>Real Madrid CF</x:v>
      </x:c>
      <x:c r="G1200" s="46"/>
      <x:c r="H1200" s="46"/>
      <x:c r="I1200" s="46"/>
      <x:c r="J1200" s="46"/>
      <x:c r="K1200" s="46" t="str">
        <x:f>IF(COUNT(G1200,I1200)=0,"",AVERAGE(G1200,I1200))</x:f>
      </x:c>
      <x:c r="L1200" s="46" t="str">
        <x:f>IF(COUNT(H1200,J1200)=0,"",AVERAGE(H1200,J1200))</x:f>
      </x:c>
      <x:c r="M1200" s="46" t="str">
        <x:f>IF(OR(K1200="",L1200=""),"",L1200-K1200)</x:f>
      </x:c>
      <x:c r="N1200" s="46" t="str">
        <x:f>IF(OR(K1200="",A1199&lt;&gt;A1200,K1199=""),"",K1200-K1199)</x:f>
      </x:c>
      <x:c r="O1200" s="42" t="str">
        <x:v>Sem informação</x:v>
      </x:c>
      <x:c r="P1200" s="42"/>
      <x:c r="Q1200" s="42" t="str"/>
      <x:c r="R1200" s="42" t="str"/>
      <x:c r="S1200" s="42" t="str"/>
      <x:c r="T1200" s="42" t="str"/>
    </x:row>
    <x:row r="1201">
      <x:c r="A1201" s="42" t="str">
        <x:v>Éder Militão</x:v>
      </x:c>
      <x:c r="B1201" s="42" t="n">
        <x:v>2030</x:v>
      </x:c>
      <x:c r="C1201" s="42" t="str">
        <x:v>T4</x:v>
      </x:c>
      <x:c r="D1201" s="44" t="n">
        <x:v>47848</x:v>
      </x:c>
      <x:c r="E1201" s="42" t="str">
        <x:v>Zagueiro</x:v>
      </x:c>
      <x:c r="F1201" s="42" t="str">
        <x:v>Real Madrid CF</x:v>
      </x:c>
      <x:c r="G1201" s="46"/>
      <x:c r="H1201" s="46"/>
      <x:c r="I1201" s="46"/>
      <x:c r="J1201" s="46"/>
      <x:c r="K1201" s="46" t="str">
        <x:f>IF(COUNT(G1201,I1201)=0,"",AVERAGE(G1201,I1201))</x:f>
      </x:c>
      <x:c r="L1201" s="46" t="str">
        <x:f>IF(COUNT(H1201,J1201)=0,"",AVERAGE(H1201,J1201))</x:f>
      </x:c>
      <x:c r="M1201" s="46" t="str">
        <x:f>IF(OR(K1201="",L1201=""),"",L1201-K1201)</x:f>
      </x:c>
      <x:c r="N1201" s="46" t="str">
        <x:f>IF(OR(K1201="",A1200&lt;&gt;A1201,K1200=""),"",K1201-K1200)</x:f>
      </x:c>
      <x:c r="O1201" s="42" t="str">
        <x:v>Sem informação</x:v>
      </x:c>
      <x:c r="P1201" s="42"/>
      <x:c r="Q1201" s="42" t="str"/>
      <x:c r="R1201" s="42" t="str"/>
      <x:c r="S1201" s="42" t="str"/>
      <x:c r="T1201" s="42" t="str"/>
    </x:row>
    <x:row r="1202">
      <x:c r="A1202" s="42" t="str">
        <x:v>Éderson</x:v>
      </x:c>
      <x:c r="B1202" s="42" t="n">
        <x:v>2026</x:v>
      </x:c>
      <x:c r="C1202" s="42" t="str">
        <x:v>T1</x:v>
      </x:c>
      <x:c r="D1202" s="44" t="n">
        <x:v>46112</x:v>
      </x:c>
      <x:c r="E1202" s="42" t="str">
        <x:v>Mezzala direito</x:v>
      </x:c>
      <x:c r="F1202" s="42" t="str">
        <x:v>Atalanta BC</x:v>
      </x:c>
      <x:c r="G1202" s="46"/>
      <x:c r="H1202" s="46"/>
      <x:c r="I1202" s="46"/>
      <x:c r="J1202" s="46"/>
      <x:c r="K1202" s="46" t="str">
        <x:f>IF(COUNT(G1202,I1202)=0,"",AVERAGE(G1202,I1202))</x:f>
      </x:c>
      <x:c r="L1202" s="46" t="str">
        <x:f>IF(COUNT(H1202,J1202)=0,"",AVERAGE(H1202,J1202))</x:f>
      </x:c>
      <x:c r="M1202" s="46" t="str">
        <x:f>IF(OR(K1202="",L1202=""),"",L1202-K1202)</x:f>
      </x:c>
      <x:c r="N1202" s="46" t="str">
        <x:f>IF(OR(K1202="",A1201&lt;&gt;A1202,K1201=""),"",K1202-K1201)</x:f>
      </x:c>
      <x:c r="O1202" s="42" t="str">
        <x:v>Sem informação</x:v>
      </x:c>
      <x:c r="P1202" s="42"/>
      <x:c r="Q1202" s="42" t="str"/>
      <x:c r="R1202" s="42" t="str"/>
      <x:c r="S1202" s="42" t="str"/>
      <x:c r="T1202" s="42" t="str"/>
    </x:row>
    <x:row r="1203">
      <x:c r="A1203" s="42" t="str">
        <x:v>Éderson</x:v>
      </x:c>
      <x:c r="B1203" s="42" t="n">
        <x:v>2026</x:v>
      </x:c>
      <x:c r="C1203" s="42" t="str">
        <x:v>T2</x:v>
      </x:c>
      <x:c r="D1203" s="44" t="n">
        <x:v>46203</x:v>
      </x:c>
      <x:c r="E1203" s="42" t="str">
        <x:v>Mezzala direito</x:v>
      </x:c>
      <x:c r="F1203" s="42" t="str">
        <x:v>Atalanta</x:v>
      </x:c>
      <x:c r="G1203" s="46" t="n">
        <x:v>7</x:v>
      </x:c>
      <x:c r="H1203" s="46" t="n">
        <x:v>7.5</x:v>
      </x:c>
      <x:c r="I1203" s="46" t="n">
        <x:v>7</x:v>
      </x:c>
      <x:c r="J1203" s="46" t="n">
        <x:v>7.5</x:v>
      </x:c>
      <x:c r="K1203" s="46" t="n">
        <x:f>IF(COUNT(G1203,I1203)=0,"",AVERAGE(G1203,I1203))</x:f>
        <x:v>7</x:v>
      </x:c>
      <x:c r="L1203" s="46" t="n">
        <x:f>IF(COUNT(H1203,J1203)=0,"",AVERAGE(H1203,J1203))</x:f>
        <x:v>7.5</x:v>
      </x:c>
      <x:c r="M1203" s="46" t="n">
        <x:f>IF(OR(K1203="",L1203=""),"",L1203-K1203)</x:f>
        <x:v>0.5</x:v>
      </x:c>
      <x:c r="N1203" s="46" t="str">
        <x:f>IF(OR(K1203="",A1202&lt;&gt;A1203,K1202=""),"",K1203-K1202)</x:f>
      </x:c>
      <x:c r="O1203" s="42" t="str">
        <x:v>Sem informação</x:v>
      </x:c>
      <x:c r="P1203" s="42"/>
      <x:c r="Q1203" s="42" t="str"/>
      <x:c r="R1203" s="42" t="str"/>
      <x:c r="S1203" s="42" t="str"/>
      <x:c r="T1203" s="42" t="str"/>
    </x:row>
    <x:row r="1204">
      <x:c r="A1204" s="42" t="str">
        <x:v>Éderson</x:v>
      </x:c>
      <x:c r="B1204" s="42" t="n">
        <x:v>2026</x:v>
      </x:c>
      <x:c r="C1204" s="42" t="str">
        <x:v>T3</x:v>
      </x:c>
      <x:c r="D1204" s="44" t="n">
        <x:v>46295</x:v>
      </x:c>
      <x:c r="E1204" s="42" t="str">
        <x:v>Mezzala direito</x:v>
      </x:c>
      <x:c r="F1204" s="42" t="str">
        <x:v>Atalanta BC</x:v>
      </x:c>
      <x:c r="G1204" s="46"/>
      <x:c r="H1204" s="46"/>
      <x:c r="I1204" s="46"/>
      <x:c r="J1204" s="46"/>
      <x:c r="K1204" s="46" t="str">
        <x:f>IF(COUNT(G1204,I1204)=0,"",AVERAGE(G1204,I1204))</x:f>
      </x:c>
      <x:c r="L1204" s="46" t="str">
        <x:f>IF(COUNT(H1204,J1204)=0,"",AVERAGE(H1204,J1204))</x:f>
      </x:c>
      <x:c r="M1204" s="46" t="str">
        <x:f>IF(OR(K1204="",L1204=""),"",L1204-K1204)</x:f>
      </x:c>
      <x:c r="N1204" s="46" t="str">
        <x:f>IF(OR(K1204="",A1203&lt;&gt;A1204,K1203=""),"",K1204-K1203)</x:f>
      </x:c>
      <x:c r="O1204" s="42" t="str">
        <x:v>Sem informação</x:v>
      </x:c>
      <x:c r="P1204" s="42"/>
      <x:c r="Q1204" s="42" t="str"/>
      <x:c r="R1204" s="42" t="str"/>
      <x:c r="S1204" s="42" t="str"/>
      <x:c r="T1204" s="42" t="str"/>
    </x:row>
    <x:row r="1205">
      <x:c r="A1205" s="42" t="str">
        <x:v>Éderson</x:v>
      </x:c>
      <x:c r="B1205" s="42" t="n">
        <x:v>2026</x:v>
      </x:c>
      <x:c r="C1205" s="42" t="str">
        <x:v>T4</x:v>
      </x:c>
      <x:c r="D1205" s="44" t="n">
        <x:v>46387</x:v>
      </x:c>
      <x:c r="E1205" s="42" t="str">
        <x:v>Mezzala direito</x:v>
      </x:c>
      <x:c r="F1205" s="42" t="str">
        <x:v>Atalanta BC</x:v>
      </x:c>
      <x:c r="G1205" s="46"/>
      <x:c r="H1205" s="46"/>
      <x:c r="I1205" s="46"/>
      <x:c r="J1205" s="46"/>
      <x:c r="K1205" s="46" t="str">
        <x:f>IF(COUNT(G1205,I1205)=0,"",AVERAGE(G1205,I1205))</x:f>
      </x:c>
      <x:c r="L1205" s="46" t="str">
        <x:f>IF(COUNT(H1205,J1205)=0,"",AVERAGE(H1205,J1205))</x:f>
      </x:c>
      <x:c r="M1205" s="46" t="str">
        <x:f>IF(OR(K1205="",L1205=""),"",L1205-K1205)</x:f>
      </x:c>
      <x:c r="N1205" s="46" t="str">
        <x:f>IF(OR(K1205="",A1204&lt;&gt;A1205,K1204=""),"",K1205-K1204)</x:f>
      </x:c>
      <x:c r="O1205" s="42" t="str">
        <x:v>Sem informação</x:v>
      </x:c>
      <x:c r="P1205" s="42"/>
      <x:c r="Q1205" s="42" t="str"/>
      <x:c r="R1205" s="42" t="str"/>
      <x:c r="S1205" s="42" t="str"/>
      <x:c r="T1205" s="42" t="str"/>
    </x:row>
    <x:row r="1206">
      <x:c r="A1206" s="42" t="str">
        <x:v>Éderson</x:v>
      </x:c>
      <x:c r="B1206" s="42" t="n">
        <x:v>2027</x:v>
      </x:c>
      <x:c r="C1206" s="42" t="str">
        <x:v>T1</x:v>
      </x:c>
      <x:c r="D1206" s="44" t="n">
        <x:v>46477</x:v>
      </x:c>
      <x:c r="E1206" s="42" t="str">
        <x:v>Mezzala direito</x:v>
      </x:c>
      <x:c r="F1206" s="42" t="str">
        <x:v>Atalanta BC</x:v>
      </x:c>
      <x:c r="G1206" s="46"/>
      <x:c r="H1206" s="46"/>
      <x:c r="I1206" s="46"/>
      <x:c r="J1206" s="46"/>
      <x:c r="K1206" s="46" t="str">
        <x:f>IF(COUNT(G1206,I1206)=0,"",AVERAGE(G1206,I1206))</x:f>
      </x:c>
      <x:c r="L1206" s="46" t="str">
        <x:f>IF(COUNT(H1206,J1206)=0,"",AVERAGE(H1206,J1206))</x:f>
      </x:c>
      <x:c r="M1206" s="46" t="str">
        <x:f>IF(OR(K1206="",L1206=""),"",L1206-K1206)</x:f>
      </x:c>
      <x:c r="N1206" s="46" t="str">
        <x:f>IF(OR(K1206="",A1205&lt;&gt;A1206,K1205=""),"",K1206-K1205)</x:f>
      </x:c>
      <x:c r="O1206" s="42" t="str">
        <x:v>Sem informação</x:v>
      </x:c>
      <x:c r="P1206" s="42"/>
      <x:c r="Q1206" s="42" t="str"/>
      <x:c r="R1206" s="42" t="str"/>
      <x:c r="S1206" s="42" t="str"/>
      <x:c r="T1206" s="42" t="str"/>
    </x:row>
    <x:row r="1207">
      <x:c r="A1207" s="42" t="str">
        <x:v>Éderson</x:v>
      </x:c>
      <x:c r="B1207" s="42" t="n">
        <x:v>2027</x:v>
      </x:c>
      <x:c r="C1207" s="42" t="str">
        <x:v>T2</x:v>
      </x:c>
      <x:c r="D1207" s="44" t="n">
        <x:v>46568</x:v>
      </x:c>
      <x:c r="E1207" s="42" t="str">
        <x:v>Mezzala direito</x:v>
      </x:c>
      <x:c r="F1207" s="42" t="str">
        <x:v>Atalanta BC</x:v>
      </x:c>
      <x:c r="G1207" s="46"/>
      <x:c r="H1207" s="46"/>
      <x:c r="I1207" s="46"/>
      <x:c r="J1207" s="46"/>
      <x:c r="K1207" s="46" t="str">
        <x:f>IF(COUNT(G1207,I1207)=0,"",AVERAGE(G1207,I1207))</x:f>
      </x:c>
      <x:c r="L1207" s="46" t="str">
        <x:f>IF(COUNT(H1207,J1207)=0,"",AVERAGE(H1207,J1207))</x:f>
      </x:c>
      <x:c r="M1207" s="46" t="str">
        <x:f>IF(OR(K1207="",L1207=""),"",L1207-K1207)</x:f>
      </x:c>
      <x:c r="N1207" s="46" t="str">
        <x:f>IF(OR(K1207="",A1206&lt;&gt;A1207,K1206=""),"",K1207-K1206)</x:f>
      </x:c>
      <x:c r="O1207" s="42" t="str">
        <x:v>Sem informação</x:v>
      </x:c>
      <x:c r="P1207" s="42"/>
      <x:c r="Q1207" s="42" t="str"/>
      <x:c r="R1207" s="42" t="str"/>
      <x:c r="S1207" s="42" t="str"/>
      <x:c r="T1207" s="42" t="str"/>
    </x:row>
    <x:row r="1208">
      <x:c r="A1208" s="42" t="str">
        <x:v>Éderson</x:v>
      </x:c>
      <x:c r="B1208" s="42" t="n">
        <x:v>2027</x:v>
      </x:c>
      <x:c r="C1208" s="42" t="str">
        <x:v>T3</x:v>
      </x:c>
      <x:c r="D1208" s="44" t="n">
        <x:v>46660</x:v>
      </x:c>
      <x:c r="E1208" s="42" t="str">
        <x:v>Mezzala direito</x:v>
      </x:c>
      <x:c r="F1208" s="42" t="str">
        <x:v>Atalanta BC</x:v>
      </x:c>
      <x:c r="G1208" s="46"/>
      <x:c r="H1208" s="46"/>
      <x:c r="I1208" s="46"/>
      <x:c r="J1208" s="46"/>
      <x:c r="K1208" s="46" t="str">
        <x:f>IF(COUNT(G1208,I1208)=0,"",AVERAGE(G1208,I1208))</x:f>
      </x:c>
      <x:c r="L1208" s="46" t="str">
        <x:f>IF(COUNT(H1208,J1208)=0,"",AVERAGE(H1208,J1208))</x:f>
      </x:c>
      <x:c r="M1208" s="46" t="str">
        <x:f>IF(OR(K1208="",L1208=""),"",L1208-K1208)</x:f>
      </x:c>
      <x:c r="N1208" s="46" t="str">
        <x:f>IF(OR(K1208="",A1207&lt;&gt;A1208,K1207=""),"",K1208-K1207)</x:f>
      </x:c>
      <x:c r="O1208" s="42" t="str">
        <x:v>Sem informação</x:v>
      </x:c>
      <x:c r="P1208" s="42"/>
      <x:c r="Q1208" s="42" t="str"/>
      <x:c r="R1208" s="42" t="str"/>
      <x:c r="S1208" s="42" t="str"/>
      <x:c r="T1208" s="42" t="str"/>
    </x:row>
    <x:row r="1209">
      <x:c r="A1209" s="42" t="str">
        <x:v>Éderson</x:v>
      </x:c>
      <x:c r="B1209" s="42" t="n">
        <x:v>2027</x:v>
      </x:c>
      <x:c r="C1209" s="42" t="str">
        <x:v>T4</x:v>
      </x:c>
      <x:c r="D1209" s="44" t="n">
        <x:v>46752</x:v>
      </x:c>
      <x:c r="E1209" s="42" t="str">
        <x:v>Mezzala direito</x:v>
      </x:c>
      <x:c r="F1209" s="42" t="str">
        <x:v>Atalanta BC</x:v>
      </x:c>
      <x:c r="G1209" s="46"/>
      <x:c r="H1209" s="46"/>
      <x:c r="I1209" s="46"/>
      <x:c r="J1209" s="46"/>
      <x:c r="K1209" s="46" t="str">
        <x:f>IF(COUNT(G1209,I1209)=0,"",AVERAGE(G1209,I1209))</x:f>
      </x:c>
      <x:c r="L1209" s="46" t="str">
        <x:f>IF(COUNT(H1209,J1209)=0,"",AVERAGE(H1209,J1209))</x:f>
      </x:c>
      <x:c r="M1209" s="46" t="str">
        <x:f>IF(OR(K1209="",L1209=""),"",L1209-K1209)</x:f>
      </x:c>
      <x:c r="N1209" s="46" t="str">
        <x:f>IF(OR(K1209="",A1208&lt;&gt;A1209,K1208=""),"",K1209-K1208)</x:f>
      </x:c>
      <x:c r="O1209" s="42" t="str">
        <x:v>Sem informação</x:v>
      </x:c>
      <x:c r="P1209" s="42"/>
      <x:c r="Q1209" s="42" t="str"/>
      <x:c r="R1209" s="42" t="str"/>
      <x:c r="S1209" s="42" t="str"/>
      <x:c r="T1209" s="42" t="str"/>
    </x:row>
    <x:row r="1210">
      <x:c r="A1210" s="42" t="str">
        <x:v>Éderson</x:v>
      </x:c>
      <x:c r="B1210" s="42" t="n">
        <x:v>2028</x:v>
      </x:c>
      <x:c r="C1210" s="42" t="str">
        <x:v>T1</x:v>
      </x:c>
      <x:c r="D1210" s="44" t="n">
        <x:v>46843</x:v>
      </x:c>
      <x:c r="E1210" s="42" t="str">
        <x:v>Mezzala direito</x:v>
      </x:c>
      <x:c r="F1210" s="42" t="str">
        <x:v>Atalanta BC</x:v>
      </x:c>
      <x:c r="G1210" s="46"/>
      <x:c r="H1210" s="46"/>
      <x:c r="I1210" s="46"/>
      <x:c r="J1210" s="46"/>
      <x:c r="K1210" s="46" t="str">
        <x:f>IF(COUNT(G1210,I1210)=0,"",AVERAGE(G1210,I1210))</x:f>
      </x:c>
      <x:c r="L1210" s="46" t="str">
        <x:f>IF(COUNT(H1210,J1210)=0,"",AVERAGE(H1210,J1210))</x:f>
      </x:c>
      <x:c r="M1210" s="46" t="str">
        <x:f>IF(OR(K1210="",L1210=""),"",L1210-K1210)</x:f>
      </x:c>
      <x:c r="N1210" s="46" t="str">
        <x:f>IF(OR(K1210="",A1209&lt;&gt;A1210,K1209=""),"",K1210-K1209)</x:f>
      </x:c>
      <x:c r="O1210" s="42" t="str">
        <x:v>Sem informação</x:v>
      </x:c>
      <x:c r="P1210" s="42"/>
      <x:c r="Q1210" s="42" t="str"/>
      <x:c r="R1210" s="42" t="str"/>
      <x:c r="S1210" s="42" t="str"/>
      <x:c r="T1210" s="42" t="str"/>
    </x:row>
    <x:row r="1211">
      <x:c r="A1211" s="42" t="str">
        <x:v>Éderson</x:v>
      </x:c>
      <x:c r="B1211" s="42" t="n">
        <x:v>2028</x:v>
      </x:c>
      <x:c r="C1211" s="42" t="str">
        <x:v>T2</x:v>
      </x:c>
      <x:c r="D1211" s="44" t="n">
        <x:v>46934</x:v>
      </x:c>
      <x:c r="E1211" s="42" t="str">
        <x:v>Mezzala direito</x:v>
      </x:c>
      <x:c r="F1211" s="42" t="str">
        <x:v>Atalanta BC</x:v>
      </x:c>
      <x:c r="G1211" s="46"/>
      <x:c r="H1211" s="46"/>
      <x:c r="I1211" s="46"/>
      <x:c r="J1211" s="46"/>
      <x:c r="K1211" s="46" t="str">
        <x:f>IF(COUNT(G1211,I1211)=0,"",AVERAGE(G1211,I1211))</x:f>
      </x:c>
      <x:c r="L1211" s="46" t="str">
        <x:f>IF(COUNT(H1211,J1211)=0,"",AVERAGE(H1211,J1211))</x:f>
      </x:c>
      <x:c r="M1211" s="46" t="str">
        <x:f>IF(OR(K1211="",L1211=""),"",L1211-K1211)</x:f>
      </x:c>
      <x:c r="N1211" s="46" t="str">
        <x:f>IF(OR(K1211="",A1210&lt;&gt;A1211,K1210=""),"",K1211-K1210)</x:f>
      </x:c>
      <x:c r="O1211" s="42" t="str">
        <x:v>Sem informação</x:v>
      </x:c>
      <x:c r="P1211" s="42"/>
      <x:c r="Q1211" s="42" t="str"/>
      <x:c r="R1211" s="42" t="str"/>
      <x:c r="S1211" s="42" t="str"/>
      <x:c r="T1211" s="42" t="str"/>
    </x:row>
    <x:row r="1212">
      <x:c r="A1212" s="42" t="str">
        <x:v>Éderson</x:v>
      </x:c>
      <x:c r="B1212" s="42" t="n">
        <x:v>2028</x:v>
      </x:c>
      <x:c r="C1212" s="42" t="str">
        <x:v>T3</x:v>
      </x:c>
      <x:c r="D1212" s="44" t="n">
        <x:v>47026</x:v>
      </x:c>
      <x:c r="E1212" s="42" t="str">
        <x:v>Mezzala direito</x:v>
      </x:c>
      <x:c r="F1212" s="42" t="str">
        <x:v>Atalanta BC</x:v>
      </x:c>
      <x:c r="G1212" s="46"/>
      <x:c r="H1212" s="46"/>
      <x:c r="I1212" s="46"/>
      <x:c r="J1212" s="46"/>
      <x:c r="K1212" s="46" t="str">
        <x:f>IF(COUNT(G1212,I1212)=0,"",AVERAGE(G1212,I1212))</x:f>
      </x:c>
      <x:c r="L1212" s="46" t="str">
        <x:f>IF(COUNT(H1212,J1212)=0,"",AVERAGE(H1212,J1212))</x:f>
      </x:c>
      <x:c r="M1212" s="46" t="str">
        <x:f>IF(OR(K1212="",L1212=""),"",L1212-K1212)</x:f>
      </x:c>
      <x:c r="N1212" s="46" t="str">
        <x:f>IF(OR(K1212="",A1211&lt;&gt;A1212,K1211=""),"",K1212-K1211)</x:f>
      </x:c>
      <x:c r="O1212" s="42" t="str">
        <x:v>Sem informação</x:v>
      </x:c>
      <x:c r="P1212" s="42"/>
      <x:c r="Q1212" s="42" t="str"/>
      <x:c r="R1212" s="42" t="str"/>
      <x:c r="S1212" s="42" t="str"/>
      <x:c r="T1212" s="42" t="str"/>
    </x:row>
    <x:row r="1213">
      <x:c r="A1213" s="42" t="str">
        <x:v>Éderson</x:v>
      </x:c>
      <x:c r="B1213" s="42" t="n">
        <x:v>2028</x:v>
      </x:c>
      <x:c r="C1213" s="42" t="str">
        <x:v>T4</x:v>
      </x:c>
      <x:c r="D1213" s="44" t="n">
        <x:v>47118</x:v>
      </x:c>
      <x:c r="E1213" s="42" t="str">
        <x:v>Mezzala direito</x:v>
      </x:c>
      <x:c r="F1213" s="42" t="str">
        <x:v>Atalanta BC</x:v>
      </x:c>
      <x:c r="G1213" s="46"/>
      <x:c r="H1213" s="46"/>
      <x:c r="I1213" s="46"/>
      <x:c r="J1213" s="46"/>
      <x:c r="K1213" s="46" t="str">
        <x:f>IF(COUNT(G1213,I1213)=0,"",AVERAGE(G1213,I1213))</x:f>
      </x:c>
      <x:c r="L1213" s="46" t="str">
        <x:f>IF(COUNT(H1213,J1213)=0,"",AVERAGE(H1213,J1213))</x:f>
      </x:c>
      <x:c r="M1213" s="46" t="str">
        <x:f>IF(OR(K1213="",L1213=""),"",L1213-K1213)</x:f>
      </x:c>
      <x:c r="N1213" s="46" t="str">
        <x:f>IF(OR(K1213="",A1212&lt;&gt;A1213,K1212=""),"",K1213-K1212)</x:f>
      </x:c>
      <x:c r="O1213" s="42" t="str">
        <x:v>Sem informação</x:v>
      </x:c>
      <x:c r="P1213" s="42"/>
      <x:c r="Q1213" s="42" t="str"/>
      <x:c r="R1213" s="42" t="str"/>
      <x:c r="S1213" s="42" t="str"/>
      <x:c r="T1213" s="42" t="str"/>
    </x:row>
    <x:row r="1214">
      <x:c r="A1214" s="42" t="str">
        <x:v>Éderson</x:v>
      </x:c>
      <x:c r="B1214" s="42" t="n">
        <x:v>2029</x:v>
      </x:c>
      <x:c r="C1214" s="42" t="str">
        <x:v>T1</x:v>
      </x:c>
      <x:c r="D1214" s="44" t="n">
        <x:v>47208</x:v>
      </x:c>
      <x:c r="E1214" s="42" t="str">
        <x:v>Mezzala direito</x:v>
      </x:c>
      <x:c r="F1214" s="42" t="str">
        <x:v>Atalanta BC</x:v>
      </x:c>
      <x:c r="G1214" s="46"/>
      <x:c r="H1214" s="46"/>
      <x:c r="I1214" s="46"/>
      <x:c r="J1214" s="46"/>
      <x:c r="K1214" s="46" t="str">
        <x:f>IF(COUNT(G1214,I1214)=0,"",AVERAGE(G1214,I1214))</x:f>
      </x:c>
      <x:c r="L1214" s="46" t="str">
        <x:f>IF(COUNT(H1214,J1214)=0,"",AVERAGE(H1214,J1214))</x:f>
      </x:c>
      <x:c r="M1214" s="46" t="str">
        <x:f>IF(OR(K1214="",L1214=""),"",L1214-K1214)</x:f>
      </x:c>
      <x:c r="N1214" s="46" t="str">
        <x:f>IF(OR(K1214="",A1213&lt;&gt;A1214,K1213=""),"",K1214-K1213)</x:f>
      </x:c>
      <x:c r="O1214" s="42" t="str">
        <x:v>Sem informação</x:v>
      </x:c>
      <x:c r="P1214" s="42"/>
      <x:c r="Q1214" s="42" t="str"/>
      <x:c r="R1214" s="42" t="str"/>
      <x:c r="S1214" s="42" t="str"/>
      <x:c r="T1214" s="42" t="str"/>
    </x:row>
    <x:row r="1215">
      <x:c r="A1215" s="42" t="str">
        <x:v>Éderson</x:v>
      </x:c>
      <x:c r="B1215" s="42" t="n">
        <x:v>2029</x:v>
      </x:c>
      <x:c r="C1215" s="42" t="str">
        <x:v>T2</x:v>
      </x:c>
      <x:c r="D1215" s="44" t="n">
        <x:v>47299</x:v>
      </x:c>
      <x:c r="E1215" s="42" t="str">
        <x:v>Mezzala direito</x:v>
      </x:c>
      <x:c r="F1215" s="42" t="str">
        <x:v>Atalanta BC</x:v>
      </x:c>
      <x:c r="G1215" s="46"/>
      <x:c r="H1215" s="46"/>
      <x:c r="I1215" s="46"/>
      <x:c r="J1215" s="46"/>
      <x:c r="K1215" s="46" t="str">
        <x:f>IF(COUNT(G1215,I1215)=0,"",AVERAGE(G1215,I1215))</x:f>
      </x:c>
      <x:c r="L1215" s="46" t="str">
        <x:f>IF(COUNT(H1215,J1215)=0,"",AVERAGE(H1215,J1215))</x:f>
      </x:c>
      <x:c r="M1215" s="46" t="str">
        <x:f>IF(OR(K1215="",L1215=""),"",L1215-K1215)</x:f>
      </x:c>
      <x:c r="N1215" s="46" t="str">
        <x:f>IF(OR(K1215="",A1214&lt;&gt;A1215,K1214=""),"",K1215-K1214)</x:f>
      </x:c>
      <x:c r="O1215" s="42" t="str">
        <x:v>Sem informação</x:v>
      </x:c>
      <x:c r="P1215" s="42"/>
      <x:c r="Q1215" s="42" t="str"/>
      <x:c r="R1215" s="42" t="str"/>
      <x:c r="S1215" s="42" t="str"/>
      <x:c r="T1215" s="42" t="str"/>
    </x:row>
    <x:row r="1216">
      <x:c r="A1216" s="42" t="str">
        <x:v>Éderson</x:v>
      </x:c>
      <x:c r="B1216" s="42" t="n">
        <x:v>2029</x:v>
      </x:c>
      <x:c r="C1216" s="42" t="str">
        <x:v>T3</x:v>
      </x:c>
      <x:c r="D1216" s="44" t="n">
        <x:v>47391</x:v>
      </x:c>
      <x:c r="E1216" s="42" t="str">
        <x:v>Mezzala direito</x:v>
      </x:c>
      <x:c r="F1216" s="42" t="str">
        <x:v>Atalanta BC</x:v>
      </x:c>
      <x:c r="G1216" s="46"/>
      <x:c r="H1216" s="46"/>
      <x:c r="I1216" s="46"/>
      <x:c r="J1216" s="46"/>
      <x:c r="K1216" s="46" t="str">
        <x:f>IF(COUNT(G1216,I1216)=0,"",AVERAGE(G1216,I1216))</x:f>
      </x:c>
      <x:c r="L1216" s="46" t="str">
        <x:f>IF(COUNT(H1216,J1216)=0,"",AVERAGE(H1216,J1216))</x:f>
      </x:c>
      <x:c r="M1216" s="46" t="str">
        <x:f>IF(OR(K1216="",L1216=""),"",L1216-K1216)</x:f>
      </x:c>
      <x:c r="N1216" s="46" t="str">
        <x:f>IF(OR(K1216="",A1215&lt;&gt;A1216,K1215=""),"",K1216-K1215)</x:f>
      </x:c>
      <x:c r="O1216" s="42" t="str">
        <x:v>Sem informação</x:v>
      </x:c>
      <x:c r="P1216" s="42"/>
      <x:c r="Q1216" s="42" t="str"/>
      <x:c r="R1216" s="42" t="str"/>
      <x:c r="S1216" s="42" t="str"/>
      <x:c r="T1216" s="42" t="str"/>
    </x:row>
    <x:row r="1217">
      <x:c r="A1217" s="42" t="str">
        <x:v>Éderson</x:v>
      </x:c>
      <x:c r="B1217" s="42" t="n">
        <x:v>2029</x:v>
      </x:c>
      <x:c r="C1217" s="42" t="str">
        <x:v>T4</x:v>
      </x:c>
      <x:c r="D1217" s="44" t="n">
        <x:v>47483</x:v>
      </x:c>
      <x:c r="E1217" s="42" t="str">
        <x:v>Mezzala direito</x:v>
      </x:c>
      <x:c r="F1217" s="42" t="str">
        <x:v>Atalanta BC</x:v>
      </x:c>
      <x:c r="G1217" s="46"/>
      <x:c r="H1217" s="46"/>
      <x:c r="I1217" s="46"/>
      <x:c r="J1217" s="46"/>
      <x:c r="K1217" s="46" t="str">
        <x:f>IF(COUNT(G1217,I1217)=0,"",AVERAGE(G1217,I1217))</x:f>
      </x:c>
      <x:c r="L1217" s="46" t="str">
        <x:f>IF(COUNT(H1217,J1217)=0,"",AVERAGE(H1217,J1217))</x:f>
      </x:c>
      <x:c r="M1217" s="46" t="str">
        <x:f>IF(OR(K1217="",L1217=""),"",L1217-K1217)</x:f>
      </x:c>
      <x:c r="N1217" s="46" t="str">
        <x:f>IF(OR(K1217="",A1216&lt;&gt;A1217,K1216=""),"",K1217-K1216)</x:f>
      </x:c>
      <x:c r="O1217" s="42" t="str">
        <x:v>Sem informação</x:v>
      </x:c>
      <x:c r="P1217" s="42"/>
      <x:c r="Q1217" s="42" t="str"/>
      <x:c r="R1217" s="42" t="str"/>
      <x:c r="S1217" s="42" t="str"/>
      <x:c r="T1217" s="42" t="str"/>
    </x:row>
    <x:row r="1218">
      <x:c r="A1218" s="42" t="str">
        <x:v>Éderson</x:v>
      </x:c>
      <x:c r="B1218" s="42" t="n">
        <x:v>2030</x:v>
      </x:c>
      <x:c r="C1218" s="42" t="str">
        <x:v>T1</x:v>
      </x:c>
      <x:c r="D1218" s="44" t="n">
        <x:v>47573</x:v>
      </x:c>
      <x:c r="E1218" s="42" t="str">
        <x:v>Mezzala direito</x:v>
      </x:c>
      <x:c r="F1218" s="42" t="str">
        <x:v>Atalanta BC</x:v>
      </x:c>
      <x:c r="G1218" s="46"/>
      <x:c r="H1218" s="46"/>
      <x:c r="I1218" s="46"/>
      <x:c r="J1218" s="46"/>
      <x:c r="K1218" s="46" t="str">
        <x:f>IF(COUNT(G1218,I1218)=0,"",AVERAGE(G1218,I1218))</x:f>
      </x:c>
      <x:c r="L1218" s="46" t="str">
        <x:f>IF(COUNT(H1218,J1218)=0,"",AVERAGE(H1218,J1218))</x:f>
      </x:c>
      <x:c r="M1218" s="46" t="str">
        <x:f>IF(OR(K1218="",L1218=""),"",L1218-K1218)</x:f>
      </x:c>
      <x:c r="N1218" s="46" t="str">
        <x:f>IF(OR(K1218="",A1217&lt;&gt;A1218,K1217=""),"",K1218-K1217)</x:f>
      </x:c>
      <x:c r="O1218" s="42" t="str">
        <x:v>Sem informação</x:v>
      </x:c>
      <x:c r="P1218" s="42"/>
      <x:c r="Q1218" s="42" t="str"/>
      <x:c r="R1218" s="42" t="str"/>
      <x:c r="S1218" s="42" t="str"/>
      <x:c r="T1218" s="42" t="str"/>
    </x:row>
    <x:row r="1219">
      <x:c r="A1219" s="42" t="str">
        <x:v>Éderson</x:v>
      </x:c>
      <x:c r="B1219" s="42" t="n">
        <x:v>2030</x:v>
      </x:c>
      <x:c r="C1219" s="42" t="str">
        <x:v>T2</x:v>
      </x:c>
      <x:c r="D1219" s="44" t="n">
        <x:v>47664</x:v>
      </x:c>
      <x:c r="E1219" s="42" t="str">
        <x:v>Mezzala direito</x:v>
      </x:c>
      <x:c r="F1219" s="42" t="str">
        <x:v>Atalanta BC</x:v>
      </x:c>
      <x:c r="G1219" s="46"/>
      <x:c r="H1219" s="46"/>
      <x:c r="I1219" s="46"/>
      <x:c r="J1219" s="46"/>
      <x:c r="K1219" s="46" t="str">
        <x:f>IF(COUNT(G1219,I1219)=0,"",AVERAGE(G1219,I1219))</x:f>
      </x:c>
      <x:c r="L1219" s="46" t="str">
        <x:f>IF(COUNT(H1219,J1219)=0,"",AVERAGE(H1219,J1219))</x:f>
      </x:c>
      <x:c r="M1219" s="46" t="str">
        <x:f>IF(OR(K1219="",L1219=""),"",L1219-K1219)</x:f>
      </x:c>
      <x:c r="N1219" s="46" t="str">
        <x:f>IF(OR(K1219="",A1218&lt;&gt;A1219,K1218=""),"",K1219-K1218)</x:f>
      </x:c>
      <x:c r="O1219" s="42" t="str">
        <x:v>Sem informação</x:v>
      </x:c>
      <x:c r="P1219" s="42"/>
      <x:c r="Q1219" s="42" t="str"/>
      <x:c r="R1219" s="42" t="str"/>
      <x:c r="S1219" s="42" t="str"/>
      <x:c r="T1219" s="42" t="str"/>
    </x:row>
    <x:row r="1220">
      <x:c r="A1220" s="42" t="str">
        <x:v>Éderson</x:v>
      </x:c>
      <x:c r="B1220" s="42" t="n">
        <x:v>2030</x:v>
      </x:c>
      <x:c r="C1220" s="42" t="str">
        <x:v>T3</x:v>
      </x:c>
      <x:c r="D1220" s="44" t="n">
        <x:v>47756</x:v>
      </x:c>
      <x:c r="E1220" s="42" t="str">
        <x:v>Mezzala direito</x:v>
      </x:c>
      <x:c r="F1220" s="42" t="str">
        <x:v>Atalanta BC</x:v>
      </x:c>
      <x:c r="G1220" s="46"/>
      <x:c r="H1220" s="46"/>
      <x:c r="I1220" s="46"/>
      <x:c r="J1220" s="46"/>
      <x:c r="K1220" s="46" t="str">
        <x:f>IF(COUNT(G1220,I1220)=0,"",AVERAGE(G1220,I1220))</x:f>
      </x:c>
      <x:c r="L1220" s="46" t="str">
        <x:f>IF(COUNT(H1220,J1220)=0,"",AVERAGE(H1220,J1220))</x:f>
      </x:c>
      <x:c r="M1220" s="46" t="str">
        <x:f>IF(OR(K1220="",L1220=""),"",L1220-K1220)</x:f>
      </x:c>
      <x:c r="N1220" s="46" t="str">
        <x:f>IF(OR(K1220="",A1219&lt;&gt;A1220,K1219=""),"",K1220-K1219)</x:f>
      </x:c>
      <x:c r="O1220" s="42" t="str">
        <x:v>Sem informação</x:v>
      </x:c>
      <x:c r="P1220" s="42"/>
      <x:c r="Q1220" s="42" t="str"/>
      <x:c r="R1220" s="42" t="str"/>
      <x:c r="S1220" s="42" t="str"/>
      <x:c r="T1220" s="42" t="str"/>
    </x:row>
    <x:row r="1221">
      <x:c r="A1221" s="42" t="str">
        <x:v>Éderson</x:v>
      </x:c>
      <x:c r="B1221" s="42" t="n">
        <x:v>2030</x:v>
      </x:c>
      <x:c r="C1221" s="42" t="str">
        <x:v>T4</x:v>
      </x:c>
      <x:c r="D1221" s="44" t="n">
        <x:v>47848</x:v>
      </x:c>
      <x:c r="E1221" s="42" t="str">
        <x:v>Mezzala direito</x:v>
      </x:c>
      <x:c r="F1221" s="42" t="str">
        <x:v>Atalanta BC</x:v>
      </x:c>
      <x:c r="G1221" s="46"/>
      <x:c r="H1221" s="46"/>
      <x:c r="I1221" s="46"/>
      <x:c r="J1221" s="46"/>
      <x:c r="K1221" s="46" t="str">
        <x:f>IF(COUNT(G1221,I1221)=0,"",AVERAGE(G1221,I1221))</x:f>
      </x:c>
      <x:c r="L1221" s="46" t="str">
        <x:f>IF(COUNT(H1221,J1221)=0,"",AVERAGE(H1221,J1221))</x:f>
      </x:c>
      <x:c r="M1221" s="46" t="str">
        <x:f>IF(OR(K1221="",L1221=""),"",L1221-K1221)</x:f>
      </x:c>
      <x:c r="N1221" s="46" t="str">
        <x:f>IF(OR(K1221="",A1220&lt;&gt;A1221,K1220=""),"",K1221-K1220)</x:f>
      </x:c>
      <x:c r="O1221" s="42" t="str">
        <x:v>Sem informação</x:v>
      </x:c>
      <x:c r="P1221" s="42"/>
      <x:c r="Q1221" s="42" t="str"/>
      <x:c r="R1221" s="42" t="str"/>
      <x:c r="S1221" s="42" t="str"/>
      <x:c r="T1221" s="42" t="str"/>
    </x:row>
    <x:row r="1222">
      <x:c r="A1222" s="42" t="str">
        <x:v>Léo Jardim</x:v>
      </x:c>
      <x:c r="B1222" s="42" t="n">
        <x:v>2026</x:v>
      </x:c>
      <x:c r="C1222" s="42" t="str">
        <x:v>T1</x:v>
      </x:c>
      <x:c r="D1222" s="44" t="n">
        <x:v>46112</x:v>
      </x:c>
      <x:c r="E1222" s="42" t="str">
        <x:v>Goleiro</x:v>
      </x:c>
      <x:c r="F1222" s="42" t="str">
        <x:v>CR Vasco da Gama</x:v>
      </x:c>
      <x:c r="G1222" s="46"/>
      <x:c r="H1222" s="46"/>
      <x:c r="I1222" s="46"/>
      <x:c r="J1222" s="46"/>
      <x:c r="K1222" s="46" t="str">
        <x:f>IF(COUNT(G1222,I1222)=0,"",AVERAGE(G1222,I1222))</x:f>
      </x:c>
      <x:c r="L1222" s="46" t="str">
        <x:f>IF(COUNT(H1222,J1222)=0,"",AVERAGE(H1222,J1222))</x:f>
      </x:c>
      <x:c r="M1222" s="46" t="str">
        <x:f>IF(OR(K1222="",L1222=""),"",L1222-K1222)</x:f>
      </x:c>
      <x:c r="N1222" s="46" t="str">
        <x:f>IF(OR(K1222="",A1221&lt;&gt;A1222,K1221=""),"",K1222-K1221)</x:f>
      </x:c>
      <x:c r="O1222" s="42" t="str">
        <x:v>Sem informação</x:v>
      </x:c>
      <x:c r="P1222" s="42"/>
      <x:c r="Q1222" s="42" t="str"/>
      <x:c r="R1222" s="42" t="str"/>
      <x:c r="S1222" s="42" t="str"/>
      <x:c r="T1222" s="42" t="str"/>
    </x:row>
    <x:row r="1223">
      <x:c r="A1223" s="42" t="str">
        <x:v>Léo Jardim</x:v>
      </x:c>
      <x:c r="B1223" s="42" t="n">
        <x:v>2026</x:v>
      </x:c>
      <x:c r="C1223" s="42" t="str">
        <x:v>T2</x:v>
      </x:c>
      <x:c r="D1223" s="44" t="n">
        <x:v>46203</x:v>
      </x:c>
      <x:c r="E1223" s="42" t="str">
        <x:v>Goleiro</x:v>
      </x:c>
      <x:c r="F1223" s="42" t="str">
        <x:v>CR Vasco da Gama</x:v>
      </x:c>
      <x:c r="G1223" s="46"/>
      <x:c r="H1223" s="46"/>
      <x:c r="I1223" s="46"/>
      <x:c r="J1223" s="46"/>
      <x:c r="K1223" s="46" t="str">
        <x:f>IF(COUNT(G1223,I1223)=0,"",AVERAGE(G1223,I1223))</x:f>
      </x:c>
      <x:c r="L1223" s="46" t="str">
        <x:f>IF(COUNT(H1223,J1223)=0,"",AVERAGE(H1223,J1223))</x:f>
      </x:c>
      <x:c r="M1223" s="46" t="str">
        <x:f>IF(OR(K1223="",L1223=""),"",L1223-K1223)</x:f>
      </x:c>
      <x:c r="N1223" s="46" t="str">
        <x:f>IF(OR(K1223="",A1222&lt;&gt;A1223,K1222=""),"",K1223-K1222)</x:f>
      </x:c>
      <x:c r="O1223" s="42" t="str">
        <x:v>Sem informação</x:v>
      </x:c>
      <x:c r="P1223" s="42"/>
      <x:c r="Q1223" s="42" t="str"/>
      <x:c r="R1223" s="42" t="str"/>
      <x:c r="S1223" s="42" t="str"/>
      <x:c r="T1223" s="42" t="str"/>
    </x:row>
    <x:row r="1224">
      <x:c r="A1224" s="42" t="str">
        <x:v>Léo Jardim</x:v>
      </x:c>
      <x:c r="B1224" s="42" t="n">
        <x:v>2026</x:v>
      </x:c>
      <x:c r="C1224" s="42" t="str">
        <x:v>T3</x:v>
      </x:c>
      <x:c r="D1224" s="44" t="n">
        <x:v>46295</x:v>
      </x:c>
      <x:c r="E1224" s="42" t="str">
        <x:v>Goleiro</x:v>
      </x:c>
      <x:c r="F1224" s="42" t="str">
        <x:v>CR Vasco da Gama</x:v>
      </x:c>
      <x:c r="G1224" s="46"/>
      <x:c r="H1224" s="46"/>
      <x:c r="I1224" s="46"/>
      <x:c r="J1224" s="46"/>
      <x:c r="K1224" s="46" t="str">
        <x:f>IF(COUNT(G1224,I1224)=0,"",AVERAGE(G1224,I1224))</x:f>
      </x:c>
      <x:c r="L1224" s="46" t="str">
        <x:f>IF(COUNT(H1224,J1224)=0,"",AVERAGE(H1224,J1224))</x:f>
      </x:c>
      <x:c r="M1224" s="46" t="str">
        <x:f>IF(OR(K1224="",L1224=""),"",L1224-K1224)</x:f>
      </x:c>
      <x:c r="N1224" s="46" t="str">
        <x:f>IF(OR(K1224="",A1223&lt;&gt;A1224,K1223=""),"",K1224-K1223)</x:f>
      </x:c>
      <x:c r="O1224" s="42" t="str">
        <x:v>Sem informação</x:v>
      </x:c>
      <x:c r="P1224" s="42"/>
      <x:c r="Q1224" s="42" t="str"/>
      <x:c r="R1224" s="42" t="str"/>
      <x:c r="S1224" s="42" t="str"/>
      <x:c r="T1224" s="42" t="str"/>
    </x:row>
    <x:row r="1225">
      <x:c r="A1225" s="42" t="str">
        <x:v>Léo Jardim</x:v>
      </x:c>
      <x:c r="B1225" s="42" t="n">
        <x:v>2026</x:v>
      </x:c>
      <x:c r="C1225" s="42" t="str">
        <x:v>T4</x:v>
      </x:c>
      <x:c r="D1225" s="44" t="n">
        <x:v>46387</x:v>
      </x:c>
      <x:c r="E1225" s="42" t="str">
        <x:v>Goleiro</x:v>
      </x:c>
      <x:c r="F1225" s="42" t="str">
        <x:v>CR Vasco da Gama</x:v>
      </x:c>
      <x:c r="G1225" s="46"/>
      <x:c r="H1225" s="46"/>
      <x:c r="I1225" s="46"/>
      <x:c r="J1225" s="46"/>
      <x:c r="K1225" s="46" t="str">
        <x:f>IF(COUNT(G1225,I1225)=0,"",AVERAGE(G1225,I1225))</x:f>
      </x:c>
      <x:c r="L1225" s="46" t="str">
        <x:f>IF(COUNT(H1225,J1225)=0,"",AVERAGE(H1225,J1225))</x:f>
      </x:c>
      <x:c r="M1225" s="46" t="str">
        <x:f>IF(OR(K1225="",L1225=""),"",L1225-K1225)</x:f>
      </x:c>
      <x:c r="N1225" s="46" t="str">
        <x:f>IF(OR(K1225="",A1224&lt;&gt;A1225,K1224=""),"",K1225-K1224)</x:f>
      </x:c>
      <x:c r="O1225" s="42" t="str">
        <x:v>Sem informação</x:v>
      </x:c>
      <x:c r="P1225" s="42"/>
      <x:c r="Q1225" s="42" t="str"/>
      <x:c r="R1225" s="42" t="str"/>
      <x:c r="S1225" s="42" t="str"/>
      <x:c r="T1225" s="42" t="str"/>
    </x:row>
    <x:row r="1226">
      <x:c r="A1226" s="42" t="str">
        <x:v>Léo Jardim</x:v>
      </x:c>
      <x:c r="B1226" s="42" t="n">
        <x:v>2027</x:v>
      </x:c>
      <x:c r="C1226" s="42" t="str">
        <x:v>T1</x:v>
      </x:c>
      <x:c r="D1226" s="44" t="n">
        <x:v>46477</x:v>
      </x:c>
      <x:c r="E1226" s="42" t="str">
        <x:v>Goleiro</x:v>
      </x:c>
      <x:c r="F1226" s="42" t="str">
        <x:v>CR Vasco da Gama</x:v>
      </x:c>
      <x:c r="G1226" s="46"/>
      <x:c r="H1226" s="46"/>
      <x:c r="I1226" s="46"/>
      <x:c r="J1226" s="46"/>
      <x:c r="K1226" s="46" t="str">
        <x:f>IF(COUNT(G1226,I1226)=0,"",AVERAGE(G1226,I1226))</x:f>
      </x:c>
      <x:c r="L1226" s="46" t="str">
        <x:f>IF(COUNT(H1226,J1226)=0,"",AVERAGE(H1226,J1226))</x:f>
      </x:c>
      <x:c r="M1226" s="46" t="str">
        <x:f>IF(OR(K1226="",L1226=""),"",L1226-K1226)</x:f>
      </x:c>
      <x:c r="N1226" s="46" t="str">
        <x:f>IF(OR(K1226="",A1225&lt;&gt;A1226,K1225=""),"",K1226-K1225)</x:f>
      </x:c>
      <x:c r="O1226" s="42" t="str">
        <x:v>Sem informação</x:v>
      </x:c>
      <x:c r="P1226" s="42"/>
      <x:c r="Q1226" s="42" t="str"/>
      <x:c r="R1226" s="42" t="str"/>
      <x:c r="S1226" s="42" t="str"/>
      <x:c r="T1226" s="42" t="str"/>
    </x:row>
    <x:row r="1227">
      <x:c r="A1227" s="42" t="str">
        <x:v>Léo Jardim</x:v>
      </x:c>
      <x:c r="B1227" s="42" t="n">
        <x:v>2027</x:v>
      </x:c>
      <x:c r="C1227" s="42" t="str">
        <x:v>T2</x:v>
      </x:c>
      <x:c r="D1227" s="44" t="n">
        <x:v>46568</x:v>
      </x:c>
      <x:c r="E1227" s="42" t="str">
        <x:v>Goleiro</x:v>
      </x:c>
      <x:c r="F1227" s="42" t="str">
        <x:v>CR Vasco da Gama</x:v>
      </x:c>
      <x:c r="G1227" s="46"/>
      <x:c r="H1227" s="46"/>
      <x:c r="I1227" s="46"/>
      <x:c r="J1227" s="46"/>
      <x:c r="K1227" s="46" t="str">
        <x:f>IF(COUNT(G1227,I1227)=0,"",AVERAGE(G1227,I1227))</x:f>
      </x:c>
      <x:c r="L1227" s="46" t="str">
        <x:f>IF(COUNT(H1227,J1227)=0,"",AVERAGE(H1227,J1227))</x:f>
      </x:c>
      <x:c r="M1227" s="46" t="str">
        <x:f>IF(OR(K1227="",L1227=""),"",L1227-K1227)</x:f>
      </x:c>
      <x:c r="N1227" s="46" t="str">
        <x:f>IF(OR(K1227="",A1226&lt;&gt;A1227,K1226=""),"",K1227-K1226)</x:f>
      </x:c>
      <x:c r="O1227" s="42" t="str">
        <x:v>Sem informação</x:v>
      </x:c>
      <x:c r="P1227" s="42"/>
      <x:c r="Q1227" s="42" t="str"/>
      <x:c r="R1227" s="42" t="str"/>
      <x:c r="S1227" s="42" t="str"/>
      <x:c r="T1227" s="42" t="str"/>
    </x:row>
    <x:row r="1228">
      <x:c r="A1228" s="42" t="str">
        <x:v>Léo Jardim</x:v>
      </x:c>
      <x:c r="B1228" s="42" t="n">
        <x:v>2027</x:v>
      </x:c>
      <x:c r="C1228" s="42" t="str">
        <x:v>T3</x:v>
      </x:c>
      <x:c r="D1228" s="44" t="n">
        <x:v>46660</x:v>
      </x:c>
      <x:c r="E1228" s="42" t="str">
        <x:v>Goleiro</x:v>
      </x:c>
      <x:c r="F1228" s="42" t="str">
        <x:v>CR Vasco da Gama</x:v>
      </x:c>
      <x:c r="G1228" s="46"/>
      <x:c r="H1228" s="46"/>
      <x:c r="I1228" s="46"/>
      <x:c r="J1228" s="46"/>
      <x:c r="K1228" s="46" t="str">
        <x:f>IF(COUNT(G1228,I1228)=0,"",AVERAGE(G1228,I1228))</x:f>
      </x:c>
      <x:c r="L1228" s="46" t="str">
        <x:f>IF(COUNT(H1228,J1228)=0,"",AVERAGE(H1228,J1228))</x:f>
      </x:c>
      <x:c r="M1228" s="46" t="str">
        <x:f>IF(OR(K1228="",L1228=""),"",L1228-K1228)</x:f>
      </x:c>
      <x:c r="N1228" s="46" t="str">
        <x:f>IF(OR(K1228="",A1227&lt;&gt;A1228,K1227=""),"",K1228-K1227)</x:f>
      </x:c>
      <x:c r="O1228" s="42" t="str">
        <x:v>Sem informação</x:v>
      </x:c>
      <x:c r="P1228" s="42"/>
      <x:c r="Q1228" s="42" t="str"/>
      <x:c r="R1228" s="42" t="str"/>
      <x:c r="S1228" s="42" t="str"/>
      <x:c r="T1228" s="42" t="str"/>
    </x:row>
    <x:row r="1229">
      <x:c r="A1229" s="42" t="str">
        <x:v>Léo Jardim</x:v>
      </x:c>
      <x:c r="B1229" s="42" t="n">
        <x:v>2027</x:v>
      </x:c>
      <x:c r="C1229" s="42" t="str">
        <x:v>T4</x:v>
      </x:c>
      <x:c r="D1229" s="44" t="n">
        <x:v>46752</x:v>
      </x:c>
      <x:c r="E1229" s="42" t="str">
        <x:v>Goleiro</x:v>
      </x:c>
      <x:c r="F1229" s="42" t="str">
        <x:v>CR Vasco da Gama</x:v>
      </x:c>
      <x:c r="G1229" s="46"/>
      <x:c r="H1229" s="46"/>
      <x:c r="I1229" s="46"/>
      <x:c r="J1229" s="46"/>
      <x:c r="K1229" s="46" t="str">
        <x:f>IF(COUNT(G1229,I1229)=0,"",AVERAGE(G1229,I1229))</x:f>
      </x:c>
      <x:c r="L1229" s="46" t="str">
        <x:f>IF(COUNT(H1229,J1229)=0,"",AVERAGE(H1229,J1229))</x:f>
      </x:c>
      <x:c r="M1229" s="46" t="str">
        <x:f>IF(OR(K1229="",L1229=""),"",L1229-K1229)</x:f>
      </x:c>
      <x:c r="N1229" s="46" t="str">
        <x:f>IF(OR(K1229="",A1228&lt;&gt;A1229,K1228=""),"",K1229-K1228)</x:f>
      </x:c>
      <x:c r="O1229" s="42" t="str">
        <x:v>Sem informação</x:v>
      </x:c>
      <x:c r="P1229" s="42"/>
      <x:c r="Q1229" s="42" t="str"/>
      <x:c r="R1229" s="42" t="str"/>
      <x:c r="S1229" s="42" t="str"/>
      <x:c r="T1229" s="42" t="str"/>
    </x:row>
    <x:row r="1230">
      <x:c r="A1230" s="42" t="str">
        <x:v>Léo Jardim</x:v>
      </x:c>
      <x:c r="B1230" s="42" t="n">
        <x:v>2028</x:v>
      </x:c>
      <x:c r="C1230" s="42" t="str">
        <x:v>T1</x:v>
      </x:c>
      <x:c r="D1230" s="44" t="n">
        <x:v>46843</x:v>
      </x:c>
      <x:c r="E1230" s="42" t="str">
        <x:v>Goleiro</x:v>
      </x:c>
      <x:c r="F1230" s="42" t="str">
        <x:v>CR Vasco da Gama</x:v>
      </x:c>
      <x:c r="G1230" s="46"/>
      <x:c r="H1230" s="46"/>
      <x:c r="I1230" s="46"/>
      <x:c r="J1230" s="46"/>
      <x:c r="K1230" s="46" t="str">
        <x:f>IF(COUNT(G1230,I1230)=0,"",AVERAGE(G1230,I1230))</x:f>
      </x:c>
      <x:c r="L1230" s="46" t="str">
        <x:f>IF(COUNT(H1230,J1230)=0,"",AVERAGE(H1230,J1230))</x:f>
      </x:c>
      <x:c r="M1230" s="46" t="str">
        <x:f>IF(OR(K1230="",L1230=""),"",L1230-K1230)</x:f>
      </x:c>
      <x:c r="N1230" s="46" t="str">
        <x:f>IF(OR(K1230="",A1229&lt;&gt;A1230,K1229=""),"",K1230-K1229)</x:f>
      </x:c>
      <x:c r="O1230" s="42" t="str">
        <x:v>Sem informação</x:v>
      </x:c>
      <x:c r="P1230" s="42"/>
      <x:c r="Q1230" s="42" t="str"/>
      <x:c r="R1230" s="42" t="str"/>
      <x:c r="S1230" s="42" t="str"/>
      <x:c r="T1230" s="42" t="str"/>
    </x:row>
    <x:row r="1231">
      <x:c r="A1231" s="42" t="str">
        <x:v>Léo Jardim</x:v>
      </x:c>
      <x:c r="B1231" s="42" t="n">
        <x:v>2028</x:v>
      </x:c>
      <x:c r="C1231" s="42" t="str">
        <x:v>T2</x:v>
      </x:c>
      <x:c r="D1231" s="44" t="n">
        <x:v>46934</x:v>
      </x:c>
      <x:c r="E1231" s="42" t="str">
        <x:v>Goleiro</x:v>
      </x:c>
      <x:c r="F1231" s="42" t="str">
        <x:v>CR Vasco da Gama</x:v>
      </x:c>
      <x:c r="G1231" s="46"/>
      <x:c r="H1231" s="46"/>
      <x:c r="I1231" s="46"/>
      <x:c r="J1231" s="46"/>
      <x:c r="K1231" s="46" t="str">
        <x:f>IF(COUNT(G1231,I1231)=0,"",AVERAGE(G1231,I1231))</x:f>
      </x:c>
      <x:c r="L1231" s="46" t="str">
        <x:f>IF(COUNT(H1231,J1231)=0,"",AVERAGE(H1231,J1231))</x:f>
      </x:c>
      <x:c r="M1231" s="46" t="str">
        <x:f>IF(OR(K1231="",L1231=""),"",L1231-K1231)</x:f>
      </x:c>
      <x:c r="N1231" s="46" t="str">
        <x:f>IF(OR(K1231="",A1230&lt;&gt;A1231,K1230=""),"",K1231-K1230)</x:f>
      </x:c>
      <x:c r="O1231" s="42" t="str">
        <x:v>Sem informação</x:v>
      </x:c>
      <x:c r="P1231" s="42"/>
      <x:c r="Q1231" s="42" t="str"/>
      <x:c r="R1231" s="42" t="str"/>
      <x:c r="S1231" s="42" t="str"/>
      <x:c r="T1231" s="42" t="str"/>
    </x:row>
    <x:row r="1232">
      <x:c r="A1232" s="42" t="str">
        <x:v>Léo Jardim</x:v>
      </x:c>
      <x:c r="B1232" s="42" t="n">
        <x:v>2028</x:v>
      </x:c>
      <x:c r="C1232" s="42" t="str">
        <x:v>T3</x:v>
      </x:c>
      <x:c r="D1232" s="44" t="n">
        <x:v>47026</x:v>
      </x:c>
      <x:c r="E1232" s="42" t="str">
        <x:v>Goleiro</x:v>
      </x:c>
      <x:c r="F1232" s="42" t="str">
        <x:v>CR Vasco da Gama</x:v>
      </x:c>
      <x:c r="G1232" s="46"/>
      <x:c r="H1232" s="46"/>
      <x:c r="I1232" s="46"/>
      <x:c r="J1232" s="46"/>
      <x:c r="K1232" s="46" t="str">
        <x:f>IF(COUNT(G1232,I1232)=0,"",AVERAGE(G1232,I1232))</x:f>
      </x:c>
      <x:c r="L1232" s="46" t="str">
        <x:f>IF(COUNT(H1232,J1232)=0,"",AVERAGE(H1232,J1232))</x:f>
      </x:c>
      <x:c r="M1232" s="46" t="str">
        <x:f>IF(OR(K1232="",L1232=""),"",L1232-K1232)</x:f>
      </x:c>
      <x:c r="N1232" s="46" t="str">
        <x:f>IF(OR(K1232="",A1231&lt;&gt;A1232,K1231=""),"",K1232-K1231)</x:f>
      </x:c>
      <x:c r="O1232" s="42" t="str">
        <x:v>Sem informação</x:v>
      </x:c>
      <x:c r="P1232" s="42"/>
      <x:c r="Q1232" s="42" t="str"/>
      <x:c r="R1232" s="42" t="str"/>
      <x:c r="S1232" s="42" t="str"/>
      <x:c r="T1232" s="42" t="str"/>
    </x:row>
    <x:row r="1233">
      <x:c r="A1233" s="42" t="str">
        <x:v>Léo Jardim</x:v>
      </x:c>
      <x:c r="B1233" s="42" t="n">
        <x:v>2028</x:v>
      </x:c>
      <x:c r="C1233" s="42" t="str">
        <x:v>T4</x:v>
      </x:c>
      <x:c r="D1233" s="44" t="n">
        <x:v>47118</x:v>
      </x:c>
      <x:c r="E1233" s="42" t="str">
        <x:v>Goleiro</x:v>
      </x:c>
      <x:c r="F1233" s="42" t="str">
        <x:v>CR Vasco da Gama</x:v>
      </x:c>
      <x:c r="G1233" s="46"/>
      <x:c r="H1233" s="46"/>
      <x:c r="I1233" s="46"/>
      <x:c r="J1233" s="46"/>
      <x:c r="K1233" s="46" t="str">
        <x:f>IF(COUNT(G1233,I1233)=0,"",AVERAGE(G1233,I1233))</x:f>
      </x:c>
      <x:c r="L1233" s="46" t="str">
        <x:f>IF(COUNT(H1233,J1233)=0,"",AVERAGE(H1233,J1233))</x:f>
      </x:c>
      <x:c r="M1233" s="46" t="str">
        <x:f>IF(OR(K1233="",L1233=""),"",L1233-K1233)</x:f>
      </x:c>
      <x:c r="N1233" s="46" t="str">
        <x:f>IF(OR(K1233="",A1232&lt;&gt;A1233,K1232=""),"",K1233-K1232)</x:f>
      </x:c>
      <x:c r="O1233" s="42" t="str">
        <x:v>Sem informação</x:v>
      </x:c>
      <x:c r="P1233" s="42"/>
      <x:c r="Q1233" s="42" t="str"/>
      <x:c r="R1233" s="42" t="str"/>
      <x:c r="S1233" s="42" t="str"/>
      <x:c r="T1233" s="42" t="str"/>
    </x:row>
    <x:row r="1234">
      <x:c r="A1234" s="42" t="str">
        <x:v>Léo Jardim</x:v>
      </x:c>
      <x:c r="B1234" s="42" t="n">
        <x:v>2029</x:v>
      </x:c>
      <x:c r="C1234" s="42" t="str">
        <x:v>T1</x:v>
      </x:c>
      <x:c r="D1234" s="44" t="n">
        <x:v>47208</x:v>
      </x:c>
      <x:c r="E1234" s="42" t="str">
        <x:v>Goleiro</x:v>
      </x:c>
      <x:c r="F1234" s="42" t="str">
        <x:v>CR Vasco da Gama</x:v>
      </x:c>
      <x:c r="G1234" s="46"/>
      <x:c r="H1234" s="46"/>
      <x:c r="I1234" s="46"/>
      <x:c r="J1234" s="46"/>
      <x:c r="K1234" s="46" t="str">
        <x:f>IF(COUNT(G1234,I1234)=0,"",AVERAGE(G1234,I1234))</x:f>
      </x:c>
      <x:c r="L1234" s="46" t="str">
        <x:f>IF(COUNT(H1234,J1234)=0,"",AVERAGE(H1234,J1234))</x:f>
      </x:c>
      <x:c r="M1234" s="46" t="str">
        <x:f>IF(OR(K1234="",L1234=""),"",L1234-K1234)</x:f>
      </x:c>
      <x:c r="N1234" s="46" t="str">
        <x:f>IF(OR(K1234="",A1233&lt;&gt;A1234,K1233=""),"",K1234-K1233)</x:f>
      </x:c>
      <x:c r="O1234" s="42" t="str">
        <x:v>Sem informação</x:v>
      </x:c>
      <x:c r="P1234" s="42"/>
      <x:c r="Q1234" s="42" t="str"/>
      <x:c r="R1234" s="42" t="str"/>
      <x:c r="S1234" s="42" t="str"/>
      <x:c r="T1234" s="42" t="str"/>
    </x:row>
    <x:row r="1235">
      <x:c r="A1235" s="42" t="str">
        <x:v>Léo Jardim</x:v>
      </x:c>
      <x:c r="B1235" s="42" t="n">
        <x:v>2029</x:v>
      </x:c>
      <x:c r="C1235" s="42" t="str">
        <x:v>T2</x:v>
      </x:c>
      <x:c r="D1235" s="44" t="n">
        <x:v>47299</x:v>
      </x:c>
      <x:c r="E1235" s="42" t="str">
        <x:v>Goleiro</x:v>
      </x:c>
      <x:c r="F1235" s="42" t="str">
        <x:v>CR Vasco da Gama</x:v>
      </x:c>
      <x:c r="G1235" s="46"/>
      <x:c r="H1235" s="46"/>
      <x:c r="I1235" s="46"/>
      <x:c r="J1235" s="46"/>
      <x:c r="K1235" s="46" t="str">
        <x:f>IF(COUNT(G1235,I1235)=0,"",AVERAGE(G1235,I1235))</x:f>
      </x:c>
      <x:c r="L1235" s="46" t="str">
        <x:f>IF(COUNT(H1235,J1235)=0,"",AVERAGE(H1235,J1235))</x:f>
      </x:c>
      <x:c r="M1235" s="46" t="str">
        <x:f>IF(OR(K1235="",L1235=""),"",L1235-K1235)</x:f>
      </x:c>
      <x:c r="N1235" s="46" t="str">
        <x:f>IF(OR(K1235="",A1234&lt;&gt;A1235,K1234=""),"",K1235-K1234)</x:f>
      </x:c>
      <x:c r="O1235" s="42" t="str">
        <x:v>Sem informação</x:v>
      </x:c>
      <x:c r="P1235" s="42"/>
      <x:c r="Q1235" s="42" t="str"/>
      <x:c r="R1235" s="42" t="str"/>
      <x:c r="S1235" s="42" t="str"/>
      <x:c r="T1235" s="42" t="str"/>
    </x:row>
    <x:row r="1236">
      <x:c r="A1236" s="42" t="str">
        <x:v>Léo Jardim</x:v>
      </x:c>
      <x:c r="B1236" s="42" t="n">
        <x:v>2029</x:v>
      </x:c>
      <x:c r="C1236" s="42" t="str">
        <x:v>T3</x:v>
      </x:c>
      <x:c r="D1236" s="44" t="n">
        <x:v>47391</x:v>
      </x:c>
      <x:c r="E1236" s="42" t="str">
        <x:v>Goleiro</x:v>
      </x:c>
      <x:c r="F1236" s="42" t="str">
        <x:v>CR Vasco da Gama</x:v>
      </x:c>
      <x:c r="G1236" s="46"/>
      <x:c r="H1236" s="46"/>
      <x:c r="I1236" s="46"/>
      <x:c r="J1236" s="46"/>
      <x:c r="K1236" s="46" t="str">
        <x:f>IF(COUNT(G1236,I1236)=0,"",AVERAGE(G1236,I1236))</x:f>
      </x:c>
      <x:c r="L1236" s="46" t="str">
        <x:f>IF(COUNT(H1236,J1236)=0,"",AVERAGE(H1236,J1236))</x:f>
      </x:c>
      <x:c r="M1236" s="46" t="str">
        <x:f>IF(OR(K1236="",L1236=""),"",L1236-K1236)</x:f>
      </x:c>
      <x:c r="N1236" s="46" t="str">
        <x:f>IF(OR(K1236="",A1235&lt;&gt;A1236,K1235=""),"",K1236-K1235)</x:f>
      </x:c>
      <x:c r="O1236" s="42" t="str">
        <x:v>Sem informação</x:v>
      </x:c>
      <x:c r="P1236" s="42"/>
      <x:c r="Q1236" s="42" t="str"/>
      <x:c r="R1236" s="42" t="str"/>
      <x:c r="S1236" s="42" t="str"/>
      <x:c r="T1236" s="42" t="str"/>
    </x:row>
    <x:row r="1237">
      <x:c r="A1237" s="42" t="str">
        <x:v>Léo Jardim</x:v>
      </x:c>
      <x:c r="B1237" s="42" t="n">
        <x:v>2029</x:v>
      </x:c>
      <x:c r="C1237" s="42" t="str">
        <x:v>T4</x:v>
      </x:c>
      <x:c r="D1237" s="44" t="n">
        <x:v>47483</x:v>
      </x:c>
      <x:c r="E1237" s="42" t="str">
        <x:v>Goleiro</x:v>
      </x:c>
      <x:c r="F1237" s="42" t="str">
        <x:v>CR Vasco da Gama</x:v>
      </x:c>
      <x:c r="G1237" s="46"/>
      <x:c r="H1237" s="46"/>
      <x:c r="I1237" s="46"/>
      <x:c r="J1237" s="46"/>
      <x:c r="K1237" s="46" t="str">
        <x:f>IF(COUNT(G1237,I1237)=0,"",AVERAGE(G1237,I1237))</x:f>
      </x:c>
      <x:c r="L1237" s="46" t="str">
        <x:f>IF(COUNT(H1237,J1237)=0,"",AVERAGE(H1237,J1237))</x:f>
      </x:c>
      <x:c r="M1237" s="46" t="str">
        <x:f>IF(OR(K1237="",L1237=""),"",L1237-K1237)</x:f>
      </x:c>
      <x:c r="N1237" s="46" t="str">
        <x:f>IF(OR(K1237="",A1236&lt;&gt;A1237,K1236=""),"",K1237-K1236)</x:f>
      </x:c>
      <x:c r="O1237" s="42" t="str">
        <x:v>Sem informação</x:v>
      </x:c>
      <x:c r="P1237" s="42"/>
      <x:c r="Q1237" s="42" t="str"/>
      <x:c r="R1237" s="42" t="str"/>
      <x:c r="S1237" s="42" t="str"/>
      <x:c r="T1237" s="42" t="str"/>
    </x:row>
    <x:row r="1238">
      <x:c r="A1238" s="42" t="str">
        <x:v>Léo Jardim</x:v>
      </x:c>
      <x:c r="B1238" s="42" t="n">
        <x:v>2030</x:v>
      </x:c>
      <x:c r="C1238" s="42" t="str">
        <x:v>T1</x:v>
      </x:c>
      <x:c r="D1238" s="44" t="n">
        <x:v>47573</x:v>
      </x:c>
      <x:c r="E1238" s="42" t="str">
        <x:v>Goleiro</x:v>
      </x:c>
      <x:c r="F1238" s="42" t="str">
        <x:v>CR Vasco da Gama</x:v>
      </x:c>
      <x:c r="G1238" s="46"/>
      <x:c r="H1238" s="46"/>
      <x:c r="I1238" s="46"/>
      <x:c r="J1238" s="46"/>
      <x:c r="K1238" s="46" t="str">
        <x:f>IF(COUNT(G1238,I1238)=0,"",AVERAGE(G1238,I1238))</x:f>
      </x:c>
      <x:c r="L1238" s="46" t="str">
        <x:f>IF(COUNT(H1238,J1238)=0,"",AVERAGE(H1238,J1238))</x:f>
      </x:c>
      <x:c r="M1238" s="46" t="str">
        <x:f>IF(OR(K1238="",L1238=""),"",L1238-K1238)</x:f>
      </x:c>
      <x:c r="N1238" s="46" t="str">
        <x:f>IF(OR(K1238="",A1237&lt;&gt;A1238,K1237=""),"",K1238-K1237)</x:f>
      </x:c>
      <x:c r="O1238" s="42" t="str">
        <x:v>Sem informação</x:v>
      </x:c>
      <x:c r="P1238" s="42"/>
      <x:c r="Q1238" s="42" t="str"/>
      <x:c r="R1238" s="42" t="str"/>
      <x:c r="S1238" s="42" t="str"/>
      <x:c r="T1238" s="42" t="str"/>
    </x:row>
    <x:row r="1239">
      <x:c r="A1239" s="42" t="str">
        <x:v>Léo Jardim</x:v>
      </x:c>
      <x:c r="B1239" s="42" t="n">
        <x:v>2030</x:v>
      </x:c>
      <x:c r="C1239" s="42" t="str">
        <x:v>T2</x:v>
      </x:c>
      <x:c r="D1239" s="44" t="n">
        <x:v>47664</x:v>
      </x:c>
      <x:c r="E1239" s="42" t="str">
        <x:v>Goleiro</x:v>
      </x:c>
      <x:c r="F1239" s="42" t="str">
        <x:v>CR Vasco da Gama</x:v>
      </x:c>
      <x:c r="G1239" s="46"/>
      <x:c r="H1239" s="46"/>
      <x:c r="I1239" s="46"/>
      <x:c r="J1239" s="46"/>
      <x:c r="K1239" s="46" t="str">
        <x:f>IF(COUNT(G1239,I1239)=0,"",AVERAGE(G1239,I1239))</x:f>
      </x:c>
      <x:c r="L1239" s="46" t="str">
        <x:f>IF(COUNT(H1239,J1239)=0,"",AVERAGE(H1239,J1239))</x:f>
      </x:c>
      <x:c r="M1239" s="46" t="str">
        <x:f>IF(OR(K1239="",L1239=""),"",L1239-K1239)</x:f>
      </x:c>
      <x:c r="N1239" s="46" t="str">
        <x:f>IF(OR(K1239="",A1238&lt;&gt;A1239,K1238=""),"",K1239-K1238)</x:f>
      </x:c>
      <x:c r="O1239" s="42" t="str">
        <x:v>Sem informação</x:v>
      </x:c>
      <x:c r="P1239" s="42"/>
      <x:c r="Q1239" s="42" t="str"/>
      <x:c r="R1239" s="42" t="str"/>
      <x:c r="S1239" s="42" t="str"/>
      <x:c r="T1239" s="42" t="str"/>
    </x:row>
    <x:row r="1240">
      <x:c r="A1240" s="42" t="str">
        <x:v>Léo Jardim</x:v>
      </x:c>
      <x:c r="B1240" s="42" t="n">
        <x:v>2030</x:v>
      </x:c>
      <x:c r="C1240" s="42" t="str">
        <x:v>T3</x:v>
      </x:c>
      <x:c r="D1240" s="44" t="n">
        <x:v>47756</x:v>
      </x:c>
      <x:c r="E1240" s="42" t="str">
        <x:v>Goleiro</x:v>
      </x:c>
      <x:c r="F1240" s="42" t="str">
        <x:v>CR Vasco da Gama</x:v>
      </x:c>
      <x:c r="G1240" s="46"/>
      <x:c r="H1240" s="46"/>
      <x:c r="I1240" s="46"/>
      <x:c r="J1240" s="46"/>
      <x:c r="K1240" s="46" t="str">
        <x:f>IF(COUNT(G1240,I1240)=0,"",AVERAGE(G1240,I1240))</x:f>
      </x:c>
      <x:c r="L1240" s="46" t="str">
        <x:f>IF(COUNT(H1240,J1240)=0,"",AVERAGE(H1240,J1240))</x:f>
      </x:c>
      <x:c r="M1240" s="46" t="str">
        <x:f>IF(OR(K1240="",L1240=""),"",L1240-K1240)</x:f>
      </x:c>
      <x:c r="N1240" s="46" t="str">
        <x:f>IF(OR(K1240="",A1239&lt;&gt;A1240,K1239=""),"",K1240-K1239)</x:f>
      </x:c>
      <x:c r="O1240" s="42" t="str">
        <x:v>Sem informação</x:v>
      </x:c>
      <x:c r="P1240" s="42"/>
      <x:c r="Q1240" s="42" t="str"/>
      <x:c r="R1240" s="42" t="str"/>
      <x:c r="S1240" s="42" t="str"/>
      <x:c r="T1240" s="42" t="str"/>
    </x:row>
    <x:row r="1241">
      <x:c r="A1241" s="42" t="str">
        <x:v>Léo Jardim</x:v>
      </x:c>
      <x:c r="B1241" s="42" t="n">
        <x:v>2030</x:v>
      </x:c>
      <x:c r="C1241" s="42" t="str">
        <x:v>T4</x:v>
      </x:c>
      <x:c r="D1241" s="44" t="n">
        <x:v>47848</x:v>
      </x:c>
      <x:c r="E1241" s="42" t="str">
        <x:v>Goleiro</x:v>
      </x:c>
      <x:c r="F1241" s="42" t="str">
        <x:v>CR Vasco da Gama</x:v>
      </x:c>
      <x:c r="G1241" s="46"/>
      <x:c r="H1241" s="46"/>
      <x:c r="I1241" s="46"/>
      <x:c r="J1241" s="46"/>
      <x:c r="K1241" s="46" t="str">
        <x:f>IF(COUNT(G1241,I1241)=0,"",AVERAGE(G1241,I1241))</x:f>
      </x:c>
      <x:c r="L1241" s="46" t="str">
        <x:f>IF(COUNT(H1241,J1241)=0,"",AVERAGE(H1241,J1241))</x:f>
      </x:c>
      <x:c r="M1241" s="46" t="str">
        <x:f>IF(OR(K1241="",L1241=""),"",L1241-K1241)</x:f>
      </x:c>
      <x:c r="N1241" s="46" t="str">
        <x:f>IF(OR(K1241="",A1240&lt;&gt;A1241,K1240=""),"",K1241-K1240)</x:f>
      </x:c>
      <x:c r="O1241" s="42" t="str">
        <x:v>Sem informação</x:v>
      </x:c>
      <x:c r="P1241" s="42"/>
      <x:c r="Q1241" s="42" t="str"/>
      <x:c r="R1241" s="42" t="str"/>
      <x:c r="S1241" s="42" t="str"/>
      <x:c r="T1241" s="42" t="str"/>
    </x:row>
    <x:row r="1242">
      <x:c r="A1242" s="42" t="str">
        <x:v>Carlos Augusto</x:v>
      </x:c>
      <x:c r="B1242" s="42" t="n">
        <x:v>2026</x:v>
      </x:c>
      <x:c r="C1242" s="42" t="str">
        <x:v>T1</x:v>
      </x:c>
      <x:c r="D1242" s="44" t="n">
        <x:v>46112</x:v>
      </x:c>
      <x:c r="E1242" s="42" t="str">
        <x:v>Lateral-esquerdo</x:v>
      </x:c>
      <x:c r="F1242" s="42" t="str">
        <x:v>Inter de Milão</x:v>
      </x:c>
      <x:c r="G1242" s="46"/>
      <x:c r="H1242" s="46"/>
      <x:c r="I1242" s="46"/>
      <x:c r="J1242" s="46"/>
      <x:c r="K1242" s="46" t="str">
        <x:f>IF(COUNT(G1242,I1242)=0,"",AVERAGE(G1242,I1242))</x:f>
      </x:c>
      <x:c r="L1242" s="46" t="str">
        <x:f>IF(COUNT(H1242,J1242)=0,"",AVERAGE(H1242,J1242))</x:f>
      </x:c>
      <x:c r="M1242" s="46" t="str">
        <x:f>IF(OR(K1242="",L1242=""),"",L1242-K1242)</x:f>
      </x:c>
      <x:c r="N1242" s="46" t="str">
        <x:f>IF(OR(K1242="",A1241&lt;&gt;A1242,K1241=""),"",K1242-K1241)</x:f>
      </x:c>
      <x:c r="O1242" s="42" t="str">
        <x:v>Sem informação</x:v>
      </x:c>
      <x:c r="P1242" s="42"/>
      <x:c r="Q1242" s="42" t="str"/>
      <x:c r="R1242" s="42" t="str"/>
      <x:c r="S1242" s="42" t="str"/>
      <x:c r="T1242" s="42" t="str"/>
    </x:row>
    <x:row r="1243">
      <x:c r="A1243" s="42" t="str">
        <x:v>Carlos Augusto</x:v>
      </x:c>
      <x:c r="B1243" s="42" t="n">
        <x:v>2026</x:v>
      </x:c>
      <x:c r="C1243" s="42" t="str">
        <x:v>T2</x:v>
      </x:c>
      <x:c r="D1243" s="44" t="n">
        <x:v>46203</x:v>
      </x:c>
      <x:c r="E1243" s="42" t="str">
        <x:v>Lateral-esquerdo</x:v>
      </x:c>
      <x:c r="F1243" s="42" t="str">
        <x:v>Inter de Milão</x:v>
      </x:c>
      <x:c r="G1243" s="46"/>
      <x:c r="H1243" s="46"/>
      <x:c r="I1243" s="46"/>
      <x:c r="J1243" s="46"/>
      <x:c r="K1243" s="46" t="str">
        <x:f>IF(COUNT(G1243,I1243)=0,"",AVERAGE(G1243,I1243))</x:f>
      </x:c>
      <x:c r="L1243" s="46" t="str">
        <x:f>IF(COUNT(H1243,J1243)=0,"",AVERAGE(H1243,J1243))</x:f>
      </x:c>
      <x:c r="M1243" s="46" t="str">
        <x:f>IF(OR(K1243="",L1243=""),"",L1243-K1243)</x:f>
      </x:c>
      <x:c r="N1243" s="46" t="str">
        <x:f>IF(OR(K1243="",A1242&lt;&gt;A1243,K1242=""),"",K1243-K1242)</x:f>
      </x:c>
      <x:c r="O1243" s="42" t="str">
        <x:v>Sem informação</x:v>
      </x:c>
      <x:c r="P1243" s="42"/>
      <x:c r="Q1243" s="42" t="str"/>
      <x:c r="R1243" s="42" t="str"/>
      <x:c r="S1243" s="42" t="str"/>
      <x:c r="T1243" s="42" t="str"/>
    </x:row>
    <x:row r="1244">
      <x:c r="A1244" s="42" t="str">
        <x:v>Carlos Augusto</x:v>
      </x:c>
      <x:c r="B1244" s="42" t="n">
        <x:v>2026</x:v>
      </x:c>
      <x:c r="C1244" s="42" t="str">
        <x:v>T3</x:v>
      </x:c>
      <x:c r="D1244" s="44" t="n">
        <x:v>46295</x:v>
      </x:c>
      <x:c r="E1244" s="42" t="str">
        <x:v>Lateral-esquerdo</x:v>
      </x:c>
      <x:c r="F1244" s="42" t="str">
        <x:v>Inter de Milão</x:v>
      </x:c>
      <x:c r="G1244" s="46"/>
      <x:c r="H1244" s="46"/>
      <x:c r="I1244" s="46"/>
      <x:c r="J1244" s="46"/>
      <x:c r="K1244" s="46" t="str">
        <x:f>IF(COUNT(G1244,I1244)=0,"",AVERAGE(G1244,I1244))</x:f>
      </x:c>
      <x:c r="L1244" s="46" t="str">
        <x:f>IF(COUNT(H1244,J1244)=0,"",AVERAGE(H1244,J1244))</x:f>
      </x:c>
      <x:c r="M1244" s="46" t="str">
        <x:f>IF(OR(K1244="",L1244=""),"",L1244-K1244)</x:f>
      </x:c>
      <x:c r="N1244" s="46" t="str">
        <x:f>IF(OR(K1244="",A1243&lt;&gt;A1244,K1243=""),"",K1244-K1243)</x:f>
      </x:c>
      <x:c r="O1244" s="42" t="str">
        <x:v>Sem informação</x:v>
      </x:c>
      <x:c r="P1244" s="42"/>
      <x:c r="Q1244" s="42" t="str"/>
      <x:c r="R1244" s="42" t="str"/>
      <x:c r="S1244" s="42" t="str"/>
      <x:c r="T1244" s="42" t="str"/>
    </x:row>
    <x:row r="1245">
      <x:c r="A1245" s="42" t="str">
        <x:v>Carlos Augusto</x:v>
      </x:c>
      <x:c r="B1245" s="42" t="n">
        <x:v>2026</x:v>
      </x:c>
      <x:c r="C1245" s="42" t="str">
        <x:v>T4</x:v>
      </x:c>
      <x:c r="D1245" s="44" t="n">
        <x:v>46387</x:v>
      </x:c>
      <x:c r="E1245" s="42" t="str">
        <x:v>Lateral-esquerdo</x:v>
      </x:c>
      <x:c r="F1245" s="42" t="str">
        <x:v>Inter de Milão</x:v>
      </x:c>
      <x:c r="G1245" s="46"/>
      <x:c r="H1245" s="46"/>
      <x:c r="I1245" s="46"/>
      <x:c r="J1245" s="46"/>
      <x:c r="K1245" s="46" t="str">
        <x:f>IF(COUNT(G1245,I1245)=0,"",AVERAGE(G1245,I1245))</x:f>
      </x:c>
      <x:c r="L1245" s="46" t="str">
        <x:f>IF(COUNT(H1245,J1245)=0,"",AVERAGE(H1245,J1245))</x:f>
      </x:c>
      <x:c r="M1245" s="46" t="str">
        <x:f>IF(OR(K1245="",L1245=""),"",L1245-K1245)</x:f>
      </x:c>
      <x:c r="N1245" s="46" t="str">
        <x:f>IF(OR(K1245="",A1244&lt;&gt;A1245,K1244=""),"",K1245-K1244)</x:f>
      </x:c>
      <x:c r="O1245" s="42" t="str">
        <x:v>Sem informação</x:v>
      </x:c>
      <x:c r="P1245" s="42"/>
      <x:c r="Q1245" s="42" t="str"/>
      <x:c r="R1245" s="42" t="str"/>
      <x:c r="S1245" s="42" t="str"/>
      <x:c r="T1245" s="42" t="str"/>
    </x:row>
    <x:row r="1246">
      <x:c r="A1246" s="42" t="str">
        <x:v>Carlos Augusto</x:v>
      </x:c>
      <x:c r="B1246" s="42" t="n">
        <x:v>2027</x:v>
      </x:c>
      <x:c r="C1246" s="42" t="str">
        <x:v>T1</x:v>
      </x:c>
      <x:c r="D1246" s="44" t="n">
        <x:v>46477</x:v>
      </x:c>
      <x:c r="E1246" s="42" t="str">
        <x:v>Lateral-esquerdo</x:v>
      </x:c>
      <x:c r="F1246" s="42" t="str">
        <x:v>Inter de Milão</x:v>
      </x:c>
      <x:c r="G1246" s="46"/>
      <x:c r="H1246" s="46"/>
      <x:c r="I1246" s="46"/>
      <x:c r="J1246" s="46"/>
      <x:c r="K1246" s="46" t="str">
        <x:f>IF(COUNT(G1246,I1246)=0,"",AVERAGE(G1246,I1246))</x:f>
      </x:c>
      <x:c r="L1246" s="46" t="str">
        <x:f>IF(COUNT(H1246,J1246)=0,"",AVERAGE(H1246,J1246))</x:f>
      </x:c>
      <x:c r="M1246" s="46" t="str">
        <x:f>IF(OR(K1246="",L1246=""),"",L1246-K1246)</x:f>
      </x:c>
      <x:c r="N1246" s="46" t="str">
        <x:f>IF(OR(K1246="",A1245&lt;&gt;A1246,K1245=""),"",K1246-K1245)</x:f>
      </x:c>
      <x:c r="O1246" s="42" t="str">
        <x:v>Sem informação</x:v>
      </x:c>
      <x:c r="P1246" s="42"/>
      <x:c r="Q1246" s="42" t="str"/>
      <x:c r="R1246" s="42" t="str"/>
      <x:c r="S1246" s="42" t="str"/>
      <x:c r="T1246" s="42" t="str"/>
    </x:row>
    <x:row r="1247">
      <x:c r="A1247" s="42" t="str">
        <x:v>Carlos Augusto</x:v>
      </x:c>
      <x:c r="B1247" s="42" t="n">
        <x:v>2027</x:v>
      </x:c>
      <x:c r="C1247" s="42" t="str">
        <x:v>T2</x:v>
      </x:c>
      <x:c r="D1247" s="44" t="n">
        <x:v>46568</x:v>
      </x:c>
      <x:c r="E1247" s="42" t="str">
        <x:v>Lateral-esquerdo</x:v>
      </x:c>
      <x:c r="F1247" s="42" t="str">
        <x:v>Inter de Milão</x:v>
      </x:c>
      <x:c r="G1247" s="46"/>
      <x:c r="H1247" s="46"/>
      <x:c r="I1247" s="46"/>
      <x:c r="J1247" s="46"/>
      <x:c r="K1247" s="46" t="str">
        <x:f>IF(COUNT(G1247,I1247)=0,"",AVERAGE(G1247,I1247))</x:f>
      </x:c>
      <x:c r="L1247" s="46" t="str">
        <x:f>IF(COUNT(H1247,J1247)=0,"",AVERAGE(H1247,J1247))</x:f>
      </x:c>
      <x:c r="M1247" s="46" t="str">
        <x:f>IF(OR(K1247="",L1247=""),"",L1247-K1247)</x:f>
      </x:c>
      <x:c r="N1247" s="46" t="str">
        <x:f>IF(OR(K1247="",A1246&lt;&gt;A1247,K1246=""),"",K1247-K1246)</x:f>
      </x:c>
      <x:c r="O1247" s="42" t="str">
        <x:v>Sem informação</x:v>
      </x:c>
      <x:c r="P1247" s="42"/>
      <x:c r="Q1247" s="42" t="str"/>
      <x:c r="R1247" s="42" t="str"/>
      <x:c r="S1247" s="42" t="str"/>
      <x:c r="T1247" s="42" t="str"/>
    </x:row>
    <x:row r="1248">
      <x:c r="A1248" s="42" t="str">
        <x:v>Carlos Augusto</x:v>
      </x:c>
      <x:c r="B1248" s="42" t="n">
        <x:v>2027</x:v>
      </x:c>
      <x:c r="C1248" s="42" t="str">
        <x:v>T3</x:v>
      </x:c>
      <x:c r="D1248" s="44" t="n">
        <x:v>46660</x:v>
      </x:c>
      <x:c r="E1248" s="42" t="str">
        <x:v>Lateral-esquerdo</x:v>
      </x:c>
      <x:c r="F1248" s="42" t="str">
        <x:v>Inter de Milão</x:v>
      </x:c>
      <x:c r="G1248" s="46"/>
      <x:c r="H1248" s="46"/>
      <x:c r="I1248" s="46"/>
      <x:c r="J1248" s="46"/>
      <x:c r="K1248" s="46" t="str">
        <x:f>IF(COUNT(G1248,I1248)=0,"",AVERAGE(G1248,I1248))</x:f>
      </x:c>
      <x:c r="L1248" s="46" t="str">
        <x:f>IF(COUNT(H1248,J1248)=0,"",AVERAGE(H1248,J1248))</x:f>
      </x:c>
      <x:c r="M1248" s="46" t="str">
        <x:f>IF(OR(K1248="",L1248=""),"",L1248-K1248)</x:f>
      </x:c>
      <x:c r="N1248" s="46" t="str">
        <x:f>IF(OR(K1248="",A1247&lt;&gt;A1248,K1247=""),"",K1248-K1247)</x:f>
      </x:c>
      <x:c r="O1248" s="42" t="str">
        <x:v>Sem informação</x:v>
      </x:c>
      <x:c r="P1248" s="42"/>
      <x:c r="Q1248" s="42" t="str"/>
      <x:c r="R1248" s="42" t="str"/>
      <x:c r="S1248" s="42" t="str"/>
      <x:c r="T1248" s="42" t="str"/>
    </x:row>
    <x:row r="1249">
      <x:c r="A1249" s="42" t="str">
        <x:v>Carlos Augusto</x:v>
      </x:c>
      <x:c r="B1249" s="42" t="n">
        <x:v>2027</x:v>
      </x:c>
      <x:c r="C1249" s="42" t="str">
        <x:v>T4</x:v>
      </x:c>
      <x:c r="D1249" s="44" t="n">
        <x:v>46752</x:v>
      </x:c>
      <x:c r="E1249" s="42" t="str">
        <x:v>Lateral-esquerdo</x:v>
      </x:c>
      <x:c r="F1249" s="42" t="str">
        <x:v>Inter de Milão</x:v>
      </x:c>
      <x:c r="G1249" s="46"/>
      <x:c r="H1249" s="46"/>
      <x:c r="I1249" s="46"/>
      <x:c r="J1249" s="46"/>
      <x:c r="K1249" s="46" t="str">
        <x:f>IF(COUNT(G1249,I1249)=0,"",AVERAGE(G1249,I1249))</x:f>
      </x:c>
      <x:c r="L1249" s="46" t="str">
        <x:f>IF(COUNT(H1249,J1249)=0,"",AVERAGE(H1249,J1249))</x:f>
      </x:c>
      <x:c r="M1249" s="46" t="str">
        <x:f>IF(OR(K1249="",L1249=""),"",L1249-K1249)</x:f>
      </x:c>
      <x:c r="N1249" s="46" t="str">
        <x:f>IF(OR(K1249="",A1248&lt;&gt;A1249,K1248=""),"",K1249-K1248)</x:f>
      </x:c>
      <x:c r="O1249" s="42" t="str">
        <x:v>Sem informação</x:v>
      </x:c>
      <x:c r="P1249" s="42"/>
      <x:c r="Q1249" s="42" t="str"/>
      <x:c r="R1249" s="42" t="str"/>
      <x:c r="S1249" s="42" t="str"/>
      <x:c r="T1249" s="42" t="str"/>
    </x:row>
    <x:row r="1250">
      <x:c r="A1250" s="42" t="str">
        <x:v>Carlos Augusto</x:v>
      </x:c>
      <x:c r="B1250" s="42" t="n">
        <x:v>2028</x:v>
      </x:c>
      <x:c r="C1250" s="42" t="str">
        <x:v>T1</x:v>
      </x:c>
      <x:c r="D1250" s="44" t="n">
        <x:v>46843</x:v>
      </x:c>
      <x:c r="E1250" s="42" t="str">
        <x:v>Lateral-esquerdo</x:v>
      </x:c>
      <x:c r="F1250" s="42" t="str">
        <x:v>Inter de Milão</x:v>
      </x:c>
      <x:c r="G1250" s="46"/>
      <x:c r="H1250" s="46"/>
      <x:c r="I1250" s="46"/>
      <x:c r="J1250" s="46"/>
      <x:c r="K1250" s="46" t="str">
        <x:f>IF(COUNT(G1250,I1250)=0,"",AVERAGE(G1250,I1250))</x:f>
      </x:c>
      <x:c r="L1250" s="46" t="str">
        <x:f>IF(COUNT(H1250,J1250)=0,"",AVERAGE(H1250,J1250))</x:f>
      </x:c>
      <x:c r="M1250" s="46" t="str">
        <x:f>IF(OR(K1250="",L1250=""),"",L1250-K1250)</x:f>
      </x:c>
      <x:c r="N1250" s="46" t="str">
        <x:f>IF(OR(K1250="",A1249&lt;&gt;A1250,K1249=""),"",K1250-K1249)</x:f>
      </x:c>
      <x:c r="O1250" s="42" t="str">
        <x:v>Sem informação</x:v>
      </x:c>
      <x:c r="P1250" s="42"/>
      <x:c r="Q1250" s="42" t="str"/>
      <x:c r="R1250" s="42" t="str"/>
      <x:c r="S1250" s="42" t="str"/>
      <x:c r="T1250" s="42" t="str"/>
    </x:row>
    <x:row r="1251">
      <x:c r="A1251" s="42" t="str">
        <x:v>Carlos Augusto</x:v>
      </x:c>
      <x:c r="B1251" s="42" t="n">
        <x:v>2028</x:v>
      </x:c>
      <x:c r="C1251" s="42" t="str">
        <x:v>T2</x:v>
      </x:c>
      <x:c r="D1251" s="44" t="n">
        <x:v>46934</x:v>
      </x:c>
      <x:c r="E1251" s="42" t="str">
        <x:v>Lateral-esquerdo</x:v>
      </x:c>
      <x:c r="F1251" s="42" t="str">
        <x:v>Inter de Milão</x:v>
      </x:c>
      <x:c r="G1251" s="46"/>
      <x:c r="H1251" s="46"/>
      <x:c r="I1251" s="46"/>
      <x:c r="J1251" s="46"/>
      <x:c r="K1251" s="46" t="str">
        <x:f>IF(COUNT(G1251,I1251)=0,"",AVERAGE(G1251,I1251))</x:f>
      </x:c>
      <x:c r="L1251" s="46" t="str">
        <x:f>IF(COUNT(H1251,J1251)=0,"",AVERAGE(H1251,J1251))</x:f>
      </x:c>
      <x:c r="M1251" s="46" t="str">
        <x:f>IF(OR(K1251="",L1251=""),"",L1251-K1251)</x:f>
      </x:c>
      <x:c r="N1251" s="46" t="str">
        <x:f>IF(OR(K1251="",A1250&lt;&gt;A1251,K1250=""),"",K1251-K1250)</x:f>
      </x:c>
      <x:c r="O1251" s="42" t="str">
        <x:v>Sem informação</x:v>
      </x:c>
      <x:c r="P1251" s="42"/>
      <x:c r="Q1251" s="42" t="str"/>
      <x:c r="R1251" s="42" t="str"/>
      <x:c r="S1251" s="42" t="str"/>
      <x:c r="T1251" s="42" t="str"/>
    </x:row>
    <x:row r="1252">
      <x:c r="A1252" s="42" t="str">
        <x:v>Carlos Augusto</x:v>
      </x:c>
      <x:c r="B1252" s="42" t="n">
        <x:v>2028</x:v>
      </x:c>
      <x:c r="C1252" s="42" t="str">
        <x:v>T3</x:v>
      </x:c>
      <x:c r="D1252" s="44" t="n">
        <x:v>47026</x:v>
      </x:c>
      <x:c r="E1252" s="42" t="str">
        <x:v>Lateral-esquerdo</x:v>
      </x:c>
      <x:c r="F1252" s="42" t="str">
        <x:v>Inter de Milão</x:v>
      </x:c>
      <x:c r="G1252" s="46"/>
      <x:c r="H1252" s="46"/>
      <x:c r="I1252" s="46"/>
      <x:c r="J1252" s="46"/>
      <x:c r="K1252" s="46" t="str">
        <x:f>IF(COUNT(G1252,I1252)=0,"",AVERAGE(G1252,I1252))</x:f>
      </x:c>
      <x:c r="L1252" s="46" t="str">
        <x:f>IF(COUNT(H1252,J1252)=0,"",AVERAGE(H1252,J1252))</x:f>
      </x:c>
      <x:c r="M1252" s="46" t="str">
        <x:f>IF(OR(K1252="",L1252=""),"",L1252-K1252)</x:f>
      </x:c>
      <x:c r="N1252" s="46" t="str">
        <x:f>IF(OR(K1252="",A1251&lt;&gt;A1252,K1251=""),"",K1252-K1251)</x:f>
      </x:c>
      <x:c r="O1252" s="42" t="str">
        <x:v>Sem informação</x:v>
      </x:c>
      <x:c r="P1252" s="42"/>
      <x:c r="Q1252" s="42" t="str"/>
      <x:c r="R1252" s="42" t="str"/>
      <x:c r="S1252" s="42" t="str"/>
      <x:c r="T1252" s="42" t="str"/>
    </x:row>
    <x:row r="1253">
      <x:c r="A1253" s="42" t="str">
        <x:v>Carlos Augusto</x:v>
      </x:c>
      <x:c r="B1253" s="42" t="n">
        <x:v>2028</x:v>
      </x:c>
      <x:c r="C1253" s="42" t="str">
        <x:v>T4</x:v>
      </x:c>
      <x:c r="D1253" s="44" t="n">
        <x:v>47118</x:v>
      </x:c>
      <x:c r="E1253" s="42" t="str">
        <x:v>Lateral-esquerdo</x:v>
      </x:c>
      <x:c r="F1253" s="42" t="str">
        <x:v>Inter de Milão</x:v>
      </x:c>
      <x:c r="G1253" s="46"/>
      <x:c r="H1253" s="46"/>
      <x:c r="I1253" s="46"/>
      <x:c r="J1253" s="46"/>
      <x:c r="K1253" s="46" t="str">
        <x:f>IF(COUNT(G1253,I1253)=0,"",AVERAGE(G1253,I1253))</x:f>
      </x:c>
      <x:c r="L1253" s="46" t="str">
        <x:f>IF(COUNT(H1253,J1253)=0,"",AVERAGE(H1253,J1253))</x:f>
      </x:c>
      <x:c r="M1253" s="46" t="str">
        <x:f>IF(OR(K1253="",L1253=""),"",L1253-K1253)</x:f>
      </x:c>
      <x:c r="N1253" s="46" t="str">
        <x:f>IF(OR(K1253="",A1252&lt;&gt;A1253,K1252=""),"",K1253-K1252)</x:f>
      </x:c>
      <x:c r="O1253" s="42" t="str">
        <x:v>Sem informação</x:v>
      </x:c>
      <x:c r="P1253" s="42"/>
      <x:c r="Q1253" s="42" t="str"/>
      <x:c r="R1253" s="42" t="str"/>
      <x:c r="S1253" s="42" t="str"/>
      <x:c r="T1253" s="42" t="str"/>
    </x:row>
    <x:row r="1254">
      <x:c r="A1254" s="42" t="str">
        <x:v>Carlos Augusto</x:v>
      </x:c>
      <x:c r="B1254" s="42" t="n">
        <x:v>2029</x:v>
      </x:c>
      <x:c r="C1254" s="42" t="str">
        <x:v>T1</x:v>
      </x:c>
      <x:c r="D1254" s="44" t="n">
        <x:v>47208</x:v>
      </x:c>
      <x:c r="E1254" s="42" t="str">
        <x:v>Lateral-esquerdo</x:v>
      </x:c>
      <x:c r="F1254" s="42" t="str">
        <x:v>Inter de Milão</x:v>
      </x:c>
      <x:c r="G1254" s="46"/>
      <x:c r="H1254" s="46"/>
      <x:c r="I1254" s="46"/>
      <x:c r="J1254" s="46"/>
      <x:c r="K1254" s="46" t="str">
        <x:f>IF(COUNT(G1254,I1254)=0,"",AVERAGE(G1254,I1254))</x:f>
      </x:c>
      <x:c r="L1254" s="46" t="str">
        <x:f>IF(COUNT(H1254,J1254)=0,"",AVERAGE(H1254,J1254))</x:f>
      </x:c>
      <x:c r="M1254" s="46" t="str">
        <x:f>IF(OR(K1254="",L1254=""),"",L1254-K1254)</x:f>
      </x:c>
      <x:c r="N1254" s="46" t="str">
        <x:f>IF(OR(K1254="",A1253&lt;&gt;A1254,K1253=""),"",K1254-K1253)</x:f>
      </x:c>
      <x:c r="O1254" s="42" t="str">
        <x:v>Sem informação</x:v>
      </x:c>
      <x:c r="P1254" s="42"/>
      <x:c r="Q1254" s="42" t="str"/>
      <x:c r="R1254" s="42" t="str"/>
      <x:c r="S1254" s="42" t="str"/>
      <x:c r="T1254" s="42" t="str"/>
    </x:row>
    <x:row r="1255">
      <x:c r="A1255" s="42" t="str">
        <x:v>Carlos Augusto</x:v>
      </x:c>
      <x:c r="B1255" s="42" t="n">
        <x:v>2029</x:v>
      </x:c>
      <x:c r="C1255" s="42" t="str">
        <x:v>T2</x:v>
      </x:c>
      <x:c r="D1255" s="44" t="n">
        <x:v>47299</x:v>
      </x:c>
      <x:c r="E1255" s="42" t="str">
        <x:v>Lateral-esquerdo</x:v>
      </x:c>
      <x:c r="F1255" s="42" t="str">
        <x:v>Inter de Milão</x:v>
      </x:c>
      <x:c r="G1255" s="46"/>
      <x:c r="H1255" s="46"/>
      <x:c r="I1255" s="46"/>
      <x:c r="J1255" s="46"/>
      <x:c r="K1255" s="46" t="str">
        <x:f>IF(COUNT(G1255,I1255)=0,"",AVERAGE(G1255,I1255))</x:f>
      </x:c>
      <x:c r="L1255" s="46" t="str">
        <x:f>IF(COUNT(H1255,J1255)=0,"",AVERAGE(H1255,J1255))</x:f>
      </x:c>
      <x:c r="M1255" s="46" t="str">
        <x:f>IF(OR(K1255="",L1255=""),"",L1255-K1255)</x:f>
      </x:c>
      <x:c r="N1255" s="46" t="str">
        <x:f>IF(OR(K1255="",A1254&lt;&gt;A1255,K1254=""),"",K1255-K1254)</x:f>
      </x:c>
      <x:c r="O1255" s="42" t="str">
        <x:v>Sem informação</x:v>
      </x:c>
      <x:c r="P1255" s="42"/>
      <x:c r="Q1255" s="42" t="str"/>
      <x:c r="R1255" s="42" t="str"/>
      <x:c r="S1255" s="42" t="str"/>
      <x:c r="T1255" s="42" t="str"/>
    </x:row>
    <x:row r="1256">
      <x:c r="A1256" s="42" t="str">
        <x:v>Carlos Augusto</x:v>
      </x:c>
      <x:c r="B1256" s="42" t="n">
        <x:v>2029</x:v>
      </x:c>
      <x:c r="C1256" s="42" t="str">
        <x:v>T3</x:v>
      </x:c>
      <x:c r="D1256" s="44" t="n">
        <x:v>47391</x:v>
      </x:c>
      <x:c r="E1256" s="42" t="str">
        <x:v>Lateral-esquerdo</x:v>
      </x:c>
      <x:c r="F1256" s="42" t="str">
        <x:v>Inter de Milão</x:v>
      </x:c>
      <x:c r="G1256" s="46"/>
      <x:c r="H1256" s="46"/>
      <x:c r="I1256" s="46"/>
      <x:c r="J1256" s="46"/>
      <x:c r="K1256" s="46" t="str">
        <x:f>IF(COUNT(G1256,I1256)=0,"",AVERAGE(G1256,I1256))</x:f>
      </x:c>
      <x:c r="L1256" s="46" t="str">
        <x:f>IF(COUNT(H1256,J1256)=0,"",AVERAGE(H1256,J1256))</x:f>
      </x:c>
      <x:c r="M1256" s="46" t="str">
        <x:f>IF(OR(K1256="",L1256=""),"",L1256-K1256)</x:f>
      </x:c>
      <x:c r="N1256" s="46" t="str">
        <x:f>IF(OR(K1256="",A1255&lt;&gt;A1256,K1255=""),"",K1256-K1255)</x:f>
      </x:c>
      <x:c r="O1256" s="42" t="str">
        <x:v>Sem informação</x:v>
      </x:c>
      <x:c r="P1256" s="42"/>
      <x:c r="Q1256" s="42" t="str"/>
      <x:c r="R1256" s="42" t="str"/>
      <x:c r="S1256" s="42" t="str"/>
      <x:c r="T1256" s="42" t="str"/>
    </x:row>
    <x:row r="1257">
      <x:c r="A1257" s="42" t="str">
        <x:v>Carlos Augusto</x:v>
      </x:c>
      <x:c r="B1257" s="42" t="n">
        <x:v>2029</x:v>
      </x:c>
      <x:c r="C1257" s="42" t="str">
        <x:v>T4</x:v>
      </x:c>
      <x:c r="D1257" s="44" t="n">
        <x:v>47483</x:v>
      </x:c>
      <x:c r="E1257" s="42" t="str">
        <x:v>Lateral-esquerdo</x:v>
      </x:c>
      <x:c r="F1257" s="42" t="str">
        <x:v>Inter de Milão</x:v>
      </x:c>
      <x:c r="G1257" s="46"/>
      <x:c r="H1257" s="46"/>
      <x:c r="I1257" s="46"/>
      <x:c r="J1257" s="46"/>
      <x:c r="K1257" s="46" t="str">
        <x:f>IF(COUNT(G1257,I1257)=0,"",AVERAGE(G1257,I1257))</x:f>
      </x:c>
      <x:c r="L1257" s="46" t="str">
        <x:f>IF(COUNT(H1257,J1257)=0,"",AVERAGE(H1257,J1257))</x:f>
      </x:c>
      <x:c r="M1257" s="46" t="str">
        <x:f>IF(OR(K1257="",L1257=""),"",L1257-K1257)</x:f>
      </x:c>
      <x:c r="N1257" s="46" t="str">
        <x:f>IF(OR(K1257="",A1256&lt;&gt;A1257,K1256=""),"",K1257-K1256)</x:f>
      </x:c>
      <x:c r="O1257" s="42" t="str">
        <x:v>Sem informação</x:v>
      </x:c>
      <x:c r="P1257" s="42"/>
      <x:c r="Q1257" s="42" t="str"/>
      <x:c r="R1257" s="42" t="str"/>
      <x:c r="S1257" s="42" t="str"/>
      <x:c r="T1257" s="42" t="str"/>
    </x:row>
    <x:row r="1258">
      <x:c r="A1258" s="42" t="str">
        <x:v>Carlos Augusto</x:v>
      </x:c>
      <x:c r="B1258" s="42" t="n">
        <x:v>2030</x:v>
      </x:c>
      <x:c r="C1258" s="42" t="str">
        <x:v>T1</x:v>
      </x:c>
      <x:c r="D1258" s="44" t="n">
        <x:v>47573</x:v>
      </x:c>
      <x:c r="E1258" s="42" t="str">
        <x:v>Lateral-esquerdo</x:v>
      </x:c>
      <x:c r="F1258" s="42" t="str">
        <x:v>Inter de Milão</x:v>
      </x:c>
      <x:c r="G1258" s="46"/>
      <x:c r="H1258" s="46"/>
      <x:c r="I1258" s="46"/>
      <x:c r="J1258" s="46"/>
      <x:c r="K1258" s="46" t="str">
        <x:f>IF(COUNT(G1258,I1258)=0,"",AVERAGE(G1258,I1258))</x:f>
      </x:c>
      <x:c r="L1258" s="46" t="str">
        <x:f>IF(COUNT(H1258,J1258)=0,"",AVERAGE(H1258,J1258))</x:f>
      </x:c>
      <x:c r="M1258" s="46" t="str">
        <x:f>IF(OR(K1258="",L1258=""),"",L1258-K1258)</x:f>
      </x:c>
      <x:c r="N1258" s="46" t="str">
        <x:f>IF(OR(K1258="",A1257&lt;&gt;A1258,K1257=""),"",K1258-K1257)</x:f>
      </x:c>
      <x:c r="O1258" s="42" t="str">
        <x:v>Sem informação</x:v>
      </x:c>
      <x:c r="P1258" s="42"/>
      <x:c r="Q1258" s="42" t="str"/>
      <x:c r="R1258" s="42" t="str"/>
      <x:c r="S1258" s="42" t="str"/>
      <x:c r="T1258" s="42" t="str"/>
    </x:row>
    <x:row r="1259">
      <x:c r="A1259" s="42" t="str">
        <x:v>Carlos Augusto</x:v>
      </x:c>
      <x:c r="B1259" s="42" t="n">
        <x:v>2030</x:v>
      </x:c>
      <x:c r="C1259" s="42" t="str">
        <x:v>T2</x:v>
      </x:c>
      <x:c r="D1259" s="44" t="n">
        <x:v>47664</x:v>
      </x:c>
      <x:c r="E1259" s="42" t="str">
        <x:v>Lateral-esquerdo</x:v>
      </x:c>
      <x:c r="F1259" s="42" t="str">
        <x:v>Inter de Milão</x:v>
      </x:c>
      <x:c r="G1259" s="46"/>
      <x:c r="H1259" s="46"/>
      <x:c r="I1259" s="46"/>
      <x:c r="J1259" s="46"/>
      <x:c r="K1259" s="46" t="str">
        <x:f>IF(COUNT(G1259,I1259)=0,"",AVERAGE(G1259,I1259))</x:f>
      </x:c>
      <x:c r="L1259" s="46" t="str">
        <x:f>IF(COUNT(H1259,J1259)=0,"",AVERAGE(H1259,J1259))</x:f>
      </x:c>
      <x:c r="M1259" s="46" t="str">
        <x:f>IF(OR(K1259="",L1259=""),"",L1259-K1259)</x:f>
      </x:c>
      <x:c r="N1259" s="46" t="str">
        <x:f>IF(OR(K1259="",A1258&lt;&gt;A1259,K1258=""),"",K1259-K1258)</x:f>
      </x:c>
      <x:c r="O1259" s="42" t="str">
        <x:v>Sem informação</x:v>
      </x:c>
      <x:c r="P1259" s="42"/>
      <x:c r="Q1259" s="42" t="str"/>
      <x:c r="R1259" s="42" t="str"/>
      <x:c r="S1259" s="42" t="str"/>
      <x:c r="T1259" s="42" t="str"/>
    </x:row>
    <x:row r="1260">
      <x:c r="A1260" s="42" t="str">
        <x:v>Carlos Augusto</x:v>
      </x:c>
      <x:c r="B1260" s="42" t="n">
        <x:v>2030</x:v>
      </x:c>
      <x:c r="C1260" s="42" t="str">
        <x:v>T3</x:v>
      </x:c>
      <x:c r="D1260" s="44" t="n">
        <x:v>47756</x:v>
      </x:c>
      <x:c r="E1260" s="42" t="str">
        <x:v>Lateral-esquerdo</x:v>
      </x:c>
      <x:c r="F1260" s="42" t="str">
        <x:v>Inter de Milão</x:v>
      </x:c>
      <x:c r="G1260" s="46"/>
      <x:c r="H1260" s="46"/>
      <x:c r="I1260" s="46"/>
      <x:c r="J1260" s="46"/>
      <x:c r="K1260" s="46" t="str">
        <x:f>IF(COUNT(G1260,I1260)=0,"",AVERAGE(G1260,I1260))</x:f>
      </x:c>
      <x:c r="L1260" s="46" t="str">
        <x:f>IF(COUNT(H1260,J1260)=0,"",AVERAGE(H1260,J1260))</x:f>
      </x:c>
      <x:c r="M1260" s="46" t="str">
        <x:f>IF(OR(K1260="",L1260=""),"",L1260-K1260)</x:f>
      </x:c>
      <x:c r="N1260" s="46" t="str">
        <x:f>IF(OR(K1260="",A1259&lt;&gt;A1260,K1259=""),"",K1260-K1259)</x:f>
      </x:c>
      <x:c r="O1260" s="42" t="str">
        <x:v>Sem informação</x:v>
      </x:c>
      <x:c r="P1260" s="42"/>
      <x:c r="Q1260" s="42" t="str"/>
      <x:c r="R1260" s="42" t="str"/>
      <x:c r="S1260" s="42" t="str"/>
      <x:c r="T1260" s="42" t="str"/>
    </x:row>
    <x:row r="1261">
      <x:c r="A1261" s="42" t="str">
        <x:v>Carlos Augusto</x:v>
      </x:c>
      <x:c r="B1261" s="42" t="n">
        <x:v>2030</x:v>
      </x:c>
      <x:c r="C1261" s="42" t="str">
        <x:v>T4</x:v>
      </x:c>
      <x:c r="D1261" s="44" t="n">
        <x:v>47848</x:v>
      </x:c>
      <x:c r="E1261" s="42" t="str">
        <x:v>Lateral-esquerdo</x:v>
      </x:c>
      <x:c r="F1261" s="42" t="str">
        <x:v>Inter de Milão</x:v>
      </x:c>
      <x:c r="G1261" s="46"/>
      <x:c r="H1261" s="46"/>
      <x:c r="I1261" s="46"/>
      <x:c r="J1261" s="46"/>
      <x:c r="K1261" s="46" t="str">
        <x:f>IF(COUNT(G1261,I1261)=0,"",AVERAGE(G1261,I1261))</x:f>
      </x:c>
      <x:c r="L1261" s="46" t="str">
        <x:f>IF(COUNT(H1261,J1261)=0,"",AVERAGE(H1261,J1261))</x:f>
      </x:c>
      <x:c r="M1261" s="46" t="str">
        <x:f>IF(OR(K1261="",L1261=""),"",L1261-K1261)</x:f>
      </x:c>
      <x:c r="N1261" s="46" t="str">
        <x:f>IF(OR(K1261="",A1260&lt;&gt;A1261,K1260=""),"",K1261-K1260)</x:f>
      </x:c>
      <x:c r="O1261" s="42" t="str">
        <x:v>Sem informação</x:v>
      </x:c>
      <x:c r="P1261" s="42"/>
      <x:c r="Q1261" s="42" t="str"/>
      <x:c r="R1261" s="42" t="str"/>
      <x:c r="S1261" s="42" t="str"/>
      <x:c r="T1261" s="42" t="str"/>
    </x:row>
    <x:row r="1262">
      <x:c r="A1262" s="42" t="str">
        <x:v>Cuiabano</x:v>
      </x:c>
      <x:c r="B1262" s="42" t="n">
        <x:v>2026</x:v>
      </x:c>
      <x:c r="C1262" s="42" t="str">
        <x:v>T1</x:v>
      </x:c>
      <x:c r="D1262" s="44" t="n">
        <x:v>46112</x:v>
      </x:c>
      <x:c r="E1262" s="42" t="str">
        <x:v>Lateral-esquerdo</x:v>
      </x:c>
      <x:c r="F1262" s="42" t="str">
        <x:v>CR Vasco da Gama</x:v>
      </x:c>
      <x:c r="G1262" s="46"/>
      <x:c r="H1262" s="46"/>
      <x:c r="I1262" s="46"/>
      <x:c r="J1262" s="46"/>
      <x:c r="K1262" s="46" t="str">
        <x:f>IF(COUNT(G1262,I1262)=0,"",AVERAGE(G1262,I1262))</x:f>
      </x:c>
      <x:c r="L1262" s="46" t="str">
        <x:f>IF(COUNT(H1262,J1262)=0,"",AVERAGE(H1262,J1262))</x:f>
      </x:c>
      <x:c r="M1262" s="46" t="str">
        <x:f>IF(OR(K1262="",L1262=""),"",L1262-K1262)</x:f>
      </x:c>
      <x:c r="N1262" s="46" t="str">
        <x:f>IF(OR(K1262="",A1261&lt;&gt;A1262,K1261=""),"",K1262-K1261)</x:f>
      </x:c>
      <x:c r="O1262" s="42" t="str">
        <x:v>Sem informação</x:v>
      </x:c>
      <x:c r="P1262" s="42"/>
      <x:c r="Q1262" s="42" t="str"/>
      <x:c r="R1262" s="42" t="str"/>
      <x:c r="S1262" s="42" t="str"/>
      <x:c r="T1262" s="42" t="str"/>
    </x:row>
    <x:row r="1263">
      <x:c r="A1263" s="42" t="str">
        <x:v>Cuiabano</x:v>
      </x:c>
      <x:c r="B1263" s="42" t="n">
        <x:v>2026</x:v>
      </x:c>
      <x:c r="C1263" s="42" t="str">
        <x:v>T2</x:v>
      </x:c>
      <x:c r="D1263" s="44" t="n">
        <x:v>46203</x:v>
      </x:c>
      <x:c r="E1263" s="42" t="str">
        <x:v>Lateral-esquerdo</x:v>
      </x:c>
      <x:c r="F1263" s="42" t="str">
        <x:v>CR Vasco da Gama</x:v>
      </x:c>
      <x:c r="G1263" s="46"/>
      <x:c r="H1263" s="46"/>
      <x:c r="I1263" s="46"/>
      <x:c r="J1263" s="46"/>
      <x:c r="K1263" s="46" t="str">
        <x:f>IF(COUNT(G1263,I1263)=0,"",AVERAGE(G1263,I1263))</x:f>
      </x:c>
      <x:c r="L1263" s="46" t="str">
        <x:f>IF(COUNT(H1263,J1263)=0,"",AVERAGE(H1263,J1263))</x:f>
      </x:c>
      <x:c r="M1263" s="46" t="str">
        <x:f>IF(OR(K1263="",L1263=""),"",L1263-K1263)</x:f>
      </x:c>
      <x:c r="N1263" s="46" t="str">
        <x:f>IF(OR(K1263="",A1262&lt;&gt;A1263,K1262=""),"",K1263-K1262)</x:f>
      </x:c>
      <x:c r="O1263" s="42" t="str">
        <x:v>Sem informação</x:v>
      </x:c>
      <x:c r="P1263" s="42"/>
      <x:c r="Q1263" s="42" t="str"/>
      <x:c r="R1263" s="42" t="str"/>
      <x:c r="S1263" s="42" t="str"/>
      <x:c r="T1263" s="42" t="str"/>
    </x:row>
    <x:row r="1264">
      <x:c r="A1264" s="42" t="str">
        <x:v>Cuiabano</x:v>
      </x:c>
      <x:c r="B1264" s="42" t="n">
        <x:v>2026</x:v>
      </x:c>
      <x:c r="C1264" s="42" t="str">
        <x:v>T3</x:v>
      </x:c>
      <x:c r="D1264" s="44" t="n">
        <x:v>46295</x:v>
      </x:c>
      <x:c r="E1264" s="42" t="str">
        <x:v>Lateral-esquerdo</x:v>
      </x:c>
      <x:c r="F1264" s="42" t="str">
        <x:v>CR Vasco da Gama</x:v>
      </x:c>
      <x:c r="G1264" s="46"/>
      <x:c r="H1264" s="46"/>
      <x:c r="I1264" s="46"/>
      <x:c r="J1264" s="46"/>
      <x:c r="K1264" s="46" t="str">
        <x:f>IF(COUNT(G1264,I1264)=0,"",AVERAGE(G1264,I1264))</x:f>
      </x:c>
      <x:c r="L1264" s="46" t="str">
        <x:f>IF(COUNT(H1264,J1264)=0,"",AVERAGE(H1264,J1264))</x:f>
      </x:c>
      <x:c r="M1264" s="46" t="str">
        <x:f>IF(OR(K1264="",L1264=""),"",L1264-K1264)</x:f>
      </x:c>
      <x:c r="N1264" s="46" t="str">
        <x:f>IF(OR(K1264="",A1263&lt;&gt;A1264,K1263=""),"",K1264-K1263)</x:f>
      </x:c>
      <x:c r="O1264" s="42" t="str">
        <x:v>Sem informação</x:v>
      </x:c>
      <x:c r="P1264" s="42"/>
      <x:c r="Q1264" s="42" t="str"/>
      <x:c r="R1264" s="42" t="str"/>
      <x:c r="S1264" s="42" t="str"/>
      <x:c r="T1264" s="42" t="str"/>
    </x:row>
    <x:row r="1265">
      <x:c r="A1265" s="42" t="str">
        <x:v>Cuiabano</x:v>
      </x:c>
      <x:c r="B1265" s="42" t="n">
        <x:v>2026</x:v>
      </x:c>
      <x:c r="C1265" s="42" t="str">
        <x:v>T4</x:v>
      </x:c>
      <x:c r="D1265" s="44" t="n">
        <x:v>46387</x:v>
      </x:c>
      <x:c r="E1265" s="42" t="str">
        <x:v>Lateral-esquerdo</x:v>
      </x:c>
      <x:c r="F1265" s="42" t="str">
        <x:v>CR Vasco da Gama</x:v>
      </x:c>
      <x:c r="G1265" s="46"/>
      <x:c r="H1265" s="46"/>
      <x:c r="I1265" s="46"/>
      <x:c r="J1265" s="46"/>
      <x:c r="K1265" s="46" t="str">
        <x:f>IF(COUNT(G1265,I1265)=0,"",AVERAGE(G1265,I1265))</x:f>
      </x:c>
      <x:c r="L1265" s="46" t="str">
        <x:f>IF(COUNT(H1265,J1265)=0,"",AVERAGE(H1265,J1265))</x:f>
      </x:c>
      <x:c r="M1265" s="46" t="str">
        <x:f>IF(OR(K1265="",L1265=""),"",L1265-K1265)</x:f>
      </x:c>
      <x:c r="N1265" s="46" t="str">
        <x:f>IF(OR(K1265="",A1264&lt;&gt;A1265,K1264=""),"",K1265-K1264)</x:f>
      </x:c>
      <x:c r="O1265" s="42" t="str">
        <x:v>Sem informação</x:v>
      </x:c>
      <x:c r="P1265" s="42"/>
      <x:c r="Q1265" s="42" t="str"/>
      <x:c r="R1265" s="42" t="str"/>
      <x:c r="S1265" s="42" t="str"/>
      <x:c r="T1265" s="42" t="str"/>
    </x:row>
    <x:row r="1266">
      <x:c r="A1266" s="42" t="str">
        <x:v>Cuiabano</x:v>
      </x:c>
      <x:c r="B1266" s="42" t="n">
        <x:v>2027</x:v>
      </x:c>
      <x:c r="C1266" s="42" t="str">
        <x:v>T1</x:v>
      </x:c>
      <x:c r="D1266" s="44" t="n">
        <x:v>46477</x:v>
      </x:c>
      <x:c r="E1266" s="42" t="str">
        <x:v>Lateral-esquerdo</x:v>
      </x:c>
      <x:c r="F1266" s="42" t="str">
        <x:v>CR Vasco da Gama</x:v>
      </x:c>
      <x:c r="G1266" s="46"/>
      <x:c r="H1266" s="46"/>
      <x:c r="I1266" s="46"/>
      <x:c r="J1266" s="46"/>
      <x:c r="K1266" s="46" t="str">
        <x:f>IF(COUNT(G1266,I1266)=0,"",AVERAGE(G1266,I1266))</x:f>
      </x:c>
      <x:c r="L1266" s="46" t="str">
        <x:f>IF(COUNT(H1266,J1266)=0,"",AVERAGE(H1266,J1266))</x:f>
      </x:c>
      <x:c r="M1266" s="46" t="str">
        <x:f>IF(OR(K1266="",L1266=""),"",L1266-K1266)</x:f>
      </x:c>
      <x:c r="N1266" s="46" t="str">
        <x:f>IF(OR(K1266="",A1265&lt;&gt;A1266,K1265=""),"",K1266-K1265)</x:f>
      </x:c>
      <x:c r="O1266" s="42" t="str">
        <x:v>Sem informação</x:v>
      </x:c>
      <x:c r="P1266" s="42"/>
      <x:c r="Q1266" s="42" t="str"/>
      <x:c r="R1266" s="42" t="str"/>
      <x:c r="S1266" s="42" t="str"/>
      <x:c r="T1266" s="42" t="str"/>
    </x:row>
    <x:row r="1267">
      <x:c r="A1267" s="42" t="str">
        <x:v>Cuiabano</x:v>
      </x:c>
      <x:c r="B1267" s="42" t="n">
        <x:v>2027</x:v>
      </x:c>
      <x:c r="C1267" s="42" t="str">
        <x:v>T2</x:v>
      </x:c>
      <x:c r="D1267" s="44" t="n">
        <x:v>46568</x:v>
      </x:c>
      <x:c r="E1267" s="42" t="str">
        <x:v>Lateral-esquerdo</x:v>
      </x:c>
      <x:c r="F1267" s="42" t="str">
        <x:v>CR Vasco da Gama</x:v>
      </x:c>
      <x:c r="G1267" s="46"/>
      <x:c r="H1267" s="46"/>
      <x:c r="I1267" s="46"/>
      <x:c r="J1267" s="46"/>
      <x:c r="K1267" s="46" t="str">
        <x:f>IF(COUNT(G1267,I1267)=0,"",AVERAGE(G1267,I1267))</x:f>
      </x:c>
      <x:c r="L1267" s="46" t="str">
        <x:f>IF(COUNT(H1267,J1267)=0,"",AVERAGE(H1267,J1267))</x:f>
      </x:c>
      <x:c r="M1267" s="46" t="str">
        <x:f>IF(OR(K1267="",L1267=""),"",L1267-K1267)</x:f>
      </x:c>
      <x:c r="N1267" s="46" t="str">
        <x:f>IF(OR(K1267="",A1266&lt;&gt;A1267,K1266=""),"",K1267-K1266)</x:f>
      </x:c>
      <x:c r="O1267" s="42" t="str">
        <x:v>Sem informação</x:v>
      </x:c>
      <x:c r="P1267" s="42"/>
      <x:c r="Q1267" s="42" t="str"/>
      <x:c r="R1267" s="42" t="str"/>
      <x:c r="S1267" s="42" t="str"/>
      <x:c r="T1267" s="42" t="str"/>
    </x:row>
    <x:row r="1268">
      <x:c r="A1268" s="42" t="str">
        <x:v>Cuiabano</x:v>
      </x:c>
      <x:c r="B1268" s="42" t="n">
        <x:v>2027</x:v>
      </x:c>
      <x:c r="C1268" s="42" t="str">
        <x:v>T3</x:v>
      </x:c>
      <x:c r="D1268" s="44" t="n">
        <x:v>46660</x:v>
      </x:c>
      <x:c r="E1268" s="42" t="str">
        <x:v>Lateral-esquerdo</x:v>
      </x:c>
      <x:c r="F1268" s="42" t="str">
        <x:v>CR Vasco da Gama</x:v>
      </x:c>
      <x:c r="G1268" s="46"/>
      <x:c r="H1268" s="46"/>
      <x:c r="I1268" s="46"/>
      <x:c r="J1268" s="46"/>
      <x:c r="K1268" s="46" t="str">
        <x:f>IF(COUNT(G1268,I1268)=0,"",AVERAGE(G1268,I1268))</x:f>
      </x:c>
      <x:c r="L1268" s="46" t="str">
        <x:f>IF(COUNT(H1268,J1268)=0,"",AVERAGE(H1268,J1268))</x:f>
      </x:c>
      <x:c r="M1268" s="46" t="str">
        <x:f>IF(OR(K1268="",L1268=""),"",L1268-K1268)</x:f>
      </x:c>
      <x:c r="N1268" s="46" t="str">
        <x:f>IF(OR(K1268="",A1267&lt;&gt;A1268,K1267=""),"",K1268-K1267)</x:f>
      </x:c>
      <x:c r="O1268" s="42" t="str">
        <x:v>Sem informação</x:v>
      </x:c>
      <x:c r="P1268" s="42"/>
      <x:c r="Q1268" s="42" t="str"/>
      <x:c r="R1268" s="42" t="str"/>
      <x:c r="S1268" s="42" t="str"/>
      <x:c r="T1268" s="42" t="str"/>
    </x:row>
    <x:row r="1269">
      <x:c r="A1269" s="42" t="str">
        <x:v>Cuiabano</x:v>
      </x:c>
      <x:c r="B1269" s="42" t="n">
        <x:v>2027</x:v>
      </x:c>
      <x:c r="C1269" s="42" t="str">
        <x:v>T4</x:v>
      </x:c>
      <x:c r="D1269" s="44" t="n">
        <x:v>46752</x:v>
      </x:c>
      <x:c r="E1269" s="42" t="str">
        <x:v>Lateral-esquerdo</x:v>
      </x:c>
      <x:c r="F1269" s="42" t="str">
        <x:v>CR Vasco da Gama</x:v>
      </x:c>
      <x:c r="G1269" s="46"/>
      <x:c r="H1269" s="46"/>
      <x:c r="I1269" s="46"/>
      <x:c r="J1269" s="46"/>
      <x:c r="K1269" s="46" t="str">
        <x:f>IF(COUNT(G1269,I1269)=0,"",AVERAGE(G1269,I1269))</x:f>
      </x:c>
      <x:c r="L1269" s="46" t="str">
        <x:f>IF(COUNT(H1269,J1269)=0,"",AVERAGE(H1269,J1269))</x:f>
      </x:c>
      <x:c r="M1269" s="46" t="str">
        <x:f>IF(OR(K1269="",L1269=""),"",L1269-K1269)</x:f>
      </x:c>
      <x:c r="N1269" s="46" t="str">
        <x:f>IF(OR(K1269="",A1268&lt;&gt;A1269,K1268=""),"",K1269-K1268)</x:f>
      </x:c>
      <x:c r="O1269" s="42" t="str">
        <x:v>Sem informação</x:v>
      </x:c>
      <x:c r="P1269" s="42"/>
      <x:c r="Q1269" s="42" t="str"/>
      <x:c r="R1269" s="42" t="str"/>
      <x:c r="S1269" s="42" t="str"/>
      <x:c r="T1269" s="42" t="str"/>
    </x:row>
    <x:row r="1270">
      <x:c r="A1270" s="42" t="str">
        <x:v>Cuiabano</x:v>
      </x:c>
      <x:c r="B1270" s="42" t="n">
        <x:v>2028</x:v>
      </x:c>
      <x:c r="C1270" s="42" t="str">
        <x:v>T1</x:v>
      </x:c>
      <x:c r="D1270" s="44" t="n">
        <x:v>46843</x:v>
      </x:c>
      <x:c r="E1270" s="42" t="str">
        <x:v>Lateral-esquerdo</x:v>
      </x:c>
      <x:c r="F1270" s="42" t="str">
        <x:v>CR Vasco da Gama</x:v>
      </x:c>
      <x:c r="G1270" s="46"/>
      <x:c r="H1270" s="46"/>
      <x:c r="I1270" s="46"/>
      <x:c r="J1270" s="46"/>
      <x:c r="K1270" s="46" t="str">
        <x:f>IF(COUNT(G1270,I1270)=0,"",AVERAGE(G1270,I1270))</x:f>
      </x:c>
      <x:c r="L1270" s="46" t="str">
        <x:f>IF(COUNT(H1270,J1270)=0,"",AVERAGE(H1270,J1270))</x:f>
      </x:c>
      <x:c r="M1270" s="46" t="str">
        <x:f>IF(OR(K1270="",L1270=""),"",L1270-K1270)</x:f>
      </x:c>
      <x:c r="N1270" s="46" t="str">
        <x:f>IF(OR(K1270="",A1269&lt;&gt;A1270,K1269=""),"",K1270-K1269)</x:f>
      </x:c>
      <x:c r="O1270" s="42" t="str">
        <x:v>Sem informação</x:v>
      </x:c>
      <x:c r="P1270" s="42"/>
      <x:c r="Q1270" s="42" t="str"/>
      <x:c r="R1270" s="42" t="str"/>
      <x:c r="S1270" s="42" t="str"/>
      <x:c r="T1270" s="42" t="str"/>
    </x:row>
    <x:row r="1271">
      <x:c r="A1271" s="42" t="str">
        <x:v>Cuiabano</x:v>
      </x:c>
      <x:c r="B1271" s="42" t="n">
        <x:v>2028</x:v>
      </x:c>
      <x:c r="C1271" s="42" t="str">
        <x:v>T2</x:v>
      </x:c>
      <x:c r="D1271" s="44" t="n">
        <x:v>46934</x:v>
      </x:c>
      <x:c r="E1271" s="42" t="str">
        <x:v>Lateral-esquerdo</x:v>
      </x:c>
      <x:c r="F1271" s="42" t="str">
        <x:v>CR Vasco da Gama</x:v>
      </x:c>
      <x:c r="G1271" s="46"/>
      <x:c r="H1271" s="46"/>
      <x:c r="I1271" s="46"/>
      <x:c r="J1271" s="46"/>
      <x:c r="K1271" s="46" t="str">
        <x:f>IF(COUNT(G1271,I1271)=0,"",AVERAGE(G1271,I1271))</x:f>
      </x:c>
      <x:c r="L1271" s="46" t="str">
        <x:f>IF(COUNT(H1271,J1271)=0,"",AVERAGE(H1271,J1271))</x:f>
      </x:c>
      <x:c r="M1271" s="46" t="str">
        <x:f>IF(OR(K1271="",L1271=""),"",L1271-K1271)</x:f>
      </x:c>
      <x:c r="N1271" s="46" t="str">
        <x:f>IF(OR(K1271="",A1270&lt;&gt;A1271,K1270=""),"",K1271-K1270)</x:f>
      </x:c>
      <x:c r="O1271" s="42" t="str">
        <x:v>Sem informação</x:v>
      </x:c>
      <x:c r="P1271" s="42"/>
      <x:c r="Q1271" s="42" t="str"/>
      <x:c r="R1271" s="42" t="str"/>
      <x:c r="S1271" s="42" t="str"/>
      <x:c r="T1271" s="42" t="str"/>
    </x:row>
    <x:row r="1272">
      <x:c r="A1272" s="42" t="str">
        <x:v>Cuiabano</x:v>
      </x:c>
      <x:c r="B1272" s="42" t="n">
        <x:v>2028</x:v>
      </x:c>
      <x:c r="C1272" s="42" t="str">
        <x:v>T3</x:v>
      </x:c>
      <x:c r="D1272" s="44" t="n">
        <x:v>47026</x:v>
      </x:c>
      <x:c r="E1272" s="42" t="str">
        <x:v>Lateral-esquerdo</x:v>
      </x:c>
      <x:c r="F1272" s="42" t="str">
        <x:v>CR Vasco da Gama</x:v>
      </x:c>
      <x:c r="G1272" s="46"/>
      <x:c r="H1272" s="46"/>
      <x:c r="I1272" s="46"/>
      <x:c r="J1272" s="46"/>
      <x:c r="K1272" s="46" t="str">
        <x:f>IF(COUNT(G1272,I1272)=0,"",AVERAGE(G1272,I1272))</x:f>
      </x:c>
      <x:c r="L1272" s="46" t="str">
        <x:f>IF(COUNT(H1272,J1272)=0,"",AVERAGE(H1272,J1272))</x:f>
      </x:c>
      <x:c r="M1272" s="46" t="str">
        <x:f>IF(OR(K1272="",L1272=""),"",L1272-K1272)</x:f>
      </x:c>
      <x:c r="N1272" s="46" t="str">
        <x:f>IF(OR(K1272="",A1271&lt;&gt;A1272,K1271=""),"",K1272-K1271)</x:f>
      </x:c>
      <x:c r="O1272" s="42" t="str">
        <x:v>Sem informação</x:v>
      </x:c>
      <x:c r="P1272" s="42"/>
      <x:c r="Q1272" s="42" t="str"/>
      <x:c r="R1272" s="42" t="str"/>
      <x:c r="S1272" s="42" t="str"/>
      <x:c r="T1272" s="42" t="str"/>
    </x:row>
    <x:row r="1273">
      <x:c r="A1273" s="42" t="str">
        <x:v>Cuiabano</x:v>
      </x:c>
      <x:c r="B1273" s="42" t="n">
        <x:v>2028</x:v>
      </x:c>
      <x:c r="C1273" s="42" t="str">
        <x:v>T4</x:v>
      </x:c>
      <x:c r="D1273" s="44" t="n">
        <x:v>47118</x:v>
      </x:c>
      <x:c r="E1273" s="42" t="str">
        <x:v>Lateral-esquerdo</x:v>
      </x:c>
      <x:c r="F1273" s="42" t="str">
        <x:v>CR Vasco da Gama</x:v>
      </x:c>
      <x:c r="G1273" s="46"/>
      <x:c r="H1273" s="46"/>
      <x:c r="I1273" s="46"/>
      <x:c r="J1273" s="46"/>
      <x:c r="K1273" s="46" t="str">
        <x:f>IF(COUNT(G1273,I1273)=0,"",AVERAGE(G1273,I1273))</x:f>
      </x:c>
      <x:c r="L1273" s="46" t="str">
        <x:f>IF(COUNT(H1273,J1273)=0,"",AVERAGE(H1273,J1273))</x:f>
      </x:c>
      <x:c r="M1273" s="46" t="str">
        <x:f>IF(OR(K1273="",L1273=""),"",L1273-K1273)</x:f>
      </x:c>
      <x:c r="N1273" s="46" t="str">
        <x:f>IF(OR(K1273="",A1272&lt;&gt;A1273,K1272=""),"",K1273-K1272)</x:f>
      </x:c>
      <x:c r="O1273" s="42" t="str">
        <x:v>Sem informação</x:v>
      </x:c>
      <x:c r="P1273" s="42"/>
      <x:c r="Q1273" s="42" t="str"/>
      <x:c r="R1273" s="42" t="str"/>
      <x:c r="S1273" s="42" t="str"/>
      <x:c r="T1273" s="42" t="str"/>
    </x:row>
    <x:row r="1274">
      <x:c r="A1274" s="42" t="str">
        <x:v>Cuiabano</x:v>
      </x:c>
      <x:c r="B1274" s="42" t="n">
        <x:v>2029</x:v>
      </x:c>
      <x:c r="C1274" s="42" t="str">
        <x:v>T1</x:v>
      </x:c>
      <x:c r="D1274" s="44" t="n">
        <x:v>47208</x:v>
      </x:c>
      <x:c r="E1274" s="42" t="str">
        <x:v>Lateral-esquerdo</x:v>
      </x:c>
      <x:c r="F1274" s="42" t="str">
        <x:v>CR Vasco da Gama</x:v>
      </x:c>
      <x:c r="G1274" s="46"/>
      <x:c r="H1274" s="46"/>
      <x:c r="I1274" s="46"/>
      <x:c r="J1274" s="46"/>
      <x:c r="K1274" s="46" t="str">
        <x:f>IF(COUNT(G1274,I1274)=0,"",AVERAGE(G1274,I1274))</x:f>
      </x:c>
      <x:c r="L1274" s="46" t="str">
        <x:f>IF(COUNT(H1274,J1274)=0,"",AVERAGE(H1274,J1274))</x:f>
      </x:c>
      <x:c r="M1274" s="46" t="str">
        <x:f>IF(OR(K1274="",L1274=""),"",L1274-K1274)</x:f>
      </x:c>
      <x:c r="N1274" s="46" t="str">
        <x:f>IF(OR(K1274="",A1273&lt;&gt;A1274,K1273=""),"",K1274-K1273)</x:f>
      </x:c>
      <x:c r="O1274" s="42" t="str">
        <x:v>Sem informação</x:v>
      </x:c>
      <x:c r="P1274" s="42"/>
      <x:c r="Q1274" s="42" t="str"/>
      <x:c r="R1274" s="42" t="str"/>
      <x:c r="S1274" s="42" t="str"/>
      <x:c r="T1274" s="42" t="str"/>
    </x:row>
    <x:row r="1275">
      <x:c r="A1275" s="42" t="str">
        <x:v>Cuiabano</x:v>
      </x:c>
      <x:c r="B1275" s="42" t="n">
        <x:v>2029</x:v>
      </x:c>
      <x:c r="C1275" s="42" t="str">
        <x:v>T2</x:v>
      </x:c>
      <x:c r="D1275" s="44" t="n">
        <x:v>47299</x:v>
      </x:c>
      <x:c r="E1275" s="42" t="str">
        <x:v>Lateral-esquerdo</x:v>
      </x:c>
      <x:c r="F1275" s="42" t="str">
        <x:v>CR Vasco da Gama</x:v>
      </x:c>
      <x:c r="G1275" s="46"/>
      <x:c r="H1275" s="46"/>
      <x:c r="I1275" s="46"/>
      <x:c r="J1275" s="46"/>
      <x:c r="K1275" s="46" t="str">
        <x:f>IF(COUNT(G1275,I1275)=0,"",AVERAGE(G1275,I1275))</x:f>
      </x:c>
      <x:c r="L1275" s="46" t="str">
        <x:f>IF(COUNT(H1275,J1275)=0,"",AVERAGE(H1275,J1275))</x:f>
      </x:c>
      <x:c r="M1275" s="46" t="str">
        <x:f>IF(OR(K1275="",L1275=""),"",L1275-K1275)</x:f>
      </x:c>
      <x:c r="N1275" s="46" t="str">
        <x:f>IF(OR(K1275="",A1274&lt;&gt;A1275,K1274=""),"",K1275-K1274)</x:f>
      </x:c>
      <x:c r="O1275" s="42" t="str">
        <x:v>Sem informação</x:v>
      </x:c>
      <x:c r="P1275" s="42"/>
      <x:c r="Q1275" s="42" t="str"/>
      <x:c r="R1275" s="42" t="str"/>
      <x:c r="S1275" s="42" t="str"/>
      <x:c r="T1275" s="42" t="str"/>
    </x:row>
    <x:row r="1276">
      <x:c r="A1276" s="42" t="str">
        <x:v>Cuiabano</x:v>
      </x:c>
      <x:c r="B1276" s="42" t="n">
        <x:v>2029</x:v>
      </x:c>
      <x:c r="C1276" s="42" t="str">
        <x:v>T3</x:v>
      </x:c>
      <x:c r="D1276" s="44" t="n">
        <x:v>47391</x:v>
      </x:c>
      <x:c r="E1276" s="42" t="str">
        <x:v>Lateral-esquerdo</x:v>
      </x:c>
      <x:c r="F1276" s="42" t="str">
        <x:v>CR Vasco da Gama</x:v>
      </x:c>
      <x:c r="G1276" s="46"/>
      <x:c r="H1276" s="46"/>
      <x:c r="I1276" s="46"/>
      <x:c r="J1276" s="46"/>
      <x:c r="K1276" s="46" t="str">
        <x:f>IF(COUNT(G1276,I1276)=0,"",AVERAGE(G1276,I1276))</x:f>
      </x:c>
      <x:c r="L1276" s="46" t="str">
        <x:f>IF(COUNT(H1276,J1276)=0,"",AVERAGE(H1276,J1276))</x:f>
      </x:c>
      <x:c r="M1276" s="46" t="str">
        <x:f>IF(OR(K1276="",L1276=""),"",L1276-K1276)</x:f>
      </x:c>
      <x:c r="N1276" s="46" t="str">
        <x:f>IF(OR(K1276="",A1275&lt;&gt;A1276,K1275=""),"",K1276-K1275)</x:f>
      </x:c>
      <x:c r="O1276" s="42" t="str">
        <x:v>Sem informação</x:v>
      </x:c>
      <x:c r="P1276" s="42"/>
      <x:c r="Q1276" s="42" t="str"/>
      <x:c r="R1276" s="42" t="str"/>
      <x:c r="S1276" s="42" t="str"/>
      <x:c r="T1276" s="42" t="str"/>
    </x:row>
    <x:row r="1277">
      <x:c r="A1277" s="42" t="str">
        <x:v>Cuiabano</x:v>
      </x:c>
      <x:c r="B1277" s="42" t="n">
        <x:v>2029</x:v>
      </x:c>
      <x:c r="C1277" s="42" t="str">
        <x:v>T4</x:v>
      </x:c>
      <x:c r="D1277" s="44" t="n">
        <x:v>47483</x:v>
      </x:c>
      <x:c r="E1277" s="42" t="str">
        <x:v>Lateral-esquerdo</x:v>
      </x:c>
      <x:c r="F1277" s="42" t="str">
        <x:v>CR Vasco da Gama</x:v>
      </x:c>
      <x:c r="G1277" s="46"/>
      <x:c r="H1277" s="46"/>
      <x:c r="I1277" s="46"/>
      <x:c r="J1277" s="46"/>
      <x:c r="K1277" s="46" t="str">
        <x:f>IF(COUNT(G1277,I1277)=0,"",AVERAGE(G1277,I1277))</x:f>
      </x:c>
      <x:c r="L1277" s="46" t="str">
        <x:f>IF(COUNT(H1277,J1277)=0,"",AVERAGE(H1277,J1277))</x:f>
      </x:c>
      <x:c r="M1277" s="46" t="str">
        <x:f>IF(OR(K1277="",L1277=""),"",L1277-K1277)</x:f>
      </x:c>
      <x:c r="N1277" s="46" t="str">
        <x:f>IF(OR(K1277="",A1276&lt;&gt;A1277,K1276=""),"",K1277-K1276)</x:f>
      </x:c>
      <x:c r="O1277" s="42" t="str">
        <x:v>Sem informação</x:v>
      </x:c>
      <x:c r="P1277" s="42"/>
      <x:c r="Q1277" s="42" t="str"/>
      <x:c r="R1277" s="42" t="str"/>
      <x:c r="S1277" s="42" t="str"/>
      <x:c r="T1277" s="42" t="str"/>
    </x:row>
    <x:row r="1278">
      <x:c r="A1278" s="42" t="str">
        <x:v>Cuiabano</x:v>
      </x:c>
      <x:c r="B1278" s="42" t="n">
        <x:v>2030</x:v>
      </x:c>
      <x:c r="C1278" s="42" t="str">
        <x:v>T1</x:v>
      </x:c>
      <x:c r="D1278" s="44" t="n">
        <x:v>47573</x:v>
      </x:c>
      <x:c r="E1278" s="42" t="str">
        <x:v>Lateral-esquerdo</x:v>
      </x:c>
      <x:c r="F1278" s="42" t="str">
        <x:v>CR Vasco da Gama</x:v>
      </x:c>
      <x:c r="G1278" s="46"/>
      <x:c r="H1278" s="46"/>
      <x:c r="I1278" s="46"/>
      <x:c r="J1278" s="46"/>
      <x:c r="K1278" s="46" t="str">
        <x:f>IF(COUNT(G1278,I1278)=0,"",AVERAGE(G1278,I1278))</x:f>
      </x:c>
      <x:c r="L1278" s="46" t="str">
        <x:f>IF(COUNT(H1278,J1278)=0,"",AVERAGE(H1278,J1278))</x:f>
      </x:c>
      <x:c r="M1278" s="46" t="str">
        <x:f>IF(OR(K1278="",L1278=""),"",L1278-K1278)</x:f>
      </x:c>
      <x:c r="N1278" s="46" t="str">
        <x:f>IF(OR(K1278="",A1277&lt;&gt;A1278,K1277=""),"",K1278-K1277)</x:f>
      </x:c>
      <x:c r="O1278" s="42" t="str">
        <x:v>Sem informação</x:v>
      </x:c>
      <x:c r="P1278" s="42"/>
      <x:c r="Q1278" s="42" t="str"/>
      <x:c r="R1278" s="42" t="str"/>
      <x:c r="S1278" s="42" t="str"/>
      <x:c r="T1278" s="42" t="str"/>
    </x:row>
    <x:row r="1279">
      <x:c r="A1279" s="42" t="str">
        <x:v>Cuiabano</x:v>
      </x:c>
      <x:c r="B1279" s="42" t="n">
        <x:v>2030</x:v>
      </x:c>
      <x:c r="C1279" s="42" t="str">
        <x:v>T2</x:v>
      </x:c>
      <x:c r="D1279" s="44" t="n">
        <x:v>47664</x:v>
      </x:c>
      <x:c r="E1279" s="42" t="str">
        <x:v>Lateral-esquerdo</x:v>
      </x:c>
      <x:c r="F1279" s="42" t="str">
        <x:v>CR Vasco da Gama</x:v>
      </x:c>
      <x:c r="G1279" s="46"/>
      <x:c r="H1279" s="46"/>
      <x:c r="I1279" s="46"/>
      <x:c r="J1279" s="46"/>
      <x:c r="K1279" s="46" t="str">
        <x:f>IF(COUNT(G1279,I1279)=0,"",AVERAGE(G1279,I1279))</x:f>
      </x:c>
      <x:c r="L1279" s="46" t="str">
        <x:f>IF(COUNT(H1279,J1279)=0,"",AVERAGE(H1279,J1279))</x:f>
      </x:c>
      <x:c r="M1279" s="46" t="str">
        <x:f>IF(OR(K1279="",L1279=""),"",L1279-K1279)</x:f>
      </x:c>
      <x:c r="N1279" s="46" t="str">
        <x:f>IF(OR(K1279="",A1278&lt;&gt;A1279,K1278=""),"",K1279-K1278)</x:f>
      </x:c>
      <x:c r="O1279" s="42" t="str">
        <x:v>Sem informação</x:v>
      </x:c>
      <x:c r="P1279" s="42"/>
      <x:c r="Q1279" s="42" t="str"/>
      <x:c r="R1279" s="42" t="str"/>
      <x:c r="S1279" s="42" t="str"/>
      <x:c r="T1279" s="42" t="str"/>
    </x:row>
    <x:row r="1280">
      <x:c r="A1280" s="42" t="str">
        <x:v>Cuiabano</x:v>
      </x:c>
      <x:c r="B1280" s="42" t="n">
        <x:v>2030</x:v>
      </x:c>
      <x:c r="C1280" s="42" t="str">
        <x:v>T3</x:v>
      </x:c>
      <x:c r="D1280" s="44" t="n">
        <x:v>47756</x:v>
      </x:c>
      <x:c r="E1280" s="42" t="str">
        <x:v>Lateral-esquerdo</x:v>
      </x:c>
      <x:c r="F1280" s="42" t="str">
        <x:v>CR Vasco da Gama</x:v>
      </x:c>
      <x:c r="G1280" s="46"/>
      <x:c r="H1280" s="46"/>
      <x:c r="I1280" s="46"/>
      <x:c r="J1280" s="46"/>
      <x:c r="K1280" s="46" t="str">
        <x:f>IF(COUNT(G1280,I1280)=0,"",AVERAGE(G1280,I1280))</x:f>
      </x:c>
      <x:c r="L1280" s="46" t="str">
        <x:f>IF(COUNT(H1280,J1280)=0,"",AVERAGE(H1280,J1280))</x:f>
      </x:c>
      <x:c r="M1280" s="46" t="str">
        <x:f>IF(OR(K1280="",L1280=""),"",L1280-K1280)</x:f>
      </x:c>
      <x:c r="N1280" s="46" t="str">
        <x:f>IF(OR(K1280="",A1279&lt;&gt;A1280,K1279=""),"",K1280-K1279)</x:f>
      </x:c>
      <x:c r="O1280" s="42" t="str">
        <x:v>Sem informação</x:v>
      </x:c>
      <x:c r="P1280" s="42"/>
      <x:c r="Q1280" s="42" t="str"/>
      <x:c r="R1280" s="42" t="str"/>
      <x:c r="S1280" s="42" t="str"/>
      <x:c r="T1280" s="42" t="str"/>
    </x:row>
    <x:row r="1281">
      <x:c r="A1281" s="42" t="str">
        <x:v>Cuiabano</x:v>
      </x:c>
      <x:c r="B1281" s="42" t="n">
        <x:v>2030</x:v>
      </x:c>
      <x:c r="C1281" s="42" t="str">
        <x:v>T4</x:v>
      </x:c>
      <x:c r="D1281" s="44" t="n">
        <x:v>47848</x:v>
      </x:c>
      <x:c r="E1281" s="42" t="str">
        <x:v>Lateral-esquerdo</x:v>
      </x:c>
      <x:c r="F1281" s="42" t="str">
        <x:v>CR Vasco da Gama</x:v>
      </x:c>
      <x:c r="G1281" s="46"/>
      <x:c r="H1281" s="46"/>
      <x:c r="I1281" s="46"/>
      <x:c r="J1281" s="46"/>
      <x:c r="K1281" s="46" t="str">
        <x:f>IF(COUNT(G1281,I1281)=0,"",AVERAGE(G1281,I1281))</x:f>
      </x:c>
      <x:c r="L1281" s="46" t="str">
        <x:f>IF(COUNT(H1281,J1281)=0,"",AVERAGE(H1281,J1281))</x:f>
      </x:c>
      <x:c r="M1281" s="46" t="str">
        <x:f>IF(OR(K1281="",L1281=""),"",L1281-K1281)</x:f>
      </x:c>
      <x:c r="N1281" s="46" t="str">
        <x:f>IF(OR(K1281="",A1280&lt;&gt;A1281,K1280=""),"",K1281-K1280)</x:f>
      </x:c>
      <x:c r="O1281" s="42" t="str">
        <x:v>Sem informação</x:v>
      </x:c>
      <x:c r="P1281" s="42"/>
      <x:c r="Q1281" s="42" t="str"/>
      <x:c r="R1281" s="42" t="str"/>
      <x:c r="S1281" s="42" t="str"/>
      <x:c r="T1281" s="42" t="str"/>
    </x:row>
    <x:row r="1282">
      <x:c r="A1282" s="42" t="str">
        <x:v>Léo Pereira</x:v>
      </x:c>
      <x:c r="B1282" s="42" t="n">
        <x:v>2026</x:v>
      </x:c>
      <x:c r="C1282" s="42" t="str">
        <x:v>T1</x:v>
      </x:c>
      <x:c r="D1282" s="44" t="n">
        <x:v>46112</x:v>
      </x:c>
      <x:c r="E1282" s="42" t="str">
        <x:v>Zagueiro</x:v>
      </x:c>
      <x:c r="F1282" s="42" t="str">
        <x:v>CR Flamengo</x:v>
      </x:c>
      <x:c r="G1282" s="46"/>
      <x:c r="H1282" s="46"/>
      <x:c r="I1282" s="46"/>
      <x:c r="J1282" s="46"/>
      <x:c r="K1282" s="46" t="str">
        <x:f>IF(COUNT(G1282,I1282)=0,"",AVERAGE(G1282,I1282))</x:f>
      </x:c>
      <x:c r="L1282" s="46" t="str">
        <x:f>IF(COUNT(H1282,J1282)=0,"",AVERAGE(H1282,J1282))</x:f>
      </x:c>
      <x:c r="M1282" s="46" t="str">
        <x:f>IF(OR(K1282="",L1282=""),"",L1282-K1282)</x:f>
      </x:c>
      <x:c r="N1282" s="46" t="str">
        <x:f>IF(OR(K1282="",A1281&lt;&gt;A1282,K1281=""),"",K1282-K1281)</x:f>
      </x:c>
      <x:c r="O1282" s="42" t="str">
        <x:v>Sem informação</x:v>
      </x:c>
      <x:c r="P1282" s="42"/>
      <x:c r="Q1282" s="42" t="str"/>
      <x:c r="R1282" s="42" t="str"/>
      <x:c r="S1282" s="42" t="str"/>
      <x:c r="T1282" s="42" t="str"/>
    </x:row>
    <x:row r="1283">
      <x:c r="A1283" s="42" t="str">
        <x:v>Léo Pereira</x:v>
      </x:c>
      <x:c r="B1283" s="42" t="n">
        <x:v>2026</x:v>
      </x:c>
      <x:c r="C1283" s="42" t="str">
        <x:v>T2</x:v>
      </x:c>
      <x:c r="D1283" s="44" t="n">
        <x:v>46203</x:v>
      </x:c>
      <x:c r="E1283" s="42" t="str">
        <x:v>Zagueiro</x:v>
      </x:c>
      <x:c r="F1283" s="42" t="str">
        <x:v>CR Flamengo</x:v>
      </x:c>
      <x:c r="G1283" s="46"/>
      <x:c r="H1283" s="46"/>
      <x:c r="I1283" s="46"/>
      <x:c r="J1283" s="46"/>
      <x:c r="K1283" s="46" t="str">
        <x:f>IF(COUNT(G1283,I1283)=0,"",AVERAGE(G1283,I1283))</x:f>
      </x:c>
      <x:c r="L1283" s="46" t="str">
        <x:f>IF(COUNT(H1283,J1283)=0,"",AVERAGE(H1283,J1283))</x:f>
      </x:c>
      <x:c r="M1283" s="46" t="str">
        <x:f>IF(OR(K1283="",L1283=""),"",L1283-K1283)</x:f>
      </x:c>
      <x:c r="N1283" s="46" t="str">
        <x:f>IF(OR(K1283="",A1282&lt;&gt;A1283,K1282=""),"",K1283-K1282)</x:f>
      </x:c>
      <x:c r="O1283" s="42" t="str">
        <x:v>Sem informação</x:v>
      </x:c>
      <x:c r="P1283" s="42"/>
      <x:c r="Q1283" s="42" t="str"/>
      <x:c r="R1283" s="42" t="str"/>
      <x:c r="S1283" s="42" t="str"/>
      <x:c r="T1283" s="42" t="str"/>
    </x:row>
    <x:row r="1284">
      <x:c r="A1284" s="42" t="str">
        <x:v>Léo Pereira</x:v>
      </x:c>
      <x:c r="B1284" s="42" t="n">
        <x:v>2026</x:v>
      </x:c>
      <x:c r="C1284" s="42" t="str">
        <x:v>T3</x:v>
      </x:c>
      <x:c r="D1284" s="44" t="n">
        <x:v>46295</x:v>
      </x:c>
      <x:c r="E1284" s="42" t="str">
        <x:v>Zagueiro</x:v>
      </x:c>
      <x:c r="F1284" s="42" t="str">
        <x:v>CR Flamengo</x:v>
      </x:c>
      <x:c r="G1284" s="46"/>
      <x:c r="H1284" s="46"/>
      <x:c r="I1284" s="46"/>
      <x:c r="J1284" s="46"/>
      <x:c r="K1284" s="46" t="str">
        <x:f>IF(COUNT(G1284,I1284)=0,"",AVERAGE(G1284,I1284))</x:f>
      </x:c>
      <x:c r="L1284" s="46" t="str">
        <x:f>IF(COUNT(H1284,J1284)=0,"",AVERAGE(H1284,J1284))</x:f>
      </x:c>
      <x:c r="M1284" s="46" t="str">
        <x:f>IF(OR(K1284="",L1284=""),"",L1284-K1284)</x:f>
      </x:c>
      <x:c r="N1284" s="46" t="str">
        <x:f>IF(OR(K1284="",A1283&lt;&gt;A1284,K1283=""),"",K1284-K1283)</x:f>
      </x:c>
      <x:c r="O1284" s="42" t="str">
        <x:v>Sem informação</x:v>
      </x:c>
      <x:c r="P1284" s="42"/>
      <x:c r="Q1284" s="42" t="str"/>
      <x:c r="R1284" s="42" t="str"/>
      <x:c r="S1284" s="42" t="str"/>
      <x:c r="T1284" s="42" t="str"/>
    </x:row>
    <x:row r="1285">
      <x:c r="A1285" s="42" t="str">
        <x:v>Léo Pereira</x:v>
      </x:c>
      <x:c r="B1285" s="42" t="n">
        <x:v>2026</x:v>
      </x:c>
      <x:c r="C1285" s="42" t="str">
        <x:v>T4</x:v>
      </x:c>
      <x:c r="D1285" s="44" t="n">
        <x:v>46387</x:v>
      </x:c>
      <x:c r="E1285" s="42" t="str">
        <x:v>Zagueiro</x:v>
      </x:c>
      <x:c r="F1285" s="42" t="str">
        <x:v>CR Flamengo</x:v>
      </x:c>
      <x:c r="G1285" s="46"/>
      <x:c r="H1285" s="46"/>
      <x:c r="I1285" s="46"/>
      <x:c r="J1285" s="46"/>
      <x:c r="K1285" s="46" t="str">
        <x:f>IF(COUNT(G1285,I1285)=0,"",AVERAGE(G1285,I1285))</x:f>
      </x:c>
      <x:c r="L1285" s="46" t="str">
        <x:f>IF(COUNT(H1285,J1285)=0,"",AVERAGE(H1285,J1285))</x:f>
      </x:c>
      <x:c r="M1285" s="46" t="str">
        <x:f>IF(OR(K1285="",L1285=""),"",L1285-K1285)</x:f>
      </x:c>
      <x:c r="N1285" s="46" t="str">
        <x:f>IF(OR(K1285="",A1284&lt;&gt;A1285,K1284=""),"",K1285-K1284)</x:f>
      </x:c>
      <x:c r="O1285" s="42" t="str">
        <x:v>Sem informação</x:v>
      </x:c>
      <x:c r="P1285" s="42"/>
      <x:c r="Q1285" s="42" t="str"/>
      <x:c r="R1285" s="42" t="str"/>
      <x:c r="S1285" s="42" t="str"/>
      <x:c r="T1285" s="42" t="str"/>
    </x:row>
    <x:row r="1286">
      <x:c r="A1286" s="42" t="str">
        <x:v>Léo Pereira</x:v>
      </x:c>
      <x:c r="B1286" s="42" t="n">
        <x:v>2027</x:v>
      </x:c>
      <x:c r="C1286" s="42" t="str">
        <x:v>T1</x:v>
      </x:c>
      <x:c r="D1286" s="44" t="n">
        <x:v>46477</x:v>
      </x:c>
      <x:c r="E1286" s="42" t="str">
        <x:v>Zagueiro</x:v>
      </x:c>
      <x:c r="F1286" s="42" t="str">
        <x:v>CR Flamengo</x:v>
      </x:c>
      <x:c r="G1286" s="46"/>
      <x:c r="H1286" s="46"/>
      <x:c r="I1286" s="46"/>
      <x:c r="J1286" s="46"/>
      <x:c r="K1286" s="46" t="str">
        <x:f>IF(COUNT(G1286,I1286)=0,"",AVERAGE(G1286,I1286))</x:f>
      </x:c>
      <x:c r="L1286" s="46" t="str">
        <x:f>IF(COUNT(H1286,J1286)=0,"",AVERAGE(H1286,J1286))</x:f>
      </x:c>
      <x:c r="M1286" s="46" t="str">
        <x:f>IF(OR(K1286="",L1286=""),"",L1286-K1286)</x:f>
      </x:c>
      <x:c r="N1286" s="46" t="str">
        <x:f>IF(OR(K1286="",A1285&lt;&gt;A1286,K1285=""),"",K1286-K1285)</x:f>
      </x:c>
      <x:c r="O1286" s="42" t="str">
        <x:v>Sem informação</x:v>
      </x:c>
      <x:c r="P1286" s="42"/>
      <x:c r="Q1286" s="42" t="str"/>
      <x:c r="R1286" s="42" t="str"/>
      <x:c r="S1286" s="42" t="str"/>
      <x:c r="T1286" s="42" t="str"/>
    </x:row>
    <x:row r="1287">
      <x:c r="A1287" s="42" t="str">
        <x:v>Léo Pereira</x:v>
      </x:c>
      <x:c r="B1287" s="42" t="n">
        <x:v>2027</x:v>
      </x:c>
      <x:c r="C1287" s="42" t="str">
        <x:v>T2</x:v>
      </x:c>
      <x:c r="D1287" s="44" t="n">
        <x:v>46568</x:v>
      </x:c>
      <x:c r="E1287" s="42" t="str">
        <x:v>Zagueiro</x:v>
      </x:c>
      <x:c r="F1287" s="42" t="str">
        <x:v>CR Flamengo</x:v>
      </x:c>
      <x:c r="G1287" s="46"/>
      <x:c r="H1287" s="46"/>
      <x:c r="I1287" s="46"/>
      <x:c r="J1287" s="46"/>
      <x:c r="K1287" s="46" t="str">
        <x:f>IF(COUNT(G1287,I1287)=0,"",AVERAGE(G1287,I1287))</x:f>
      </x:c>
      <x:c r="L1287" s="46" t="str">
        <x:f>IF(COUNT(H1287,J1287)=0,"",AVERAGE(H1287,J1287))</x:f>
      </x:c>
      <x:c r="M1287" s="46" t="str">
        <x:f>IF(OR(K1287="",L1287=""),"",L1287-K1287)</x:f>
      </x:c>
      <x:c r="N1287" s="46" t="str">
        <x:f>IF(OR(K1287="",A1286&lt;&gt;A1287,K1286=""),"",K1287-K1286)</x:f>
      </x:c>
      <x:c r="O1287" s="42" t="str">
        <x:v>Sem informação</x:v>
      </x:c>
      <x:c r="P1287" s="42"/>
      <x:c r="Q1287" s="42" t="str"/>
      <x:c r="R1287" s="42" t="str"/>
      <x:c r="S1287" s="42" t="str"/>
      <x:c r="T1287" s="42" t="str"/>
    </x:row>
    <x:row r="1288">
      <x:c r="A1288" s="42" t="str">
        <x:v>Léo Pereira</x:v>
      </x:c>
      <x:c r="B1288" s="42" t="n">
        <x:v>2027</x:v>
      </x:c>
      <x:c r="C1288" s="42" t="str">
        <x:v>T3</x:v>
      </x:c>
      <x:c r="D1288" s="44" t="n">
        <x:v>46660</x:v>
      </x:c>
      <x:c r="E1288" s="42" t="str">
        <x:v>Zagueiro</x:v>
      </x:c>
      <x:c r="F1288" s="42" t="str">
        <x:v>CR Flamengo</x:v>
      </x:c>
      <x:c r="G1288" s="46"/>
      <x:c r="H1288" s="46"/>
      <x:c r="I1288" s="46"/>
      <x:c r="J1288" s="46"/>
      <x:c r="K1288" s="46" t="str">
        <x:f>IF(COUNT(G1288,I1288)=0,"",AVERAGE(G1288,I1288))</x:f>
      </x:c>
      <x:c r="L1288" s="46" t="str">
        <x:f>IF(COUNT(H1288,J1288)=0,"",AVERAGE(H1288,J1288))</x:f>
      </x:c>
      <x:c r="M1288" s="46" t="str">
        <x:f>IF(OR(K1288="",L1288=""),"",L1288-K1288)</x:f>
      </x:c>
      <x:c r="N1288" s="46" t="str">
        <x:f>IF(OR(K1288="",A1287&lt;&gt;A1288,K1287=""),"",K1288-K1287)</x:f>
      </x:c>
      <x:c r="O1288" s="42" t="str">
        <x:v>Sem informação</x:v>
      </x:c>
      <x:c r="P1288" s="42"/>
      <x:c r="Q1288" s="42" t="str"/>
      <x:c r="R1288" s="42" t="str"/>
      <x:c r="S1288" s="42" t="str"/>
      <x:c r="T1288" s="42" t="str"/>
    </x:row>
    <x:row r="1289">
      <x:c r="A1289" s="42" t="str">
        <x:v>Léo Pereira</x:v>
      </x:c>
      <x:c r="B1289" s="42" t="n">
        <x:v>2027</x:v>
      </x:c>
      <x:c r="C1289" s="42" t="str">
        <x:v>T4</x:v>
      </x:c>
      <x:c r="D1289" s="44" t="n">
        <x:v>46752</x:v>
      </x:c>
      <x:c r="E1289" s="42" t="str">
        <x:v>Zagueiro</x:v>
      </x:c>
      <x:c r="F1289" s="42" t="str">
        <x:v>CR Flamengo</x:v>
      </x:c>
      <x:c r="G1289" s="46"/>
      <x:c r="H1289" s="46"/>
      <x:c r="I1289" s="46"/>
      <x:c r="J1289" s="46"/>
      <x:c r="K1289" s="46" t="str">
        <x:f>IF(COUNT(G1289,I1289)=0,"",AVERAGE(G1289,I1289))</x:f>
      </x:c>
      <x:c r="L1289" s="46" t="str">
        <x:f>IF(COUNT(H1289,J1289)=0,"",AVERAGE(H1289,J1289))</x:f>
      </x:c>
      <x:c r="M1289" s="46" t="str">
        <x:f>IF(OR(K1289="",L1289=""),"",L1289-K1289)</x:f>
      </x:c>
      <x:c r="N1289" s="46" t="str">
        <x:f>IF(OR(K1289="",A1288&lt;&gt;A1289,K1288=""),"",K1289-K1288)</x:f>
      </x:c>
      <x:c r="O1289" s="42" t="str">
        <x:v>Sem informação</x:v>
      </x:c>
      <x:c r="P1289" s="42"/>
      <x:c r="Q1289" s="42" t="str"/>
      <x:c r="R1289" s="42" t="str"/>
      <x:c r="S1289" s="42" t="str"/>
      <x:c r="T1289" s="42" t="str"/>
    </x:row>
    <x:row r="1290">
      <x:c r="A1290" s="42" t="str">
        <x:v>Léo Pereira</x:v>
      </x:c>
      <x:c r="B1290" s="42" t="n">
        <x:v>2028</x:v>
      </x:c>
      <x:c r="C1290" s="42" t="str">
        <x:v>T1</x:v>
      </x:c>
      <x:c r="D1290" s="44" t="n">
        <x:v>46843</x:v>
      </x:c>
      <x:c r="E1290" s="42" t="str">
        <x:v>Zagueiro</x:v>
      </x:c>
      <x:c r="F1290" s="42" t="str">
        <x:v>CR Flamengo</x:v>
      </x:c>
      <x:c r="G1290" s="46"/>
      <x:c r="H1290" s="46"/>
      <x:c r="I1290" s="46"/>
      <x:c r="J1290" s="46"/>
      <x:c r="K1290" s="46" t="str">
        <x:f>IF(COUNT(G1290,I1290)=0,"",AVERAGE(G1290,I1290))</x:f>
      </x:c>
      <x:c r="L1290" s="46" t="str">
        <x:f>IF(COUNT(H1290,J1290)=0,"",AVERAGE(H1290,J1290))</x:f>
      </x:c>
      <x:c r="M1290" s="46" t="str">
        <x:f>IF(OR(K1290="",L1290=""),"",L1290-K1290)</x:f>
      </x:c>
      <x:c r="N1290" s="46" t="str">
        <x:f>IF(OR(K1290="",A1289&lt;&gt;A1290,K1289=""),"",K1290-K1289)</x:f>
      </x:c>
      <x:c r="O1290" s="42" t="str">
        <x:v>Sem informação</x:v>
      </x:c>
      <x:c r="P1290" s="42"/>
      <x:c r="Q1290" s="42" t="str"/>
      <x:c r="R1290" s="42" t="str"/>
      <x:c r="S1290" s="42" t="str"/>
      <x:c r="T1290" s="42" t="str"/>
    </x:row>
    <x:row r="1291">
      <x:c r="A1291" s="42" t="str">
        <x:v>Léo Pereira</x:v>
      </x:c>
      <x:c r="B1291" s="42" t="n">
        <x:v>2028</x:v>
      </x:c>
      <x:c r="C1291" s="42" t="str">
        <x:v>T2</x:v>
      </x:c>
      <x:c r="D1291" s="44" t="n">
        <x:v>46934</x:v>
      </x:c>
      <x:c r="E1291" s="42" t="str">
        <x:v>Zagueiro</x:v>
      </x:c>
      <x:c r="F1291" s="42" t="str">
        <x:v>CR Flamengo</x:v>
      </x:c>
      <x:c r="G1291" s="46"/>
      <x:c r="H1291" s="46"/>
      <x:c r="I1291" s="46"/>
      <x:c r="J1291" s="46"/>
      <x:c r="K1291" s="46" t="str">
        <x:f>IF(COUNT(G1291,I1291)=0,"",AVERAGE(G1291,I1291))</x:f>
      </x:c>
      <x:c r="L1291" s="46" t="str">
        <x:f>IF(COUNT(H1291,J1291)=0,"",AVERAGE(H1291,J1291))</x:f>
      </x:c>
      <x:c r="M1291" s="46" t="str">
        <x:f>IF(OR(K1291="",L1291=""),"",L1291-K1291)</x:f>
      </x:c>
      <x:c r="N1291" s="46" t="str">
        <x:f>IF(OR(K1291="",A1290&lt;&gt;A1291,K1290=""),"",K1291-K1290)</x:f>
      </x:c>
      <x:c r="O1291" s="42" t="str">
        <x:v>Sem informação</x:v>
      </x:c>
      <x:c r="P1291" s="42"/>
      <x:c r="Q1291" s="42" t="str"/>
      <x:c r="R1291" s="42" t="str"/>
      <x:c r="S1291" s="42" t="str"/>
      <x:c r="T1291" s="42" t="str"/>
    </x:row>
    <x:row r="1292">
      <x:c r="A1292" s="42" t="str">
        <x:v>Léo Pereira</x:v>
      </x:c>
      <x:c r="B1292" s="42" t="n">
        <x:v>2028</x:v>
      </x:c>
      <x:c r="C1292" s="42" t="str">
        <x:v>T3</x:v>
      </x:c>
      <x:c r="D1292" s="44" t="n">
        <x:v>47026</x:v>
      </x:c>
      <x:c r="E1292" s="42" t="str">
        <x:v>Zagueiro</x:v>
      </x:c>
      <x:c r="F1292" s="42" t="str">
        <x:v>CR Flamengo</x:v>
      </x:c>
      <x:c r="G1292" s="46"/>
      <x:c r="H1292" s="46"/>
      <x:c r="I1292" s="46"/>
      <x:c r="J1292" s="46"/>
      <x:c r="K1292" s="46" t="str">
        <x:f>IF(COUNT(G1292,I1292)=0,"",AVERAGE(G1292,I1292))</x:f>
      </x:c>
      <x:c r="L1292" s="46" t="str">
        <x:f>IF(COUNT(H1292,J1292)=0,"",AVERAGE(H1292,J1292))</x:f>
      </x:c>
      <x:c r="M1292" s="46" t="str">
        <x:f>IF(OR(K1292="",L1292=""),"",L1292-K1292)</x:f>
      </x:c>
      <x:c r="N1292" s="46" t="str">
        <x:f>IF(OR(K1292="",A1291&lt;&gt;A1292,K1291=""),"",K1292-K1291)</x:f>
      </x:c>
      <x:c r="O1292" s="42" t="str">
        <x:v>Sem informação</x:v>
      </x:c>
      <x:c r="P1292" s="42"/>
      <x:c r="Q1292" s="42" t="str"/>
      <x:c r="R1292" s="42" t="str"/>
      <x:c r="S1292" s="42" t="str"/>
      <x:c r="T1292" s="42" t="str"/>
    </x:row>
    <x:row r="1293">
      <x:c r="A1293" s="42" t="str">
        <x:v>Léo Pereira</x:v>
      </x:c>
      <x:c r="B1293" s="42" t="n">
        <x:v>2028</x:v>
      </x:c>
      <x:c r="C1293" s="42" t="str">
        <x:v>T4</x:v>
      </x:c>
      <x:c r="D1293" s="44" t="n">
        <x:v>47118</x:v>
      </x:c>
      <x:c r="E1293" s="42" t="str">
        <x:v>Zagueiro</x:v>
      </x:c>
      <x:c r="F1293" s="42" t="str">
        <x:v>CR Flamengo</x:v>
      </x:c>
      <x:c r="G1293" s="46"/>
      <x:c r="H1293" s="46"/>
      <x:c r="I1293" s="46"/>
      <x:c r="J1293" s="46"/>
      <x:c r="K1293" s="46" t="str">
        <x:f>IF(COUNT(G1293,I1293)=0,"",AVERAGE(G1293,I1293))</x:f>
      </x:c>
      <x:c r="L1293" s="46" t="str">
        <x:f>IF(COUNT(H1293,J1293)=0,"",AVERAGE(H1293,J1293))</x:f>
      </x:c>
      <x:c r="M1293" s="46" t="str">
        <x:f>IF(OR(K1293="",L1293=""),"",L1293-K1293)</x:f>
      </x:c>
      <x:c r="N1293" s="46" t="str">
        <x:f>IF(OR(K1293="",A1292&lt;&gt;A1293,K1292=""),"",K1293-K1292)</x:f>
      </x:c>
      <x:c r="O1293" s="42" t="str">
        <x:v>Sem informação</x:v>
      </x:c>
      <x:c r="P1293" s="42"/>
      <x:c r="Q1293" s="42" t="str"/>
      <x:c r="R1293" s="42" t="str"/>
      <x:c r="S1293" s="42" t="str"/>
      <x:c r="T1293" s="42" t="str"/>
    </x:row>
    <x:row r="1294">
      <x:c r="A1294" s="42" t="str">
        <x:v>Léo Pereira</x:v>
      </x:c>
      <x:c r="B1294" s="42" t="n">
        <x:v>2029</x:v>
      </x:c>
      <x:c r="C1294" s="42" t="str">
        <x:v>T1</x:v>
      </x:c>
      <x:c r="D1294" s="44" t="n">
        <x:v>47208</x:v>
      </x:c>
      <x:c r="E1294" s="42" t="str">
        <x:v>Zagueiro</x:v>
      </x:c>
      <x:c r="F1294" s="42" t="str">
        <x:v>CR Flamengo</x:v>
      </x:c>
      <x:c r="G1294" s="46"/>
      <x:c r="H1294" s="46"/>
      <x:c r="I1294" s="46"/>
      <x:c r="J1294" s="46"/>
      <x:c r="K1294" s="46" t="str">
        <x:f>IF(COUNT(G1294,I1294)=0,"",AVERAGE(G1294,I1294))</x:f>
      </x:c>
      <x:c r="L1294" s="46" t="str">
        <x:f>IF(COUNT(H1294,J1294)=0,"",AVERAGE(H1294,J1294))</x:f>
      </x:c>
      <x:c r="M1294" s="46" t="str">
        <x:f>IF(OR(K1294="",L1294=""),"",L1294-K1294)</x:f>
      </x:c>
      <x:c r="N1294" s="46" t="str">
        <x:f>IF(OR(K1294="",A1293&lt;&gt;A1294,K1293=""),"",K1294-K1293)</x:f>
      </x:c>
      <x:c r="O1294" s="42" t="str">
        <x:v>Sem informação</x:v>
      </x:c>
      <x:c r="P1294" s="42"/>
      <x:c r="Q1294" s="42" t="str"/>
      <x:c r="R1294" s="42" t="str"/>
      <x:c r="S1294" s="42" t="str"/>
      <x:c r="T1294" s="42" t="str"/>
    </x:row>
    <x:row r="1295">
      <x:c r="A1295" s="42" t="str">
        <x:v>Léo Pereira</x:v>
      </x:c>
      <x:c r="B1295" s="42" t="n">
        <x:v>2029</x:v>
      </x:c>
      <x:c r="C1295" s="42" t="str">
        <x:v>T2</x:v>
      </x:c>
      <x:c r="D1295" s="44" t="n">
        <x:v>47299</x:v>
      </x:c>
      <x:c r="E1295" s="42" t="str">
        <x:v>Zagueiro</x:v>
      </x:c>
      <x:c r="F1295" s="42" t="str">
        <x:v>CR Flamengo</x:v>
      </x:c>
      <x:c r="G1295" s="46"/>
      <x:c r="H1295" s="46"/>
      <x:c r="I1295" s="46"/>
      <x:c r="J1295" s="46"/>
      <x:c r="K1295" s="46" t="str">
        <x:f>IF(COUNT(G1295,I1295)=0,"",AVERAGE(G1295,I1295))</x:f>
      </x:c>
      <x:c r="L1295" s="46" t="str">
        <x:f>IF(COUNT(H1295,J1295)=0,"",AVERAGE(H1295,J1295))</x:f>
      </x:c>
      <x:c r="M1295" s="46" t="str">
        <x:f>IF(OR(K1295="",L1295=""),"",L1295-K1295)</x:f>
      </x:c>
      <x:c r="N1295" s="46" t="str">
        <x:f>IF(OR(K1295="",A1294&lt;&gt;A1295,K1294=""),"",K1295-K1294)</x:f>
      </x:c>
      <x:c r="O1295" s="42" t="str">
        <x:v>Sem informação</x:v>
      </x:c>
      <x:c r="P1295" s="42"/>
      <x:c r="Q1295" s="42" t="str"/>
      <x:c r="R1295" s="42" t="str"/>
      <x:c r="S1295" s="42" t="str"/>
      <x:c r="T1295" s="42" t="str"/>
    </x:row>
    <x:row r="1296">
      <x:c r="A1296" s="42" t="str">
        <x:v>Léo Pereira</x:v>
      </x:c>
      <x:c r="B1296" s="42" t="n">
        <x:v>2029</x:v>
      </x:c>
      <x:c r="C1296" s="42" t="str">
        <x:v>T3</x:v>
      </x:c>
      <x:c r="D1296" s="44" t="n">
        <x:v>47391</x:v>
      </x:c>
      <x:c r="E1296" s="42" t="str">
        <x:v>Zagueiro</x:v>
      </x:c>
      <x:c r="F1296" s="42" t="str">
        <x:v>CR Flamengo</x:v>
      </x:c>
      <x:c r="G1296" s="46"/>
      <x:c r="H1296" s="46"/>
      <x:c r="I1296" s="46"/>
      <x:c r="J1296" s="46"/>
      <x:c r="K1296" s="46" t="str">
        <x:f>IF(COUNT(G1296,I1296)=0,"",AVERAGE(G1296,I1296))</x:f>
      </x:c>
      <x:c r="L1296" s="46" t="str">
        <x:f>IF(COUNT(H1296,J1296)=0,"",AVERAGE(H1296,J1296))</x:f>
      </x:c>
      <x:c r="M1296" s="46" t="str">
        <x:f>IF(OR(K1296="",L1296=""),"",L1296-K1296)</x:f>
      </x:c>
      <x:c r="N1296" s="46" t="str">
        <x:f>IF(OR(K1296="",A1295&lt;&gt;A1296,K1295=""),"",K1296-K1295)</x:f>
      </x:c>
      <x:c r="O1296" s="42" t="str">
        <x:v>Sem informação</x:v>
      </x:c>
      <x:c r="P1296" s="42"/>
      <x:c r="Q1296" s="42" t="str"/>
      <x:c r="R1296" s="42" t="str"/>
      <x:c r="S1296" s="42" t="str"/>
      <x:c r="T1296" s="42" t="str"/>
    </x:row>
    <x:row r="1297">
      <x:c r="A1297" s="42" t="str">
        <x:v>Léo Pereira</x:v>
      </x:c>
      <x:c r="B1297" s="42" t="n">
        <x:v>2029</x:v>
      </x:c>
      <x:c r="C1297" s="42" t="str">
        <x:v>T4</x:v>
      </x:c>
      <x:c r="D1297" s="44" t="n">
        <x:v>47483</x:v>
      </x:c>
      <x:c r="E1297" s="42" t="str">
        <x:v>Zagueiro</x:v>
      </x:c>
      <x:c r="F1297" s="42" t="str">
        <x:v>CR Flamengo</x:v>
      </x:c>
      <x:c r="G1297" s="46"/>
      <x:c r="H1297" s="46"/>
      <x:c r="I1297" s="46"/>
      <x:c r="J1297" s="46"/>
      <x:c r="K1297" s="46" t="str">
        <x:f>IF(COUNT(G1297,I1297)=0,"",AVERAGE(G1297,I1297))</x:f>
      </x:c>
      <x:c r="L1297" s="46" t="str">
        <x:f>IF(COUNT(H1297,J1297)=0,"",AVERAGE(H1297,J1297))</x:f>
      </x:c>
      <x:c r="M1297" s="46" t="str">
        <x:f>IF(OR(K1297="",L1297=""),"",L1297-K1297)</x:f>
      </x:c>
      <x:c r="N1297" s="46" t="str">
        <x:f>IF(OR(K1297="",A1296&lt;&gt;A1297,K1296=""),"",K1297-K1296)</x:f>
      </x:c>
      <x:c r="O1297" s="42" t="str">
        <x:v>Sem informação</x:v>
      </x:c>
      <x:c r="P1297" s="42"/>
      <x:c r="Q1297" s="42" t="str"/>
      <x:c r="R1297" s="42" t="str"/>
      <x:c r="S1297" s="42" t="str"/>
      <x:c r="T1297" s="42" t="str"/>
    </x:row>
    <x:row r="1298">
      <x:c r="A1298" s="42" t="str">
        <x:v>Léo Pereira</x:v>
      </x:c>
      <x:c r="B1298" s="42" t="n">
        <x:v>2030</x:v>
      </x:c>
      <x:c r="C1298" s="42" t="str">
        <x:v>T1</x:v>
      </x:c>
      <x:c r="D1298" s="44" t="n">
        <x:v>47573</x:v>
      </x:c>
      <x:c r="E1298" s="42" t="str">
        <x:v>Zagueiro</x:v>
      </x:c>
      <x:c r="F1298" s="42" t="str">
        <x:v>CR Flamengo</x:v>
      </x:c>
      <x:c r="G1298" s="46"/>
      <x:c r="H1298" s="46"/>
      <x:c r="I1298" s="46"/>
      <x:c r="J1298" s="46"/>
      <x:c r="K1298" s="46" t="str">
        <x:f>IF(COUNT(G1298,I1298)=0,"",AVERAGE(G1298,I1298))</x:f>
      </x:c>
      <x:c r="L1298" s="46" t="str">
        <x:f>IF(COUNT(H1298,J1298)=0,"",AVERAGE(H1298,J1298))</x:f>
      </x:c>
      <x:c r="M1298" s="46" t="str">
        <x:f>IF(OR(K1298="",L1298=""),"",L1298-K1298)</x:f>
      </x:c>
      <x:c r="N1298" s="46" t="str">
        <x:f>IF(OR(K1298="",A1297&lt;&gt;A1298,K1297=""),"",K1298-K1297)</x:f>
      </x:c>
      <x:c r="O1298" s="42" t="str">
        <x:v>Sem informação</x:v>
      </x:c>
      <x:c r="P1298" s="42"/>
      <x:c r="Q1298" s="42" t="str"/>
      <x:c r="R1298" s="42" t="str"/>
      <x:c r="S1298" s="42" t="str"/>
      <x:c r="T1298" s="42" t="str"/>
    </x:row>
    <x:row r="1299">
      <x:c r="A1299" s="42" t="str">
        <x:v>Léo Pereira</x:v>
      </x:c>
      <x:c r="B1299" s="42" t="n">
        <x:v>2030</x:v>
      </x:c>
      <x:c r="C1299" s="42" t="str">
        <x:v>T2</x:v>
      </x:c>
      <x:c r="D1299" s="44" t="n">
        <x:v>47664</x:v>
      </x:c>
      <x:c r="E1299" s="42" t="str">
        <x:v>Zagueiro</x:v>
      </x:c>
      <x:c r="F1299" s="42" t="str">
        <x:v>CR Flamengo</x:v>
      </x:c>
      <x:c r="G1299" s="46"/>
      <x:c r="H1299" s="46"/>
      <x:c r="I1299" s="46"/>
      <x:c r="J1299" s="46"/>
      <x:c r="K1299" s="46" t="str">
        <x:f>IF(COUNT(G1299,I1299)=0,"",AVERAGE(G1299,I1299))</x:f>
      </x:c>
      <x:c r="L1299" s="46" t="str">
        <x:f>IF(COUNT(H1299,J1299)=0,"",AVERAGE(H1299,J1299))</x:f>
      </x:c>
      <x:c r="M1299" s="46" t="str">
        <x:f>IF(OR(K1299="",L1299=""),"",L1299-K1299)</x:f>
      </x:c>
      <x:c r="N1299" s="46" t="str">
        <x:f>IF(OR(K1299="",A1298&lt;&gt;A1299,K1298=""),"",K1299-K1298)</x:f>
      </x:c>
      <x:c r="O1299" s="42" t="str">
        <x:v>Sem informação</x:v>
      </x:c>
      <x:c r="P1299" s="42"/>
      <x:c r="Q1299" s="42" t="str"/>
      <x:c r="R1299" s="42" t="str"/>
      <x:c r="S1299" s="42" t="str"/>
      <x:c r="T1299" s="42" t="str"/>
    </x:row>
    <x:row r="1300">
      <x:c r="A1300" s="42" t="str">
        <x:v>Léo Pereira</x:v>
      </x:c>
      <x:c r="B1300" s="42" t="n">
        <x:v>2030</x:v>
      </x:c>
      <x:c r="C1300" s="42" t="str">
        <x:v>T3</x:v>
      </x:c>
      <x:c r="D1300" s="44" t="n">
        <x:v>47756</x:v>
      </x:c>
      <x:c r="E1300" s="42" t="str">
        <x:v>Zagueiro</x:v>
      </x:c>
      <x:c r="F1300" s="42" t="str">
        <x:v>CR Flamengo</x:v>
      </x:c>
      <x:c r="G1300" s="46"/>
      <x:c r="H1300" s="46"/>
      <x:c r="I1300" s="46"/>
      <x:c r="J1300" s="46"/>
      <x:c r="K1300" s="46" t="str">
        <x:f>IF(COUNT(G1300,I1300)=0,"",AVERAGE(G1300,I1300))</x:f>
      </x:c>
      <x:c r="L1300" s="46" t="str">
        <x:f>IF(COUNT(H1300,J1300)=0,"",AVERAGE(H1300,J1300))</x:f>
      </x:c>
      <x:c r="M1300" s="46" t="str">
        <x:f>IF(OR(K1300="",L1300=""),"",L1300-K1300)</x:f>
      </x:c>
      <x:c r="N1300" s="46" t="str">
        <x:f>IF(OR(K1300="",A1299&lt;&gt;A1300,K1299=""),"",K1300-K1299)</x:f>
      </x:c>
      <x:c r="O1300" s="42" t="str">
        <x:v>Sem informação</x:v>
      </x:c>
      <x:c r="P1300" s="42"/>
      <x:c r="Q1300" s="42" t="str"/>
      <x:c r="R1300" s="42" t="str"/>
      <x:c r="S1300" s="42" t="str"/>
      <x:c r="T1300" s="42" t="str"/>
    </x:row>
    <x:row r="1301">
      <x:c r="A1301" s="42" t="str">
        <x:v>Léo Pereira</x:v>
      </x:c>
      <x:c r="B1301" s="42" t="n">
        <x:v>2030</x:v>
      </x:c>
      <x:c r="C1301" s="42" t="str">
        <x:v>T4</x:v>
      </x:c>
      <x:c r="D1301" s="44" t="n">
        <x:v>47848</x:v>
      </x:c>
      <x:c r="E1301" s="42" t="str">
        <x:v>Zagueiro</x:v>
      </x:c>
      <x:c r="F1301" s="42" t="str">
        <x:v>CR Flamengo</x:v>
      </x:c>
      <x:c r="G1301" s="46"/>
      <x:c r="H1301" s="46"/>
      <x:c r="I1301" s="46"/>
      <x:c r="J1301" s="46"/>
      <x:c r="K1301" s="46" t="str">
        <x:f>IF(COUNT(G1301,I1301)=0,"",AVERAGE(G1301,I1301))</x:f>
      </x:c>
      <x:c r="L1301" s="46" t="str">
        <x:f>IF(COUNT(H1301,J1301)=0,"",AVERAGE(H1301,J1301))</x:f>
      </x:c>
      <x:c r="M1301" s="46" t="str">
        <x:f>IF(OR(K1301="",L1301=""),"",L1301-K1301)</x:f>
      </x:c>
      <x:c r="N1301" s="46" t="str">
        <x:f>IF(OR(K1301="",A1300&lt;&gt;A1301,K1300=""),"",K1301-K1300)</x:f>
      </x:c>
      <x:c r="O1301" s="42" t="str">
        <x:v>Sem informação</x:v>
      </x:c>
      <x:c r="P1301" s="42"/>
      <x:c r="Q1301" s="42" t="str"/>
      <x:c r="R1301" s="42" t="str"/>
      <x:c r="S1301" s="42" t="str"/>
      <x:c r="T1301" s="42" t="str"/>
    </x:row>
    <x:row r="1302">
      <x:c r="A1302" s="42" t="str">
        <x:v>Dodô</x:v>
      </x:c>
      <x:c r="B1302" s="42" t="n">
        <x:v>2026</x:v>
      </x:c>
      <x:c r="C1302" s="42" t="str">
        <x:v>T1</x:v>
      </x:c>
      <x:c r="D1302" s="44" t="n">
        <x:v>46112</x:v>
      </x:c>
      <x:c r="E1302" s="42" t="str">
        <x:v>Lateral-direito</x:v>
      </x:c>
      <x:c r="F1302" s="42" t="str">
        <x:v>ACF Fiorentina</x:v>
      </x:c>
      <x:c r="G1302" s="46"/>
      <x:c r="H1302" s="46"/>
      <x:c r="I1302" s="46"/>
      <x:c r="J1302" s="46"/>
      <x:c r="K1302" s="46" t="str">
        <x:f>IF(COUNT(G1302,I1302)=0,"",AVERAGE(G1302,I1302))</x:f>
      </x:c>
      <x:c r="L1302" s="46" t="str">
        <x:f>IF(COUNT(H1302,J1302)=0,"",AVERAGE(H1302,J1302))</x:f>
      </x:c>
      <x:c r="M1302" s="46" t="str">
        <x:f>IF(OR(K1302="",L1302=""),"",L1302-K1302)</x:f>
      </x:c>
      <x:c r="N1302" s="46" t="str">
        <x:f>IF(OR(K1302="",A1301&lt;&gt;A1302,K1301=""),"",K1302-K1301)</x:f>
      </x:c>
      <x:c r="O1302" s="42" t="str">
        <x:v>Sem informação</x:v>
      </x:c>
      <x:c r="P1302" s="42"/>
      <x:c r="Q1302" s="42" t="str"/>
      <x:c r="R1302" s="42" t="str"/>
      <x:c r="S1302" s="42" t="str"/>
      <x:c r="T1302" s="42" t="str"/>
    </x:row>
    <x:row r="1303">
      <x:c r="A1303" s="42" t="str">
        <x:v>Dodô</x:v>
      </x:c>
      <x:c r="B1303" s="42" t="n">
        <x:v>2026</x:v>
      </x:c>
      <x:c r="C1303" s="42" t="str">
        <x:v>T2</x:v>
      </x:c>
      <x:c r="D1303" s="44" t="n">
        <x:v>46203</x:v>
      </x:c>
      <x:c r="E1303" s="42" t="str">
        <x:v>Lateral-direito</x:v>
      </x:c>
      <x:c r="F1303" s="42" t="str">
        <x:v>ACF Fiorentina</x:v>
      </x:c>
      <x:c r="G1303" s="46"/>
      <x:c r="H1303" s="46"/>
      <x:c r="I1303" s="46"/>
      <x:c r="J1303" s="46"/>
      <x:c r="K1303" s="46" t="str">
        <x:f>IF(COUNT(G1303,I1303)=0,"",AVERAGE(G1303,I1303))</x:f>
      </x:c>
      <x:c r="L1303" s="46" t="str">
        <x:f>IF(COUNT(H1303,J1303)=0,"",AVERAGE(H1303,J1303))</x:f>
      </x:c>
      <x:c r="M1303" s="46" t="str">
        <x:f>IF(OR(K1303="",L1303=""),"",L1303-K1303)</x:f>
      </x:c>
      <x:c r="N1303" s="46" t="str">
        <x:f>IF(OR(K1303="",A1302&lt;&gt;A1303,K1302=""),"",K1303-K1302)</x:f>
      </x:c>
      <x:c r="O1303" s="42" t="str">
        <x:v>Sem informação</x:v>
      </x:c>
      <x:c r="P1303" s="42"/>
      <x:c r="Q1303" s="42" t="str"/>
      <x:c r="R1303" s="42" t="str"/>
      <x:c r="S1303" s="42" t="str"/>
      <x:c r="T1303" s="42" t="str"/>
    </x:row>
    <x:row r="1304">
      <x:c r="A1304" s="42" t="str">
        <x:v>Dodô</x:v>
      </x:c>
      <x:c r="B1304" s="42" t="n">
        <x:v>2026</x:v>
      </x:c>
      <x:c r="C1304" s="42" t="str">
        <x:v>T3</x:v>
      </x:c>
      <x:c r="D1304" s="44" t="n">
        <x:v>46295</x:v>
      </x:c>
      <x:c r="E1304" s="42" t="str">
        <x:v>Lateral-direito</x:v>
      </x:c>
      <x:c r="F1304" s="42" t="str">
        <x:v>ACF Fiorentina</x:v>
      </x:c>
      <x:c r="G1304" s="46"/>
      <x:c r="H1304" s="46"/>
      <x:c r="I1304" s="46"/>
      <x:c r="J1304" s="46"/>
      <x:c r="K1304" s="46" t="str">
        <x:f>IF(COUNT(G1304,I1304)=0,"",AVERAGE(G1304,I1304))</x:f>
      </x:c>
      <x:c r="L1304" s="46" t="str">
        <x:f>IF(COUNT(H1304,J1304)=0,"",AVERAGE(H1304,J1304))</x:f>
      </x:c>
      <x:c r="M1304" s="46" t="str">
        <x:f>IF(OR(K1304="",L1304=""),"",L1304-K1304)</x:f>
      </x:c>
      <x:c r="N1304" s="46" t="str">
        <x:f>IF(OR(K1304="",A1303&lt;&gt;A1304,K1303=""),"",K1304-K1303)</x:f>
      </x:c>
      <x:c r="O1304" s="42" t="str">
        <x:v>Sem informação</x:v>
      </x:c>
      <x:c r="P1304" s="42"/>
      <x:c r="Q1304" s="42" t="str"/>
      <x:c r="R1304" s="42" t="str"/>
      <x:c r="S1304" s="42" t="str"/>
      <x:c r="T1304" s="42" t="str"/>
    </x:row>
    <x:row r="1305">
      <x:c r="A1305" s="42" t="str">
        <x:v>Dodô</x:v>
      </x:c>
      <x:c r="B1305" s="42" t="n">
        <x:v>2026</x:v>
      </x:c>
      <x:c r="C1305" s="42" t="str">
        <x:v>T4</x:v>
      </x:c>
      <x:c r="D1305" s="44" t="n">
        <x:v>46387</x:v>
      </x:c>
      <x:c r="E1305" s="42" t="str">
        <x:v>Lateral-direito</x:v>
      </x:c>
      <x:c r="F1305" s="42" t="str">
        <x:v>ACF Fiorentina</x:v>
      </x:c>
      <x:c r="G1305" s="46"/>
      <x:c r="H1305" s="46"/>
      <x:c r="I1305" s="46"/>
      <x:c r="J1305" s="46"/>
      <x:c r="K1305" s="46" t="str">
        <x:f>IF(COUNT(G1305,I1305)=0,"",AVERAGE(G1305,I1305))</x:f>
      </x:c>
      <x:c r="L1305" s="46" t="str">
        <x:f>IF(COUNT(H1305,J1305)=0,"",AVERAGE(H1305,J1305))</x:f>
      </x:c>
      <x:c r="M1305" s="46" t="str">
        <x:f>IF(OR(K1305="",L1305=""),"",L1305-K1305)</x:f>
      </x:c>
      <x:c r="N1305" s="46" t="str">
        <x:f>IF(OR(K1305="",A1304&lt;&gt;A1305,K1304=""),"",K1305-K1304)</x:f>
      </x:c>
      <x:c r="O1305" s="42" t="str">
        <x:v>Sem informação</x:v>
      </x:c>
      <x:c r="P1305" s="42"/>
      <x:c r="Q1305" s="42" t="str"/>
      <x:c r="R1305" s="42" t="str"/>
      <x:c r="S1305" s="42" t="str"/>
      <x:c r="T1305" s="42" t="str"/>
    </x:row>
    <x:row r="1306">
      <x:c r="A1306" s="42" t="str">
        <x:v>Dodô</x:v>
      </x:c>
      <x:c r="B1306" s="42" t="n">
        <x:v>2027</x:v>
      </x:c>
      <x:c r="C1306" s="42" t="str">
        <x:v>T1</x:v>
      </x:c>
      <x:c r="D1306" s="44" t="n">
        <x:v>46477</x:v>
      </x:c>
      <x:c r="E1306" s="42" t="str">
        <x:v>Lateral-direito</x:v>
      </x:c>
      <x:c r="F1306" s="42" t="str">
        <x:v>ACF Fiorentina</x:v>
      </x:c>
      <x:c r="G1306" s="46"/>
      <x:c r="H1306" s="46"/>
      <x:c r="I1306" s="46"/>
      <x:c r="J1306" s="46"/>
      <x:c r="K1306" s="46" t="str">
        <x:f>IF(COUNT(G1306,I1306)=0,"",AVERAGE(G1306,I1306))</x:f>
      </x:c>
      <x:c r="L1306" s="46" t="str">
        <x:f>IF(COUNT(H1306,J1306)=0,"",AVERAGE(H1306,J1306))</x:f>
      </x:c>
      <x:c r="M1306" s="46" t="str">
        <x:f>IF(OR(K1306="",L1306=""),"",L1306-K1306)</x:f>
      </x:c>
      <x:c r="N1306" s="46" t="str">
        <x:f>IF(OR(K1306="",A1305&lt;&gt;A1306,K1305=""),"",K1306-K1305)</x:f>
      </x:c>
      <x:c r="O1306" s="42" t="str">
        <x:v>Sem informação</x:v>
      </x:c>
      <x:c r="P1306" s="42"/>
      <x:c r="Q1306" s="42" t="str"/>
      <x:c r="R1306" s="42" t="str"/>
      <x:c r="S1306" s="42" t="str"/>
      <x:c r="T1306" s="42" t="str"/>
    </x:row>
    <x:row r="1307">
      <x:c r="A1307" s="42" t="str">
        <x:v>Dodô</x:v>
      </x:c>
      <x:c r="B1307" s="42" t="n">
        <x:v>2027</x:v>
      </x:c>
      <x:c r="C1307" s="42" t="str">
        <x:v>T2</x:v>
      </x:c>
      <x:c r="D1307" s="44" t="n">
        <x:v>46568</x:v>
      </x:c>
      <x:c r="E1307" s="42" t="str">
        <x:v>Lateral-direito</x:v>
      </x:c>
      <x:c r="F1307" s="42" t="str">
        <x:v>ACF Fiorentina</x:v>
      </x:c>
      <x:c r="G1307" s="46"/>
      <x:c r="H1307" s="46"/>
      <x:c r="I1307" s="46"/>
      <x:c r="J1307" s="46"/>
      <x:c r="K1307" s="46" t="str">
        <x:f>IF(COUNT(G1307,I1307)=0,"",AVERAGE(G1307,I1307))</x:f>
      </x:c>
      <x:c r="L1307" s="46" t="str">
        <x:f>IF(COUNT(H1307,J1307)=0,"",AVERAGE(H1307,J1307))</x:f>
      </x:c>
      <x:c r="M1307" s="46" t="str">
        <x:f>IF(OR(K1307="",L1307=""),"",L1307-K1307)</x:f>
      </x:c>
      <x:c r="N1307" s="46" t="str">
        <x:f>IF(OR(K1307="",A1306&lt;&gt;A1307,K1306=""),"",K1307-K1306)</x:f>
      </x:c>
      <x:c r="O1307" s="42" t="str">
        <x:v>Sem informação</x:v>
      </x:c>
      <x:c r="P1307" s="42"/>
      <x:c r="Q1307" s="42" t="str"/>
      <x:c r="R1307" s="42" t="str"/>
      <x:c r="S1307" s="42" t="str"/>
      <x:c r="T1307" s="42" t="str"/>
    </x:row>
    <x:row r="1308">
      <x:c r="A1308" s="42" t="str">
        <x:v>Dodô</x:v>
      </x:c>
      <x:c r="B1308" s="42" t="n">
        <x:v>2027</x:v>
      </x:c>
      <x:c r="C1308" s="42" t="str">
        <x:v>T3</x:v>
      </x:c>
      <x:c r="D1308" s="44" t="n">
        <x:v>46660</x:v>
      </x:c>
      <x:c r="E1308" s="42" t="str">
        <x:v>Lateral-direito</x:v>
      </x:c>
      <x:c r="F1308" s="42" t="str">
        <x:v>ACF Fiorentina</x:v>
      </x:c>
      <x:c r="G1308" s="46"/>
      <x:c r="H1308" s="46"/>
      <x:c r="I1308" s="46"/>
      <x:c r="J1308" s="46"/>
      <x:c r="K1308" s="46" t="str">
        <x:f>IF(COUNT(G1308,I1308)=0,"",AVERAGE(G1308,I1308))</x:f>
      </x:c>
      <x:c r="L1308" s="46" t="str">
        <x:f>IF(COUNT(H1308,J1308)=0,"",AVERAGE(H1308,J1308))</x:f>
      </x:c>
      <x:c r="M1308" s="46" t="str">
        <x:f>IF(OR(K1308="",L1308=""),"",L1308-K1308)</x:f>
      </x:c>
      <x:c r="N1308" s="46" t="str">
        <x:f>IF(OR(K1308="",A1307&lt;&gt;A1308,K1307=""),"",K1308-K1307)</x:f>
      </x:c>
      <x:c r="O1308" s="42" t="str">
        <x:v>Sem informação</x:v>
      </x:c>
      <x:c r="P1308" s="42"/>
      <x:c r="Q1308" s="42" t="str"/>
      <x:c r="R1308" s="42" t="str"/>
      <x:c r="S1308" s="42" t="str"/>
      <x:c r="T1308" s="42" t="str"/>
    </x:row>
    <x:row r="1309">
      <x:c r="A1309" s="42" t="str">
        <x:v>Dodô</x:v>
      </x:c>
      <x:c r="B1309" s="42" t="n">
        <x:v>2027</x:v>
      </x:c>
      <x:c r="C1309" s="42" t="str">
        <x:v>T4</x:v>
      </x:c>
      <x:c r="D1309" s="44" t="n">
        <x:v>46752</x:v>
      </x:c>
      <x:c r="E1309" s="42" t="str">
        <x:v>Lateral-direito</x:v>
      </x:c>
      <x:c r="F1309" s="42" t="str">
        <x:v>ACF Fiorentina</x:v>
      </x:c>
      <x:c r="G1309" s="46"/>
      <x:c r="H1309" s="46"/>
      <x:c r="I1309" s="46"/>
      <x:c r="J1309" s="46"/>
      <x:c r="K1309" s="46" t="str">
        <x:f>IF(COUNT(G1309,I1309)=0,"",AVERAGE(G1309,I1309))</x:f>
      </x:c>
      <x:c r="L1309" s="46" t="str">
        <x:f>IF(COUNT(H1309,J1309)=0,"",AVERAGE(H1309,J1309))</x:f>
      </x:c>
      <x:c r="M1309" s="46" t="str">
        <x:f>IF(OR(K1309="",L1309=""),"",L1309-K1309)</x:f>
      </x:c>
      <x:c r="N1309" s="46" t="str">
        <x:f>IF(OR(K1309="",A1308&lt;&gt;A1309,K1308=""),"",K1309-K1308)</x:f>
      </x:c>
      <x:c r="O1309" s="42" t="str">
        <x:v>Sem informação</x:v>
      </x:c>
      <x:c r="P1309" s="42"/>
      <x:c r="Q1309" s="42" t="str"/>
      <x:c r="R1309" s="42" t="str"/>
      <x:c r="S1309" s="42" t="str"/>
      <x:c r="T1309" s="42" t="str"/>
    </x:row>
    <x:row r="1310">
      <x:c r="A1310" s="42" t="str">
        <x:v>Dodô</x:v>
      </x:c>
      <x:c r="B1310" s="42" t="n">
        <x:v>2028</x:v>
      </x:c>
      <x:c r="C1310" s="42" t="str">
        <x:v>T1</x:v>
      </x:c>
      <x:c r="D1310" s="44" t="n">
        <x:v>46843</x:v>
      </x:c>
      <x:c r="E1310" s="42" t="str">
        <x:v>Lateral-direito</x:v>
      </x:c>
      <x:c r="F1310" s="42" t="str">
        <x:v>ACF Fiorentina</x:v>
      </x:c>
      <x:c r="G1310" s="46"/>
      <x:c r="H1310" s="46"/>
      <x:c r="I1310" s="46"/>
      <x:c r="J1310" s="46"/>
      <x:c r="K1310" s="46" t="str">
        <x:f>IF(COUNT(G1310,I1310)=0,"",AVERAGE(G1310,I1310))</x:f>
      </x:c>
      <x:c r="L1310" s="46" t="str">
        <x:f>IF(COUNT(H1310,J1310)=0,"",AVERAGE(H1310,J1310))</x:f>
      </x:c>
      <x:c r="M1310" s="46" t="str">
        <x:f>IF(OR(K1310="",L1310=""),"",L1310-K1310)</x:f>
      </x:c>
      <x:c r="N1310" s="46" t="str">
        <x:f>IF(OR(K1310="",A1309&lt;&gt;A1310,K1309=""),"",K1310-K1309)</x:f>
      </x:c>
      <x:c r="O1310" s="42" t="str">
        <x:v>Sem informação</x:v>
      </x:c>
      <x:c r="P1310" s="42"/>
      <x:c r="Q1310" s="42" t="str"/>
      <x:c r="R1310" s="42" t="str"/>
      <x:c r="S1310" s="42" t="str"/>
      <x:c r="T1310" s="42" t="str"/>
    </x:row>
    <x:row r="1311">
      <x:c r="A1311" s="42" t="str">
        <x:v>Dodô</x:v>
      </x:c>
      <x:c r="B1311" s="42" t="n">
        <x:v>2028</x:v>
      </x:c>
      <x:c r="C1311" s="42" t="str">
        <x:v>T2</x:v>
      </x:c>
      <x:c r="D1311" s="44" t="n">
        <x:v>46934</x:v>
      </x:c>
      <x:c r="E1311" s="42" t="str">
        <x:v>Lateral-direito</x:v>
      </x:c>
      <x:c r="F1311" s="42" t="str">
        <x:v>ACF Fiorentina</x:v>
      </x:c>
      <x:c r="G1311" s="46"/>
      <x:c r="H1311" s="46"/>
      <x:c r="I1311" s="46"/>
      <x:c r="J1311" s="46"/>
      <x:c r="K1311" s="46" t="str">
        <x:f>IF(COUNT(G1311,I1311)=0,"",AVERAGE(G1311,I1311))</x:f>
      </x:c>
      <x:c r="L1311" s="46" t="str">
        <x:f>IF(COUNT(H1311,J1311)=0,"",AVERAGE(H1311,J1311))</x:f>
      </x:c>
      <x:c r="M1311" s="46" t="str">
        <x:f>IF(OR(K1311="",L1311=""),"",L1311-K1311)</x:f>
      </x:c>
      <x:c r="N1311" s="46" t="str">
        <x:f>IF(OR(K1311="",A1310&lt;&gt;A1311,K1310=""),"",K1311-K1310)</x:f>
      </x:c>
      <x:c r="O1311" s="42" t="str">
        <x:v>Sem informação</x:v>
      </x:c>
      <x:c r="P1311" s="42"/>
      <x:c r="Q1311" s="42" t="str"/>
      <x:c r="R1311" s="42" t="str"/>
      <x:c r="S1311" s="42" t="str"/>
      <x:c r="T1311" s="42" t="str"/>
    </x:row>
    <x:row r="1312">
      <x:c r="A1312" s="42" t="str">
        <x:v>Dodô</x:v>
      </x:c>
      <x:c r="B1312" s="42" t="n">
        <x:v>2028</x:v>
      </x:c>
      <x:c r="C1312" s="42" t="str">
        <x:v>T3</x:v>
      </x:c>
      <x:c r="D1312" s="44" t="n">
        <x:v>47026</x:v>
      </x:c>
      <x:c r="E1312" s="42" t="str">
        <x:v>Lateral-direito</x:v>
      </x:c>
      <x:c r="F1312" s="42" t="str">
        <x:v>ACF Fiorentina</x:v>
      </x:c>
      <x:c r="G1312" s="46"/>
      <x:c r="H1312" s="46"/>
      <x:c r="I1312" s="46"/>
      <x:c r="J1312" s="46"/>
      <x:c r="K1312" s="46" t="str">
        <x:f>IF(COUNT(G1312,I1312)=0,"",AVERAGE(G1312,I1312))</x:f>
      </x:c>
      <x:c r="L1312" s="46" t="str">
        <x:f>IF(COUNT(H1312,J1312)=0,"",AVERAGE(H1312,J1312))</x:f>
      </x:c>
      <x:c r="M1312" s="46" t="str">
        <x:f>IF(OR(K1312="",L1312=""),"",L1312-K1312)</x:f>
      </x:c>
      <x:c r="N1312" s="46" t="str">
        <x:f>IF(OR(K1312="",A1311&lt;&gt;A1312,K1311=""),"",K1312-K1311)</x:f>
      </x:c>
      <x:c r="O1312" s="42" t="str">
        <x:v>Sem informação</x:v>
      </x:c>
      <x:c r="P1312" s="42"/>
      <x:c r="Q1312" s="42" t="str"/>
      <x:c r="R1312" s="42" t="str"/>
      <x:c r="S1312" s="42" t="str"/>
      <x:c r="T1312" s="42" t="str"/>
    </x:row>
    <x:row r="1313">
      <x:c r="A1313" s="42" t="str">
        <x:v>Dodô</x:v>
      </x:c>
      <x:c r="B1313" s="42" t="n">
        <x:v>2028</x:v>
      </x:c>
      <x:c r="C1313" s="42" t="str">
        <x:v>T4</x:v>
      </x:c>
      <x:c r="D1313" s="44" t="n">
        <x:v>47118</x:v>
      </x:c>
      <x:c r="E1313" s="42" t="str">
        <x:v>Lateral-direito</x:v>
      </x:c>
      <x:c r="F1313" s="42" t="str">
        <x:v>ACF Fiorentina</x:v>
      </x:c>
      <x:c r="G1313" s="46"/>
      <x:c r="H1313" s="46"/>
      <x:c r="I1313" s="46"/>
      <x:c r="J1313" s="46"/>
      <x:c r="K1313" s="46" t="str">
        <x:f>IF(COUNT(G1313,I1313)=0,"",AVERAGE(G1313,I1313))</x:f>
      </x:c>
      <x:c r="L1313" s="46" t="str">
        <x:f>IF(COUNT(H1313,J1313)=0,"",AVERAGE(H1313,J1313))</x:f>
      </x:c>
      <x:c r="M1313" s="46" t="str">
        <x:f>IF(OR(K1313="",L1313=""),"",L1313-K1313)</x:f>
      </x:c>
      <x:c r="N1313" s="46" t="str">
        <x:f>IF(OR(K1313="",A1312&lt;&gt;A1313,K1312=""),"",K1313-K1312)</x:f>
      </x:c>
      <x:c r="O1313" s="42" t="str">
        <x:v>Sem informação</x:v>
      </x:c>
      <x:c r="P1313" s="42"/>
      <x:c r="Q1313" s="42" t="str"/>
      <x:c r="R1313" s="42" t="str"/>
      <x:c r="S1313" s="42" t="str"/>
      <x:c r="T1313" s="42" t="str"/>
    </x:row>
    <x:row r="1314">
      <x:c r="A1314" s="42" t="str">
        <x:v>Dodô</x:v>
      </x:c>
      <x:c r="B1314" s="42" t="n">
        <x:v>2029</x:v>
      </x:c>
      <x:c r="C1314" s="42" t="str">
        <x:v>T1</x:v>
      </x:c>
      <x:c r="D1314" s="44" t="n">
        <x:v>47208</x:v>
      </x:c>
      <x:c r="E1314" s="42" t="str">
        <x:v>Lateral-direito</x:v>
      </x:c>
      <x:c r="F1314" s="42" t="str">
        <x:v>ACF Fiorentina</x:v>
      </x:c>
      <x:c r="G1314" s="46"/>
      <x:c r="H1314" s="46"/>
      <x:c r="I1314" s="46"/>
      <x:c r="J1314" s="46"/>
      <x:c r="K1314" s="46" t="str">
        <x:f>IF(COUNT(G1314,I1314)=0,"",AVERAGE(G1314,I1314))</x:f>
      </x:c>
      <x:c r="L1314" s="46" t="str">
        <x:f>IF(COUNT(H1314,J1314)=0,"",AVERAGE(H1314,J1314))</x:f>
      </x:c>
      <x:c r="M1314" s="46" t="str">
        <x:f>IF(OR(K1314="",L1314=""),"",L1314-K1314)</x:f>
      </x:c>
      <x:c r="N1314" s="46" t="str">
        <x:f>IF(OR(K1314="",A1313&lt;&gt;A1314,K1313=""),"",K1314-K1313)</x:f>
      </x:c>
      <x:c r="O1314" s="42" t="str">
        <x:v>Sem informação</x:v>
      </x:c>
      <x:c r="P1314" s="42"/>
      <x:c r="Q1314" s="42" t="str"/>
      <x:c r="R1314" s="42" t="str"/>
      <x:c r="S1314" s="42" t="str"/>
      <x:c r="T1314" s="42" t="str"/>
    </x:row>
    <x:row r="1315">
      <x:c r="A1315" s="42" t="str">
        <x:v>Dodô</x:v>
      </x:c>
      <x:c r="B1315" s="42" t="n">
        <x:v>2029</x:v>
      </x:c>
      <x:c r="C1315" s="42" t="str">
        <x:v>T2</x:v>
      </x:c>
      <x:c r="D1315" s="44" t="n">
        <x:v>47299</x:v>
      </x:c>
      <x:c r="E1315" s="42" t="str">
        <x:v>Lateral-direito</x:v>
      </x:c>
      <x:c r="F1315" s="42" t="str">
        <x:v>ACF Fiorentina</x:v>
      </x:c>
      <x:c r="G1315" s="46"/>
      <x:c r="H1315" s="46"/>
      <x:c r="I1315" s="46"/>
      <x:c r="J1315" s="46"/>
      <x:c r="K1315" s="46" t="str">
        <x:f>IF(COUNT(G1315,I1315)=0,"",AVERAGE(G1315,I1315))</x:f>
      </x:c>
      <x:c r="L1315" s="46" t="str">
        <x:f>IF(COUNT(H1315,J1315)=0,"",AVERAGE(H1315,J1315))</x:f>
      </x:c>
      <x:c r="M1315" s="46" t="str">
        <x:f>IF(OR(K1315="",L1315=""),"",L1315-K1315)</x:f>
      </x:c>
      <x:c r="N1315" s="46" t="str">
        <x:f>IF(OR(K1315="",A1314&lt;&gt;A1315,K1314=""),"",K1315-K1314)</x:f>
      </x:c>
      <x:c r="O1315" s="42" t="str">
        <x:v>Sem informação</x:v>
      </x:c>
      <x:c r="P1315" s="42"/>
      <x:c r="Q1315" s="42" t="str"/>
      <x:c r="R1315" s="42" t="str"/>
      <x:c r="S1315" s="42" t="str"/>
      <x:c r="T1315" s="42" t="str"/>
    </x:row>
    <x:row r="1316">
      <x:c r="A1316" s="42" t="str">
        <x:v>Dodô</x:v>
      </x:c>
      <x:c r="B1316" s="42" t="n">
        <x:v>2029</x:v>
      </x:c>
      <x:c r="C1316" s="42" t="str">
        <x:v>T3</x:v>
      </x:c>
      <x:c r="D1316" s="44" t="n">
        <x:v>47391</x:v>
      </x:c>
      <x:c r="E1316" s="42" t="str">
        <x:v>Lateral-direito</x:v>
      </x:c>
      <x:c r="F1316" s="42" t="str">
        <x:v>ACF Fiorentina</x:v>
      </x:c>
      <x:c r="G1316" s="46"/>
      <x:c r="H1316" s="46"/>
      <x:c r="I1316" s="46"/>
      <x:c r="J1316" s="46"/>
      <x:c r="K1316" s="46" t="str">
        <x:f>IF(COUNT(G1316,I1316)=0,"",AVERAGE(G1316,I1316))</x:f>
      </x:c>
      <x:c r="L1316" s="46" t="str">
        <x:f>IF(COUNT(H1316,J1316)=0,"",AVERAGE(H1316,J1316))</x:f>
      </x:c>
      <x:c r="M1316" s="46" t="str">
        <x:f>IF(OR(K1316="",L1316=""),"",L1316-K1316)</x:f>
      </x:c>
      <x:c r="N1316" s="46" t="str">
        <x:f>IF(OR(K1316="",A1315&lt;&gt;A1316,K1315=""),"",K1316-K1315)</x:f>
      </x:c>
      <x:c r="O1316" s="42" t="str">
        <x:v>Sem informação</x:v>
      </x:c>
      <x:c r="P1316" s="42"/>
      <x:c r="Q1316" s="42" t="str"/>
      <x:c r="R1316" s="42" t="str"/>
      <x:c r="S1316" s="42" t="str"/>
      <x:c r="T1316" s="42" t="str"/>
    </x:row>
    <x:row r="1317">
      <x:c r="A1317" s="42" t="str">
        <x:v>Dodô</x:v>
      </x:c>
      <x:c r="B1317" s="42" t="n">
        <x:v>2029</x:v>
      </x:c>
      <x:c r="C1317" s="42" t="str">
        <x:v>T4</x:v>
      </x:c>
      <x:c r="D1317" s="44" t="n">
        <x:v>47483</x:v>
      </x:c>
      <x:c r="E1317" s="42" t="str">
        <x:v>Lateral-direito</x:v>
      </x:c>
      <x:c r="F1317" s="42" t="str">
        <x:v>ACF Fiorentina</x:v>
      </x:c>
      <x:c r="G1317" s="46"/>
      <x:c r="H1317" s="46"/>
      <x:c r="I1317" s="46"/>
      <x:c r="J1317" s="46"/>
      <x:c r="K1317" s="46" t="str">
        <x:f>IF(COUNT(G1317,I1317)=0,"",AVERAGE(G1317,I1317))</x:f>
      </x:c>
      <x:c r="L1317" s="46" t="str">
        <x:f>IF(COUNT(H1317,J1317)=0,"",AVERAGE(H1317,J1317))</x:f>
      </x:c>
      <x:c r="M1317" s="46" t="str">
        <x:f>IF(OR(K1317="",L1317=""),"",L1317-K1317)</x:f>
      </x:c>
      <x:c r="N1317" s="46" t="str">
        <x:f>IF(OR(K1317="",A1316&lt;&gt;A1317,K1316=""),"",K1317-K1316)</x:f>
      </x:c>
      <x:c r="O1317" s="42" t="str">
        <x:v>Sem informação</x:v>
      </x:c>
      <x:c r="P1317" s="42"/>
      <x:c r="Q1317" s="42" t="str"/>
      <x:c r="R1317" s="42" t="str"/>
      <x:c r="S1317" s="42" t="str"/>
      <x:c r="T1317" s="42" t="str"/>
    </x:row>
    <x:row r="1318">
      <x:c r="A1318" s="42" t="str">
        <x:v>Dodô</x:v>
      </x:c>
      <x:c r="B1318" s="42" t="n">
        <x:v>2030</x:v>
      </x:c>
      <x:c r="C1318" s="42" t="str">
        <x:v>T1</x:v>
      </x:c>
      <x:c r="D1318" s="44" t="n">
        <x:v>47573</x:v>
      </x:c>
      <x:c r="E1318" s="42" t="str">
        <x:v>Lateral-direito</x:v>
      </x:c>
      <x:c r="F1318" s="42" t="str">
        <x:v>ACF Fiorentina</x:v>
      </x:c>
      <x:c r="G1318" s="46"/>
      <x:c r="H1318" s="46"/>
      <x:c r="I1318" s="46"/>
      <x:c r="J1318" s="46"/>
      <x:c r="K1318" s="46" t="str">
        <x:f>IF(COUNT(G1318,I1318)=0,"",AVERAGE(G1318,I1318))</x:f>
      </x:c>
      <x:c r="L1318" s="46" t="str">
        <x:f>IF(COUNT(H1318,J1318)=0,"",AVERAGE(H1318,J1318))</x:f>
      </x:c>
      <x:c r="M1318" s="46" t="str">
        <x:f>IF(OR(K1318="",L1318=""),"",L1318-K1318)</x:f>
      </x:c>
      <x:c r="N1318" s="46" t="str">
        <x:f>IF(OR(K1318="",A1317&lt;&gt;A1318,K1317=""),"",K1318-K1317)</x:f>
      </x:c>
      <x:c r="O1318" s="42" t="str">
        <x:v>Sem informação</x:v>
      </x:c>
      <x:c r="P1318" s="42"/>
      <x:c r="Q1318" s="42" t="str"/>
      <x:c r="R1318" s="42" t="str"/>
      <x:c r="S1318" s="42" t="str"/>
      <x:c r="T1318" s="42" t="str"/>
    </x:row>
    <x:row r="1319">
      <x:c r="A1319" s="42" t="str">
        <x:v>Dodô</x:v>
      </x:c>
      <x:c r="B1319" s="42" t="n">
        <x:v>2030</x:v>
      </x:c>
      <x:c r="C1319" s="42" t="str">
        <x:v>T2</x:v>
      </x:c>
      <x:c r="D1319" s="44" t="n">
        <x:v>47664</x:v>
      </x:c>
      <x:c r="E1319" s="42" t="str">
        <x:v>Lateral-direito</x:v>
      </x:c>
      <x:c r="F1319" s="42" t="str">
        <x:v>ACF Fiorentina</x:v>
      </x:c>
      <x:c r="G1319" s="46"/>
      <x:c r="H1319" s="46"/>
      <x:c r="I1319" s="46"/>
      <x:c r="J1319" s="46"/>
      <x:c r="K1319" s="46" t="str">
        <x:f>IF(COUNT(G1319,I1319)=0,"",AVERAGE(G1319,I1319))</x:f>
      </x:c>
      <x:c r="L1319" s="46" t="str">
        <x:f>IF(COUNT(H1319,J1319)=0,"",AVERAGE(H1319,J1319))</x:f>
      </x:c>
      <x:c r="M1319" s="46" t="str">
        <x:f>IF(OR(K1319="",L1319=""),"",L1319-K1319)</x:f>
      </x:c>
      <x:c r="N1319" s="46" t="str">
        <x:f>IF(OR(K1319="",A1318&lt;&gt;A1319,K1318=""),"",K1319-K1318)</x:f>
      </x:c>
      <x:c r="O1319" s="42" t="str">
        <x:v>Sem informação</x:v>
      </x:c>
      <x:c r="P1319" s="42"/>
      <x:c r="Q1319" s="42" t="str"/>
      <x:c r="R1319" s="42" t="str"/>
      <x:c r="S1319" s="42" t="str"/>
      <x:c r="T1319" s="42" t="str"/>
    </x:row>
    <x:row r="1320">
      <x:c r="A1320" s="42" t="str">
        <x:v>Dodô</x:v>
      </x:c>
      <x:c r="B1320" s="42" t="n">
        <x:v>2030</x:v>
      </x:c>
      <x:c r="C1320" s="42" t="str">
        <x:v>T3</x:v>
      </x:c>
      <x:c r="D1320" s="44" t="n">
        <x:v>47756</x:v>
      </x:c>
      <x:c r="E1320" s="42" t="str">
        <x:v>Lateral-direito</x:v>
      </x:c>
      <x:c r="F1320" s="42" t="str">
        <x:v>ACF Fiorentina</x:v>
      </x:c>
      <x:c r="G1320" s="46"/>
      <x:c r="H1320" s="46"/>
      <x:c r="I1320" s="46"/>
      <x:c r="J1320" s="46"/>
      <x:c r="K1320" s="46" t="str">
        <x:f>IF(COUNT(G1320,I1320)=0,"",AVERAGE(G1320,I1320))</x:f>
      </x:c>
      <x:c r="L1320" s="46" t="str">
        <x:f>IF(COUNT(H1320,J1320)=0,"",AVERAGE(H1320,J1320))</x:f>
      </x:c>
      <x:c r="M1320" s="46" t="str">
        <x:f>IF(OR(K1320="",L1320=""),"",L1320-K1320)</x:f>
      </x:c>
      <x:c r="N1320" s="46" t="str">
        <x:f>IF(OR(K1320="",A1319&lt;&gt;A1320,K1319=""),"",K1320-K1319)</x:f>
      </x:c>
      <x:c r="O1320" s="42" t="str">
        <x:v>Sem informação</x:v>
      </x:c>
      <x:c r="P1320" s="42"/>
      <x:c r="Q1320" s="42" t="str"/>
      <x:c r="R1320" s="42" t="str"/>
      <x:c r="S1320" s="42" t="str"/>
      <x:c r="T1320" s="42" t="str"/>
    </x:row>
    <x:row r="1321">
      <x:c r="A1321" s="42" t="str">
        <x:v>Dodô</x:v>
      </x:c>
      <x:c r="B1321" s="42" t="n">
        <x:v>2030</x:v>
      </x:c>
      <x:c r="C1321" s="42" t="str">
        <x:v>T4</x:v>
      </x:c>
      <x:c r="D1321" s="44" t="n">
        <x:v>47848</x:v>
      </x:c>
      <x:c r="E1321" s="42" t="str">
        <x:v>Lateral-direito</x:v>
      </x:c>
      <x:c r="F1321" s="42" t="str">
        <x:v>ACF Fiorentina</x:v>
      </x:c>
      <x:c r="G1321" s="46"/>
      <x:c r="H1321" s="46"/>
      <x:c r="I1321" s="46"/>
      <x:c r="J1321" s="46"/>
      <x:c r="K1321" s="46" t="str">
        <x:f>IF(COUNT(G1321,I1321)=0,"",AVERAGE(G1321,I1321))</x:f>
      </x:c>
      <x:c r="L1321" s="46" t="str">
        <x:f>IF(COUNT(H1321,J1321)=0,"",AVERAGE(H1321,J1321))</x:f>
      </x:c>
      <x:c r="M1321" s="46" t="str">
        <x:f>IF(OR(K1321="",L1321=""),"",L1321-K1321)</x:f>
      </x:c>
      <x:c r="N1321" s="46" t="str">
        <x:f>IF(OR(K1321="",A1320&lt;&gt;A1321,K1320=""),"",K1321-K1320)</x:f>
      </x:c>
      <x:c r="O1321" s="42" t="str">
        <x:v>Sem informação</x:v>
      </x:c>
      <x:c r="P1321" s="42"/>
      <x:c r="Q1321" s="42" t="str"/>
      <x:c r="R1321" s="42" t="str"/>
      <x:c r="S1321" s="42" t="str"/>
      <x:c r="T1321" s="42" t="str"/>
    </x:row>
    <x:row r="1322">
      <x:c r="A1322" s="42" t="str">
        <x:v>Gerson</x:v>
      </x:c>
      <x:c r="B1322" s="42" t="n">
        <x:v>2026</x:v>
      </x:c>
      <x:c r="C1322" s="42" t="str">
        <x:v>T1</x:v>
      </x:c>
      <x:c r="D1322" s="44" t="n">
        <x:v>46112</x:v>
      </x:c>
      <x:c r="E1322" s="42" t="str">
        <x:v>Mezzala direito</x:v>
      </x:c>
      <x:c r="F1322" s="42" t="str">
        <x:v>Cruzeiro EC</x:v>
      </x:c>
      <x:c r="G1322" s="46"/>
      <x:c r="H1322" s="46"/>
      <x:c r="I1322" s="46"/>
      <x:c r="J1322" s="46"/>
      <x:c r="K1322" s="46" t="str">
        <x:f>IF(COUNT(G1322,I1322)=0,"",AVERAGE(G1322,I1322))</x:f>
      </x:c>
      <x:c r="L1322" s="46" t="str">
        <x:f>IF(COUNT(H1322,J1322)=0,"",AVERAGE(H1322,J1322))</x:f>
      </x:c>
      <x:c r="M1322" s="46" t="str">
        <x:f>IF(OR(K1322="",L1322=""),"",L1322-K1322)</x:f>
      </x:c>
      <x:c r="N1322" s="46" t="str">
        <x:f>IF(OR(K1322="",A1321&lt;&gt;A1322,K1321=""),"",K1322-K1321)</x:f>
      </x:c>
      <x:c r="O1322" s="42" t="str">
        <x:v>Sem informação</x:v>
      </x:c>
      <x:c r="P1322" s="42"/>
      <x:c r="Q1322" s="42" t="str"/>
      <x:c r="R1322" s="42" t="str"/>
      <x:c r="S1322" s="42" t="str"/>
      <x:c r="T1322" s="42" t="str"/>
    </x:row>
    <x:row r="1323">
      <x:c r="A1323" s="42" t="str">
        <x:v>Gerson</x:v>
      </x:c>
      <x:c r="B1323" s="42" t="n">
        <x:v>2026</x:v>
      </x:c>
      <x:c r="C1323" s="42" t="str">
        <x:v>T2</x:v>
      </x:c>
      <x:c r="D1323" s="44" t="n">
        <x:v>46203</x:v>
      </x:c>
      <x:c r="E1323" s="42" t="str">
        <x:v>Mezzala direito</x:v>
      </x:c>
      <x:c r="F1323" s="42" t="str">
        <x:v>Cruzeiro EC</x:v>
      </x:c>
      <x:c r="G1323" s="46"/>
      <x:c r="H1323" s="46"/>
      <x:c r="I1323" s="46"/>
      <x:c r="J1323" s="46"/>
      <x:c r="K1323" s="46" t="str">
        <x:f>IF(COUNT(G1323,I1323)=0,"",AVERAGE(G1323,I1323))</x:f>
      </x:c>
      <x:c r="L1323" s="46" t="str">
        <x:f>IF(COUNT(H1323,J1323)=0,"",AVERAGE(H1323,J1323))</x:f>
      </x:c>
      <x:c r="M1323" s="46" t="str">
        <x:f>IF(OR(K1323="",L1323=""),"",L1323-K1323)</x:f>
      </x:c>
      <x:c r="N1323" s="46" t="str">
        <x:f>IF(OR(K1323="",A1322&lt;&gt;A1323,K1322=""),"",K1323-K1322)</x:f>
      </x:c>
      <x:c r="O1323" s="42" t="str">
        <x:v>Sem informação</x:v>
      </x:c>
      <x:c r="P1323" s="42"/>
      <x:c r="Q1323" s="42" t="str"/>
      <x:c r="R1323" s="42" t="str"/>
      <x:c r="S1323" s="42" t="str"/>
      <x:c r="T1323" s="42" t="str"/>
    </x:row>
    <x:row r="1324">
      <x:c r="A1324" s="42" t="str">
        <x:v>Gerson</x:v>
      </x:c>
      <x:c r="B1324" s="42" t="n">
        <x:v>2026</x:v>
      </x:c>
      <x:c r="C1324" s="42" t="str">
        <x:v>T3</x:v>
      </x:c>
      <x:c r="D1324" s="44" t="n">
        <x:v>46295</x:v>
      </x:c>
      <x:c r="E1324" s="42" t="str">
        <x:v>Mezzala direito</x:v>
      </x:c>
      <x:c r="F1324" s="42" t="str">
        <x:v>Cruzeiro EC</x:v>
      </x:c>
      <x:c r="G1324" s="46"/>
      <x:c r="H1324" s="46"/>
      <x:c r="I1324" s="46"/>
      <x:c r="J1324" s="46"/>
      <x:c r="K1324" s="46" t="str">
        <x:f>IF(COUNT(G1324,I1324)=0,"",AVERAGE(G1324,I1324))</x:f>
      </x:c>
      <x:c r="L1324" s="46" t="str">
        <x:f>IF(COUNT(H1324,J1324)=0,"",AVERAGE(H1324,J1324))</x:f>
      </x:c>
      <x:c r="M1324" s="46" t="str">
        <x:f>IF(OR(K1324="",L1324=""),"",L1324-K1324)</x:f>
      </x:c>
      <x:c r="N1324" s="46" t="str">
        <x:f>IF(OR(K1324="",A1323&lt;&gt;A1324,K1323=""),"",K1324-K1323)</x:f>
      </x:c>
      <x:c r="O1324" s="42" t="str">
        <x:v>Sem informação</x:v>
      </x:c>
      <x:c r="P1324" s="42"/>
      <x:c r="Q1324" s="42" t="str"/>
      <x:c r="R1324" s="42" t="str"/>
      <x:c r="S1324" s="42" t="str"/>
      <x:c r="T1324" s="42" t="str"/>
    </x:row>
    <x:row r="1325">
      <x:c r="A1325" s="42" t="str">
        <x:v>Gerson</x:v>
      </x:c>
      <x:c r="B1325" s="42" t="n">
        <x:v>2026</x:v>
      </x:c>
      <x:c r="C1325" s="42" t="str">
        <x:v>T4</x:v>
      </x:c>
      <x:c r="D1325" s="44" t="n">
        <x:v>46387</x:v>
      </x:c>
      <x:c r="E1325" s="42" t="str">
        <x:v>Mezzala direito</x:v>
      </x:c>
      <x:c r="F1325" s="42" t="str">
        <x:v>Cruzeiro EC</x:v>
      </x:c>
      <x:c r="G1325" s="46"/>
      <x:c r="H1325" s="46"/>
      <x:c r="I1325" s="46"/>
      <x:c r="J1325" s="46"/>
      <x:c r="K1325" s="46" t="str">
        <x:f>IF(COUNT(G1325,I1325)=0,"",AVERAGE(G1325,I1325))</x:f>
      </x:c>
      <x:c r="L1325" s="46" t="str">
        <x:f>IF(COUNT(H1325,J1325)=0,"",AVERAGE(H1325,J1325))</x:f>
      </x:c>
      <x:c r="M1325" s="46" t="str">
        <x:f>IF(OR(K1325="",L1325=""),"",L1325-K1325)</x:f>
      </x:c>
      <x:c r="N1325" s="46" t="str">
        <x:f>IF(OR(K1325="",A1324&lt;&gt;A1325,K1324=""),"",K1325-K1324)</x:f>
      </x:c>
      <x:c r="O1325" s="42" t="str">
        <x:v>Sem informação</x:v>
      </x:c>
      <x:c r="P1325" s="42"/>
      <x:c r="Q1325" s="42" t="str"/>
      <x:c r="R1325" s="42" t="str"/>
      <x:c r="S1325" s="42" t="str"/>
      <x:c r="T1325" s="42" t="str"/>
    </x:row>
    <x:row r="1326">
      <x:c r="A1326" s="42" t="str">
        <x:v>Gerson</x:v>
      </x:c>
      <x:c r="B1326" s="42" t="n">
        <x:v>2027</x:v>
      </x:c>
      <x:c r="C1326" s="42" t="str">
        <x:v>T1</x:v>
      </x:c>
      <x:c r="D1326" s="44" t="n">
        <x:v>46477</x:v>
      </x:c>
      <x:c r="E1326" s="42" t="str">
        <x:v>Mezzala direito</x:v>
      </x:c>
      <x:c r="F1326" s="42" t="str">
        <x:v>Cruzeiro EC</x:v>
      </x:c>
      <x:c r="G1326" s="46"/>
      <x:c r="H1326" s="46"/>
      <x:c r="I1326" s="46"/>
      <x:c r="J1326" s="46"/>
      <x:c r="K1326" s="46" t="str">
        <x:f>IF(COUNT(G1326,I1326)=0,"",AVERAGE(G1326,I1326))</x:f>
      </x:c>
      <x:c r="L1326" s="46" t="str">
        <x:f>IF(COUNT(H1326,J1326)=0,"",AVERAGE(H1326,J1326))</x:f>
      </x:c>
      <x:c r="M1326" s="46" t="str">
        <x:f>IF(OR(K1326="",L1326=""),"",L1326-K1326)</x:f>
      </x:c>
      <x:c r="N1326" s="46" t="str">
        <x:f>IF(OR(K1326="",A1325&lt;&gt;A1326,K1325=""),"",K1326-K1325)</x:f>
      </x:c>
      <x:c r="O1326" s="42" t="str">
        <x:v>Sem informação</x:v>
      </x:c>
      <x:c r="P1326" s="42"/>
      <x:c r="Q1326" s="42" t="str"/>
      <x:c r="R1326" s="42" t="str"/>
      <x:c r="S1326" s="42" t="str"/>
      <x:c r="T1326" s="42" t="str"/>
    </x:row>
    <x:row r="1327">
      <x:c r="A1327" s="42" t="str">
        <x:v>Gerson</x:v>
      </x:c>
      <x:c r="B1327" s="42" t="n">
        <x:v>2027</x:v>
      </x:c>
      <x:c r="C1327" s="42" t="str">
        <x:v>T2</x:v>
      </x:c>
      <x:c r="D1327" s="44" t="n">
        <x:v>46568</x:v>
      </x:c>
      <x:c r="E1327" s="42" t="str">
        <x:v>Mezzala direito</x:v>
      </x:c>
      <x:c r="F1327" s="42" t="str">
        <x:v>Cruzeiro EC</x:v>
      </x:c>
      <x:c r="G1327" s="46"/>
      <x:c r="H1327" s="46"/>
      <x:c r="I1327" s="46"/>
      <x:c r="J1327" s="46"/>
      <x:c r="K1327" s="46" t="str">
        <x:f>IF(COUNT(G1327,I1327)=0,"",AVERAGE(G1327,I1327))</x:f>
      </x:c>
      <x:c r="L1327" s="46" t="str">
        <x:f>IF(COUNT(H1327,J1327)=0,"",AVERAGE(H1327,J1327))</x:f>
      </x:c>
      <x:c r="M1327" s="46" t="str">
        <x:f>IF(OR(K1327="",L1327=""),"",L1327-K1327)</x:f>
      </x:c>
      <x:c r="N1327" s="46" t="str">
        <x:f>IF(OR(K1327="",A1326&lt;&gt;A1327,K1326=""),"",K1327-K1326)</x:f>
      </x:c>
      <x:c r="O1327" s="42" t="str">
        <x:v>Sem informação</x:v>
      </x:c>
      <x:c r="P1327" s="42"/>
      <x:c r="Q1327" s="42" t="str"/>
      <x:c r="R1327" s="42" t="str"/>
      <x:c r="S1327" s="42" t="str"/>
      <x:c r="T1327" s="42" t="str"/>
    </x:row>
    <x:row r="1328">
      <x:c r="A1328" s="42" t="str">
        <x:v>Gerson</x:v>
      </x:c>
      <x:c r="B1328" s="42" t="n">
        <x:v>2027</x:v>
      </x:c>
      <x:c r="C1328" s="42" t="str">
        <x:v>T3</x:v>
      </x:c>
      <x:c r="D1328" s="44" t="n">
        <x:v>46660</x:v>
      </x:c>
      <x:c r="E1328" s="42" t="str">
        <x:v>Mezzala direito</x:v>
      </x:c>
      <x:c r="F1328" s="42" t="str">
        <x:v>Cruzeiro EC</x:v>
      </x:c>
      <x:c r="G1328" s="46"/>
      <x:c r="H1328" s="46"/>
      <x:c r="I1328" s="46"/>
      <x:c r="J1328" s="46"/>
      <x:c r="K1328" s="46" t="str">
        <x:f>IF(COUNT(G1328,I1328)=0,"",AVERAGE(G1328,I1328))</x:f>
      </x:c>
      <x:c r="L1328" s="46" t="str">
        <x:f>IF(COUNT(H1328,J1328)=0,"",AVERAGE(H1328,J1328))</x:f>
      </x:c>
      <x:c r="M1328" s="46" t="str">
        <x:f>IF(OR(K1328="",L1328=""),"",L1328-K1328)</x:f>
      </x:c>
      <x:c r="N1328" s="46" t="str">
        <x:f>IF(OR(K1328="",A1327&lt;&gt;A1328,K1327=""),"",K1328-K1327)</x:f>
      </x:c>
      <x:c r="O1328" s="42" t="str">
        <x:v>Sem informação</x:v>
      </x:c>
      <x:c r="P1328" s="42"/>
      <x:c r="Q1328" s="42" t="str"/>
      <x:c r="R1328" s="42" t="str"/>
      <x:c r="S1328" s="42" t="str"/>
      <x:c r="T1328" s="42" t="str"/>
    </x:row>
    <x:row r="1329">
      <x:c r="A1329" s="42" t="str">
        <x:v>Gerson</x:v>
      </x:c>
      <x:c r="B1329" s="42" t="n">
        <x:v>2027</x:v>
      </x:c>
      <x:c r="C1329" s="42" t="str">
        <x:v>T4</x:v>
      </x:c>
      <x:c r="D1329" s="44" t="n">
        <x:v>46752</x:v>
      </x:c>
      <x:c r="E1329" s="42" t="str">
        <x:v>Mezzala direito</x:v>
      </x:c>
      <x:c r="F1329" s="42" t="str">
        <x:v>Cruzeiro EC</x:v>
      </x:c>
      <x:c r="G1329" s="46"/>
      <x:c r="H1329" s="46"/>
      <x:c r="I1329" s="46"/>
      <x:c r="J1329" s="46"/>
      <x:c r="K1329" s="46" t="str">
        <x:f>IF(COUNT(G1329,I1329)=0,"",AVERAGE(G1329,I1329))</x:f>
      </x:c>
      <x:c r="L1329" s="46" t="str">
        <x:f>IF(COUNT(H1329,J1329)=0,"",AVERAGE(H1329,J1329))</x:f>
      </x:c>
      <x:c r="M1329" s="46" t="str">
        <x:f>IF(OR(K1329="",L1329=""),"",L1329-K1329)</x:f>
      </x:c>
      <x:c r="N1329" s="46" t="str">
        <x:f>IF(OR(K1329="",A1328&lt;&gt;A1329,K1328=""),"",K1329-K1328)</x:f>
      </x:c>
      <x:c r="O1329" s="42" t="str">
        <x:v>Sem informação</x:v>
      </x:c>
      <x:c r="P1329" s="42"/>
      <x:c r="Q1329" s="42" t="str"/>
      <x:c r="R1329" s="42" t="str"/>
      <x:c r="S1329" s="42" t="str"/>
      <x:c r="T1329" s="42" t="str"/>
    </x:row>
    <x:row r="1330">
      <x:c r="A1330" s="42" t="str">
        <x:v>Gerson</x:v>
      </x:c>
      <x:c r="B1330" s="42" t="n">
        <x:v>2028</x:v>
      </x:c>
      <x:c r="C1330" s="42" t="str">
        <x:v>T1</x:v>
      </x:c>
      <x:c r="D1330" s="44" t="n">
        <x:v>46843</x:v>
      </x:c>
      <x:c r="E1330" s="42" t="str">
        <x:v>Mezzala direito</x:v>
      </x:c>
      <x:c r="F1330" s="42" t="str">
        <x:v>Cruzeiro EC</x:v>
      </x:c>
      <x:c r="G1330" s="46"/>
      <x:c r="H1330" s="46"/>
      <x:c r="I1330" s="46"/>
      <x:c r="J1330" s="46"/>
      <x:c r="K1330" s="46" t="str">
        <x:f>IF(COUNT(G1330,I1330)=0,"",AVERAGE(G1330,I1330))</x:f>
      </x:c>
      <x:c r="L1330" s="46" t="str">
        <x:f>IF(COUNT(H1330,J1330)=0,"",AVERAGE(H1330,J1330))</x:f>
      </x:c>
      <x:c r="M1330" s="46" t="str">
        <x:f>IF(OR(K1330="",L1330=""),"",L1330-K1330)</x:f>
      </x:c>
      <x:c r="N1330" s="46" t="str">
        <x:f>IF(OR(K1330="",A1329&lt;&gt;A1330,K1329=""),"",K1330-K1329)</x:f>
      </x:c>
      <x:c r="O1330" s="42" t="str">
        <x:v>Sem informação</x:v>
      </x:c>
      <x:c r="P1330" s="42"/>
      <x:c r="Q1330" s="42" t="str"/>
      <x:c r="R1330" s="42" t="str"/>
      <x:c r="S1330" s="42" t="str"/>
      <x:c r="T1330" s="42" t="str"/>
    </x:row>
    <x:row r="1331">
      <x:c r="A1331" s="42" t="str">
        <x:v>Gerson</x:v>
      </x:c>
      <x:c r="B1331" s="42" t="n">
        <x:v>2028</x:v>
      </x:c>
      <x:c r="C1331" s="42" t="str">
        <x:v>T2</x:v>
      </x:c>
      <x:c r="D1331" s="44" t="n">
        <x:v>46934</x:v>
      </x:c>
      <x:c r="E1331" s="42" t="str">
        <x:v>Mezzala direito</x:v>
      </x:c>
      <x:c r="F1331" s="42" t="str">
        <x:v>Cruzeiro EC</x:v>
      </x:c>
      <x:c r="G1331" s="46"/>
      <x:c r="H1331" s="46"/>
      <x:c r="I1331" s="46"/>
      <x:c r="J1331" s="46"/>
      <x:c r="K1331" s="46" t="str">
        <x:f>IF(COUNT(G1331,I1331)=0,"",AVERAGE(G1331,I1331))</x:f>
      </x:c>
      <x:c r="L1331" s="46" t="str">
        <x:f>IF(COUNT(H1331,J1331)=0,"",AVERAGE(H1331,J1331))</x:f>
      </x:c>
      <x:c r="M1331" s="46" t="str">
        <x:f>IF(OR(K1331="",L1331=""),"",L1331-K1331)</x:f>
      </x:c>
      <x:c r="N1331" s="46" t="str">
        <x:f>IF(OR(K1331="",A1330&lt;&gt;A1331,K1330=""),"",K1331-K1330)</x:f>
      </x:c>
      <x:c r="O1331" s="42" t="str">
        <x:v>Sem informação</x:v>
      </x:c>
      <x:c r="P1331" s="42"/>
      <x:c r="Q1331" s="42" t="str"/>
      <x:c r="R1331" s="42" t="str"/>
      <x:c r="S1331" s="42" t="str"/>
      <x:c r="T1331" s="42" t="str"/>
    </x:row>
    <x:row r="1332">
      <x:c r="A1332" s="42" t="str">
        <x:v>Gerson</x:v>
      </x:c>
      <x:c r="B1332" s="42" t="n">
        <x:v>2028</x:v>
      </x:c>
      <x:c r="C1332" s="42" t="str">
        <x:v>T3</x:v>
      </x:c>
      <x:c r="D1332" s="44" t="n">
        <x:v>47026</x:v>
      </x:c>
      <x:c r="E1332" s="42" t="str">
        <x:v>Mezzala direito</x:v>
      </x:c>
      <x:c r="F1332" s="42" t="str">
        <x:v>Cruzeiro EC</x:v>
      </x:c>
      <x:c r="G1332" s="46"/>
      <x:c r="H1332" s="46"/>
      <x:c r="I1332" s="46"/>
      <x:c r="J1332" s="46"/>
      <x:c r="K1332" s="46" t="str">
        <x:f>IF(COUNT(G1332,I1332)=0,"",AVERAGE(G1332,I1332))</x:f>
      </x:c>
      <x:c r="L1332" s="46" t="str">
        <x:f>IF(COUNT(H1332,J1332)=0,"",AVERAGE(H1332,J1332))</x:f>
      </x:c>
      <x:c r="M1332" s="46" t="str">
        <x:f>IF(OR(K1332="",L1332=""),"",L1332-K1332)</x:f>
      </x:c>
      <x:c r="N1332" s="46" t="str">
        <x:f>IF(OR(K1332="",A1331&lt;&gt;A1332,K1331=""),"",K1332-K1331)</x:f>
      </x:c>
      <x:c r="O1332" s="42" t="str">
        <x:v>Sem informação</x:v>
      </x:c>
      <x:c r="P1332" s="42"/>
      <x:c r="Q1332" s="42" t="str"/>
      <x:c r="R1332" s="42" t="str"/>
      <x:c r="S1332" s="42" t="str"/>
      <x:c r="T1332" s="42" t="str"/>
    </x:row>
    <x:row r="1333">
      <x:c r="A1333" s="42" t="str">
        <x:v>Gerson</x:v>
      </x:c>
      <x:c r="B1333" s="42" t="n">
        <x:v>2028</x:v>
      </x:c>
      <x:c r="C1333" s="42" t="str">
        <x:v>T4</x:v>
      </x:c>
      <x:c r="D1333" s="44" t="n">
        <x:v>47118</x:v>
      </x:c>
      <x:c r="E1333" s="42" t="str">
        <x:v>Mezzala direito</x:v>
      </x:c>
      <x:c r="F1333" s="42" t="str">
        <x:v>Cruzeiro EC</x:v>
      </x:c>
      <x:c r="G1333" s="46"/>
      <x:c r="H1333" s="46"/>
      <x:c r="I1333" s="46"/>
      <x:c r="J1333" s="46"/>
      <x:c r="K1333" s="46" t="str">
        <x:f>IF(COUNT(G1333,I1333)=0,"",AVERAGE(G1333,I1333))</x:f>
      </x:c>
      <x:c r="L1333" s="46" t="str">
        <x:f>IF(COUNT(H1333,J1333)=0,"",AVERAGE(H1333,J1333))</x:f>
      </x:c>
      <x:c r="M1333" s="46" t="str">
        <x:f>IF(OR(K1333="",L1333=""),"",L1333-K1333)</x:f>
      </x:c>
      <x:c r="N1333" s="46" t="str">
        <x:f>IF(OR(K1333="",A1332&lt;&gt;A1333,K1332=""),"",K1333-K1332)</x:f>
      </x:c>
      <x:c r="O1333" s="42" t="str">
        <x:v>Sem informação</x:v>
      </x:c>
      <x:c r="P1333" s="42"/>
      <x:c r="Q1333" s="42" t="str"/>
      <x:c r="R1333" s="42" t="str"/>
      <x:c r="S1333" s="42" t="str"/>
      <x:c r="T1333" s="42" t="str"/>
    </x:row>
    <x:row r="1334">
      <x:c r="A1334" s="42" t="str">
        <x:v>Gerson</x:v>
      </x:c>
      <x:c r="B1334" s="42" t="n">
        <x:v>2029</x:v>
      </x:c>
      <x:c r="C1334" s="42" t="str">
        <x:v>T1</x:v>
      </x:c>
      <x:c r="D1334" s="44" t="n">
        <x:v>47208</x:v>
      </x:c>
      <x:c r="E1334" s="42" t="str">
        <x:v>Mezzala direito</x:v>
      </x:c>
      <x:c r="F1334" s="42" t="str">
        <x:v>Cruzeiro EC</x:v>
      </x:c>
      <x:c r="G1334" s="46"/>
      <x:c r="H1334" s="46"/>
      <x:c r="I1334" s="46"/>
      <x:c r="J1334" s="46"/>
      <x:c r="K1334" s="46" t="str">
        <x:f>IF(COUNT(G1334,I1334)=0,"",AVERAGE(G1334,I1334))</x:f>
      </x:c>
      <x:c r="L1334" s="46" t="str">
        <x:f>IF(COUNT(H1334,J1334)=0,"",AVERAGE(H1334,J1334))</x:f>
      </x:c>
      <x:c r="M1334" s="46" t="str">
        <x:f>IF(OR(K1334="",L1334=""),"",L1334-K1334)</x:f>
      </x:c>
      <x:c r="N1334" s="46" t="str">
        <x:f>IF(OR(K1334="",A1333&lt;&gt;A1334,K1333=""),"",K1334-K1333)</x:f>
      </x:c>
      <x:c r="O1334" s="42" t="str">
        <x:v>Sem informação</x:v>
      </x:c>
      <x:c r="P1334" s="42"/>
      <x:c r="Q1334" s="42" t="str"/>
      <x:c r="R1334" s="42" t="str"/>
      <x:c r="S1334" s="42" t="str"/>
      <x:c r="T1334" s="42" t="str"/>
    </x:row>
    <x:row r="1335">
      <x:c r="A1335" s="42" t="str">
        <x:v>Gerson</x:v>
      </x:c>
      <x:c r="B1335" s="42" t="n">
        <x:v>2029</x:v>
      </x:c>
      <x:c r="C1335" s="42" t="str">
        <x:v>T2</x:v>
      </x:c>
      <x:c r="D1335" s="44" t="n">
        <x:v>47299</x:v>
      </x:c>
      <x:c r="E1335" s="42" t="str">
        <x:v>Mezzala direito</x:v>
      </x:c>
      <x:c r="F1335" s="42" t="str">
        <x:v>Cruzeiro EC</x:v>
      </x:c>
      <x:c r="G1335" s="46"/>
      <x:c r="H1335" s="46"/>
      <x:c r="I1335" s="46"/>
      <x:c r="J1335" s="46"/>
      <x:c r="K1335" s="46" t="str">
        <x:f>IF(COUNT(G1335,I1335)=0,"",AVERAGE(G1335,I1335))</x:f>
      </x:c>
      <x:c r="L1335" s="46" t="str">
        <x:f>IF(COUNT(H1335,J1335)=0,"",AVERAGE(H1335,J1335))</x:f>
      </x:c>
      <x:c r="M1335" s="46" t="str">
        <x:f>IF(OR(K1335="",L1335=""),"",L1335-K1335)</x:f>
      </x:c>
      <x:c r="N1335" s="46" t="str">
        <x:f>IF(OR(K1335="",A1334&lt;&gt;A1335,K1334=""),"",K1335-K1334)</x:f>
      </x:c>
      <x:c r="O1335" s="42" t="str">
        <x:v>Sem informação</x:v>
      </x:c>
      <x:c r="P1335" s="42"/>
      <x:c r="Q1335" s="42" t="str"/>
      <x:c r="R1335" s="42" t="str"/>
      <x:c r="S1335" s="42" t="str"/>
      <x:c r="T1335" s="42" t="str"/>
    </x:row>
    <x:row r="1336">
      <x:c r="A1336" s="42" t="str">
        <x:v>Gerson</x:v>
      </x:c>
      <x:c r="B1336" s="42" t="n">
        <x:v>2029</x:v>
      </x:c>
      <x:c r="C1336" s="42" t="str">
        <x:v>T3</x:v>
      </x:c>
      <x:c r="D1336" s="44" t="n">
        <x:v>47391</x:v>
      </x:c>
      <x:c r="E1336" s="42" t="str">
        <x:v>Mezzala direito</x:v>
      </x:c>
      <x:c r="F1336" s="42" t="str">
        <x:v>Cruzeiro EC</x:v>
      </x:c>
      <x:c r="G1336" s="46"/>
      <x:c r="H1336" s="46"/>
      <x:c r="I1336" s="46"/>
      <x:c r="J1336" s="46"/>
      <x:c r="K1336" s="46" t="str">
        <x:f>IF(COUNT(G1336,I1336)=0,"",AVERAGE(G1336,I1336))</x:f>
      </x:c>
      <x:c r="L1336" s="46" t="str">
        <x:f>IF(COUNT(H1336,J1336)=0,"",AVERAGE(H1336,J1336))</x:f>
      </x:c>
      <x:c r="M1336" s="46" t="str">
        <x:f>IF(OR(K1336="",L1336=""),"",L1336-K1336)</x:f>
      </x:c>
      <x:c r="N1336" s="46" t="str">
        <x:f>IF(OR(K1336="",A1335&lt;&gt;A1336,K1335=""),"",K1336-K1335)</x:f>
      </x:c>
      <x:c r="O1336" s="42" t="str">
        <x:v>Sem informação</x:v>
      </x:c>
      <x:c r="P1336" s="42"/>
      <x:c r="Q1336" s="42" t="str"/>
      <x:c r="R1336" s="42" t="str"/>
      <x:c r="S1336" s="42" t="str"/>
      <x:c r="T1336" s="42" t="str"/>
    </x:row>
    <x:row r="1337">
      <x:c r="A1337" s="42" t="str">
        <x:v>Gerson</x:v>
      </x:c>
      <x:c r="B1337" s="42" t="n">
        <x:v>2029</x:v>
      </x:c>
      <x:c r="C1337" s="42" t="str">
        <x:v>T4</x:v>
      </x:c>
      <x:c r="D1337" s="44" t="n">
        <x:v>47483</x:v>
      </x:c>
      <x:c r="E1337" s="42" t="str">
        <x:v>Mezzala direito</x:v>
      </x:c>
      <x:c r="F1337" s="42" t="str">
        <x:v>Cruzeiro EC</x:v>
      </x:c>
      <x:c r="G1337" s="46"/>
      <x:c r="H1337" s="46"/>
      <x:c r="I1337" s="46"/>
      <x:c r="J1337" s="46"/>
      <x:c r="K1337" s="46" t="str">
        <x:f>IF(COUNT(G1337,I1337)=0,"",AVERAGE(G1337,I1337))</x:f>
      </x:c>
      <x:c r="L1337" s="46" t="str">
        <x:f>IF(COUNT(H1337,J1337)=0,"",AVERAGE(H1337,J1337))</x:f>
      </x:c>
      <x:c r="M1337" s="46" t="str">
        <x:f>IF(OR(K1337="",L1337=""),"",L1337-K1337)</x:f>
      </x:c>
      <x:c r="N1337" s="46" t="str">
        <x:f>IF(OR(K1337="",A1336&lt;&gt;A1337,K1336=""),"",K1337-K1336)</x:f>
      </x:c>
      <x:c r="O1337" s="42" t="str">
        <x:v>Sem informação</x:v>
      </x:c>
      <x:c r="P1337" s="42"/>
      <x:c r="Q1337" s="42" t="str"/>
      <x:c r="R1337" s="42" t="str"/>
      <x:c r="S1337" s="42" t="str"/>
      <x:c r="T1337" s="42" t="str"/>
    </x:row>
    <x:row r="1338">
      <x:c r="A1338" s="42" t="str">
        <x:v>Gerson</x:v>
      </x:c>
      <x:c r="B1338" s="42" t="n">
        <x:v>2030</x:v>
      </x:c>
      <x:c r="C1338" s="42" t="str">
        <x:v>T1</x:v>
      </x:c>
      <x:c r="D1338" s="44" t="n">
        <x:v>47573</x:v>
      </x:c>
      <x:c r="E1338" s="42" t="str">
        <x:v>Mezzala direito</x:v>
      </x:c>
      <x:c r="F1338" s="42" t="str">
        <x:v>Cruzeiro EC</x:v>
      </x:c>
      <x:c r="G1338" s="46"/>
      <x:c r="H1338" s="46"/>
      <x:c r="I1338" s="46"/>
      <x:c r="J1338" s="46"/>
      <x:c r="K1338" s="46" t="str">
        <x:f>IF(COUNT(G1338,I1338)=0,"",AVERAGE(G1338,I1338))</x:f>
      </x:c>
      <x:c r="L1338" s="46" t="str">
        <x:f>IF(COUNT(H1338,J1338)=0,"",AVERAGE(H1338,J1338))</x:f>
      </x:c>
      <x:c r="M1338" s="46" t="str">
        <x:f>IF(OR(K1338="",L1338=""),"",L1338-K1338)</x:f>
      </x:c>
      <x:c r="N1338" s="46" t="str">
        <x:f>IF(OR(K1338="",A1337&lt;&gt;A1338,K1337=""),"",K1338-K1337)</x:f>
      </x:c>
      <x:c r="O1338" s="42" t="str">
        <x:v>Sem informação</x:v>
      </x:c>
      <x:c r="P1338" s="42"/>
      <x:c r="Q1338" s="42" t="str"/>
      <x:c r="R1338" s="42" t="str"/>
      <x:c r="S1338" s="42" t="str"/>
      <x:c r="T1338" s="42" t="str"/>
    </x:row>
    <x:row r="1339">
      <x:c r="A1339" s="42" t="str">
        <x:v>Gerson</x:v>
      </x:c>
      <x:c r="B1339" s="42" t="n">
        <x:v>2030</x:v>
      </x:c>
      <x:c r="C1339" s="42" t="str">
        <x:v>T2</x:v>
      </x:c>
      <x:c r="D1339" s="44" t="n">
        <x:v>47664</x:v>
      </x:c>
      <x:c r="E1339" s="42" t="str">
        <x:v>Mezzala direito</x:v>
      </x:c>
      <x:c r="F1339" s="42" t="str">
        <x:v>Cruzeiro EC</x:v>
      </x:c>
      <x:c r="G1339" s="46"/>
      <x:c r="H1339" s="46"/>
      <x:c r="I1339" s="46"/>
      <x:c r="J1339" s="46"/>
      <x:c r="K1339" s="46" t="str">
        <x:f>IF(COUNT(G1339,I1339)=0,"",AVERAGE(G1339,I1339))</x:f>
      </x:c>
      <x:c r="L1339" s="46" t="str">
        <x:f>IF(COUNT(H1339,J1339)=0,"",AVERAGE(H1339,J1339))</x:f>
      </x:c>
      <x:c r="M1339" s="46" t="str">
        <x:f>IF(OR(K1339="",L1339=""),"",L1339-K1339)</x:f>
      </x:c>
      <x:c r="N1339" s="46" t="str">
        <x:f>IF(OR(K1339="",A1338&lt;&gt;A1339,K1338=""),"",K1339-K1338)</x:f>
      </x:c>
      <x:c r="O1339" s="42" t="str">
        <x:v>Sem informação</x:v>
      </x:c>
      <x:c r="P1339" s="42"/>
      <x:c r="Q1339" s="42" t="str"/>
      <x:c r="R1339" s="42" t="str"/>
      <x:c r="S1339" s="42" t="str"/>
      <x:c r="T1339" s="42" t="str"/>
    </x:row>
    <x:row r="1340">
      <x:c r="A1340" s="42" t="str">
        <x:v>Gerson</x:v>
      </x:c>
      <x:c r="B1340" s="42" t="n">
        <x:v>2030</x:v>
      </x:c>
      <x:c r="C1340" s="42" t="str">
        <x:v>T3</x:v>
      </x:c>
      <x:c r="D1340" s="44" t="n">
        <x:v>47756</x:v>
      </x:c>
      <x:c r="E1340" s="42" t="str">
        <x:v>Mezzala direito</x:v>
      </x:c>
      <x:c r="F1340" s="42" t="str">
        <x:v>Cruzeiro EC</x:v>
      </x:c>
      <x:c r="G1340" s="46"/>
      <x:c r="H1340" s="46"/>
      <x:c r="I1340" s="46"/>
      <x:c r="J1340" s="46"/>
      <x:c r="K1340" s="46" t="str">
        <x:f>IF(COUNT(G1340,I1340)=0,"",AVERAGE(G1340,I1340))</x:f>
      </x:c>
      <x:c r="L1340" s="46" t="str">
        <x:f>IF(COUNT(H1340,J1340)=0,"",AVERAGE(H1340,J1340))</x:f>
      </x:c>
      <x:c r="M1340" s="46" t="str">
        <x:f>IF(OR(K1340="",L1340=""),"",L1340-K1340)</x:f>
      </x:c>
      <x:c r="N1340" s="46" t="str">
        <x:f>IF(OR(K1340="",A1339&lt;&gt;A1340,K1339=""),"",K1340-K1339)</x:f>
      </x:c>
      <x:c r="O1340" s="42" t="str">
        <x:v>Sem informação</x:v>
      </x:c>
      <x:c r="P1340" s="42"/>
      <x:c r="Q1340" s="42" t="str"/>
      <x:c r="R1340" s="42" t="str"/>
      <x:c r="S1340" s="42" t="str"/>
      <x:c r="T1340" s="42" t="str"/>
    </x:row>
    <x:row r="1341">
      <x:c r="A1341" s="42" t="str">
        <x:v>Gerson</x:v>
      </x:c>
      <x:c r="B1341" s="42" t="n">
        <x:v>2030</x:v>
      </x:c>
      <x:c r="C1341" s="42" t="str">
        <x:v>T4</x:v>
      </x:c>
      <x:c r="D1341" s="44" t="n">
        <x:v>47848</x:v>
      </x:c>
      <x:c r="E1341" s="42" t="str">
        <x:v>Mezzala direito</x:v>
      </x:c>
      <x:c r="F1341" s="42" t="str">
        <x:v>Cruzeiro EC</x:v>
      </x:c>
      <x:c r="G1341" s="46"/>
      <x:c r="H1341" s="46"/>
      <x:c r="I1341" s="46"/>
      <x:c r="J1341" s="46"/>
      <x:c r="K1341" s="46" t="str">
        <x:f>IF(COUNT(G1341,I1341)=0,"",AVERAGE(G1341,I1341))</x:f>
      </x:c>
      <x:c r="L1341" s="46" t="str">
        <x:f>IF(COUNT(H1341,J1341)=0,"",AVERAGE(H1341,J1341))</x:f>
      </x:c>
      <x:c r="M1341" s="46" t="str">
        <x:f>IF(OR(K1341="",L1341=""),"",L1341-K1341)</x:f>
      </x:c>
      <x:c r="N1341" s="46" t="str">
        <x:f>IF(OR(K1341="",A1340&lt;&gt;A1341,K1340=""),"",K1341-K1340)</x:f>
      </x:c>
      <x:c r="O1341" s="42" t="str">
        <x:v>Sem informação</x:v>
      </x:c>
      <x:c r="P1341" s="42"/>
      <x:c r="Q1341" s="42" t="str"/>
      <x:c r="R1341" s="42" t="str"/>
      <x:c r="S1341" s="42" t="str"/>
      <x:c r="T1341" s="42" t="str"/>
    </x:row>
    <x:row r="1342">
      <x:c r="A1342" s="42" t="str">
        <x:v>Gabriel Sara</x:v>
      </x:c>
      <x:c r="B1342" s="42" t="n">
        <x:v>2026</x:v>
      </x:c>
      <x:c r="C1342" s="42" t="str">
        <x:v>T1</x:v>
      </x:c>
      <x:c r="D1342" s="44" t="n">
        <x:v>46112</x:v>
      </x:c>
      <x:c r="E1342" s="42" t="str">
        <x:v>Mezzala direito</x:v>
      </x:c>
      <x:c r="F1342" s="42" t="str">
        <x:v>Galatasaray</x:v>
      </x:c>
      <x:c r="G1342" s="46"/>
      <x:c r="H1342" s="46"/>
      <x:c r="I1342" s="46"/>
      <x:c r="J1342" s="46"/>
      <x:c r="K1342" s="46" t="str">
        <x:f>IF(COUNT(G1342,I1342)=0,"",AVERAGE(G1342,I1342))</x:f>
      </x:c>
      <x:c r="L1342" s="46" t="str">
        <x:f>IF(COUNT(H1342,J1342)=0,"",AVERAGE(H1342,J1342))</x:f>
      </x:c>
      <x:c r="M1342" s="46" t="str">
        <x:f>IF(OR(K1342="",L1342=""),"",L1342-K1342)</x:f>
      </x:c>
      <x:c r="N1342" s="46" t="str">
        <x:f>IF(OR(K1342="",A1341&lt;&gt;A1342,K1341=""),"",K1342-K1341)</x:f>
      </x:c>
      <x:c r="O1342" s="42" t="str">
        <x:v>Sem informação</x:v>
      </x:c>
      <x:c r="P1342" s="42"/>
      <x:c r="Q1342" s="42" t="str"/>
      <x:c r="R1342" s="42" t="str"/>
      <x:c r="S1342" s="42" t="str"/>
      <x:c r="T1342" s="42" t="str"/>
    </x:row>
    <x:row r="1343">
      <x:c r="A1343" s="42" t="str">
        <x:v>Gabriel Sara</x:v>
      </x:c>
      <x:c r="B1343" s="42" t="n">
        <x:v>2026</x:v>
      </x:c>
      <x:c r="C1343" s="42" t="str">
        <x:v>T2</x:v>
      </x:c>
      <x:c r="D1343" s="44" t="n">
        <x:v>46203</x:v>
      </x:c>
      <x:c r="E1343" s="42" t="str">
        <x:v>Mezzala direito</x:v>
      </x:c>
      <x:c r="F1343" s="42" t="str">
        <x:v>Galatasaray</x:v>
      </x:c>
      <x:c r="G1343" s="46"/>
      <x:c r="H1343" s="46"/>
      <x:c r="I1343" s="46"/>
      <x:c r="J1343" s="46"/>
      <x:c r="K1343" s="46" t="str">
        <x:f>IF(COUNT(G1343,I1343)=0,"",AVERAGE(G1343,I1343))</x:f>
      </x:c>
      <x:c r="L1343" s="46" t="str">
        <x:f>IF(COUNT(H1343,J1343)=0,"",AVERAGE(H1343,J1343))</x:f>
      </x:c>
      <x:c r="M1343" s="46" t="str">
        <x:f>IF(OR(K1343="",L1343=""),"",L1343-K1343)</x:f>
      </x:c>
      <x:c r="N1343" s="46" t="str">
        <x:f>IF(OR(K1343="",A1342&lt;&gt;A1343,K1342=""),"",K1343-K1342)</x:f>
      </x:c>
      <x:c r="O1343" s="42" t="str">
        <x:v>Sem informação</x:v>
      </x:c>
      <x:c r="P1343" s="42"/>
      <x:c r="Q1343" s="42" t="str"/>
      <x:c r="R1343" s="42" t="str"/>
      <x:c r="S1343" s="42" t="str"/>
      <x:c r="T1343" s="42" t="str"/>
    </x:row>
    <x:row r="1344">
      <x:c r="A1344" s="42" t="str">
        <x:v>Gabriel Sara</x:v>
      </x:c>
      <x:c r="B1344" s="42" t="n">
        <x:v>2026</x:v>
      </x:c>
      <x:c r="C1344" s="42" t="str">
        <x:v>T3</x:v>
      </x:c>
      <x:c r="D1344" s="44" t="n">
        <x:v>46295</x:v>
      </x:c>
      <x:c r="E1344" s="42" t="str">
        <x:v>Mezzala direito</x:v>
      </x:c>
      <x:c r="F1344" s="42" t="str">
        <x:v>Galatasaray</x:v>
      </x:c>
      <x:c r="G1344" s="46"/>
      <x:c r="H1344" s="46"/>
      <x:c r="I1344" s="46"/>
      <x:c r="J1344" s="46"/>
      <x:c r="K1344" s="46" t="str">
        <x:f>IF(COUNT(G1344,I1344)=0,"",AVERAGE(G1344,I1344))</x:f>
      </x:c>
      <x:c r="L1344" s="46" t="str">
        <x:f>IF(COUNT(H1344,J1344)=0,"",AVERAGE(H1344,J1344))</x:f>
      </x:c>
      <x:c r="M1344" s="46" t="str">
        <x:f>IF(OR(K1344="",L1344=""),"",L1344-K1344)</x:f>
      </x:c>
      <x:c r="N1344" s="46" t="str">
        <x:f>IF(OR(K1344="",A1343&lt;&gt;A1344,K1343=""),"",K1344-K1343)</x:f>
      </x:c>
      <x:c r="O1344" s="42" t="str">
        <x:v>Sem informação</x:v>
      </x:c>
      <x:c r="P1344" s="42"/>
      <x:c r="Q1344" s="42" t="str"/>
      <x:c r="R1344" s="42" t="str"/>
      <x:c r="S1344" s="42" t="str"/>
      <x:c r="T1344" s="42" t="str"/>
    </x:row>
    <x:row r="1345">
      <x:c r="A1345" s="42" t="str">
        <x:v>Gabriel Sara</x:v>
      </x:c>
      <x:c r="B1345" s="42" t="n">
        <x:v>2026</x:v>
      </x:c>
      <x:c r="C1345" s="42" t="str">
        <x:v>T4</x:v>
      </x:c>
      <x:c r="D1345" s="44" t="n">
        <x:v>46387</x:v>
      </x:c>
      <x:c r="E1345" s="42" t="str">
        <x:v>Mezzala direito</x:v>
      </x:c>
      <x:c r="F1345" s="42" t="str">
        <x:v>Galatasaray</x:v>
      </x:c>
      <x:c r="G1345" s="46"/>
      <x:c r="H1345" s="46"/>
      <x:c r="I1345" s="46"/>
      <x:c r="J1345" s="46"/>
      <x:c r="K1345" s="46" t="str">
        <x:f>IF(COUNT(G1345,I1345)=0,"",AVERAGE(G1345,I1345))</x:f>
      </x:c>
      <x:c r="L1345" s="46" t="str">
        <x:f>IF(COUNT(H1345,J1345)=0,"",AVERAGE(H1345,J1345))</x:f>
      </x:c>
      <x:c r="M1345" s="46" t="str">
        <x:f>IF(OR(K1345="",L1345=""),"",L1345-K1345)</x:f>
      </x:c>
      <x:c r="N1345" s="46" t="str">
        <x:f>IF(OR(K1345="",A1344&lt;&gt;A1345,K1344=""),"",K1345-K1344)</x:f>
      </x:c>
      <x:c r="O1345" s="42" t="str">
        <x:v>Sem informação</x:v>
      </x:c>
      <x:c r="P1345" s="42"/>
      <x:c r="Q1345" s="42" t="str"/>
      <x:c r="R1345" s="42" t="str"/>
      <x:c r="S1345" s="42" t="str"/>
      <x:c r="T1345" s="42" t="str"/>
    </x:row>
    <x:row r="1346">
      <x:c r="A1346" s="42" t="str">
        <x:v>Gabriel Sara</x:v>
      </x:c>
      <x:c r="B1346" s="42" t="n">
        <x:v>2027</x:v>
      </x:c>
      <x:c r="C1346" s="42" t="str">
        <x:v>T1</x:v>
      </x:c>
      <x:c r="D1346" s="44" t="n">
        <x:v>46477</x:v>
      </x:c>
      <x:c r="E1346" s="42" t="str">
        <x:v>Mezzala direito</x:v>
      </x:c>
      <x:c r="F1346" s="42" t="str">
        <x:v>Galatasaray</x:v>
      </x:c>
      <x:c r="G1346" s="46"/>
      <x:c r="H1346" s="46"/>
      <x:c r="I1346" s="46"/>
      <x:c r="J1346" s="46"/>
      <x:c r="K1346" s="46" t="str">
        <x:f>IF(COUNT(G1346,I1346)=0,"",AVERAGE(G1346,I1346))</x:f>
      </x:c>
      <x:c r="L1346" s="46" t="str">
        <x:f>IF(COUNT(H1346,J1346)=0,"",AVERAGE(H1346,J1346))</x:f>
      </x:c>
      <x:c r="M1346" s="46" t="str">
        <x:f>IF(OR(K1346="",L1346=""),"",L1346-K1346)</x:f>
      </x:c>
      <x:c r="N1346" s="46" t="str">
        <x:f>IF(OR(K1346="",A1345&lt;&gt;A1346,K1345=""),"",K1346-K1345)</x:f>
      </x:c>
      <x:c r="O1346" s="42" t="str">
        <x:v>Sem informação</x:v>
      </x:c>
      <x:c r="P1346" s="42"/>
      <x:c r="Q1346" s="42" t="str"/>
      <x:c r="R1346" s="42" t="str"/>
      <x:c r="S1346" s="42" t="str"/>
      <x:c r="T1346" s="42" t="str"/>
    </x:row>
    <x:row r="1347">
      <x:c r="A1347" s="42" t="str">
        <x:v>Gabriel Sara</x:v>
      </x:c>
      <x:c r="B1347" s="42" t="n">
        <x:v>2027</x:v>
      </x:c>
      <x:c r="C1347" s="42" t="str">
        <x:v>T2</x:v>
      </x:c>
      <x:c r="D1347" s="44" t="n">
        <x:v>46568</x:v>
      </x:c>
      <x:c r="E1347" s="42" t="str">
        <x:v>Mezzala direito</x:v>
      </x:c>
      <x:c r="F1347" s="42" t="str">
        <x:v>Galatasaray</x:v>
      </x:c>
      <x:c r="G1347" s="46"/>
      <x:c r="H1347" s="46"/>
      <x:c r="I1347" s="46"/>
      <x:c r="J1347" s="46"/>
      <x:c r="K1347" s="46" t="str">
        <x:f>IF(COUNT(G1347,I1347)=0,"",AVERAGE(G1347,I1347))</x:f>
      </x:c>
      <x:c r="L1347" s="46" t="str">
        <x:f>IF(COUNT(H1347,J1347)=0,"",AVERAGE(H1347,J1347))</x:f>
      </x:c>
      <x:c r="M1347" s="46" t="str">
        <x:f>IF(OR(K1347="",L1347=""),"",L1347-K1347)</x:f>
      </x:c>
      <x:c r="N1347" s="46" t="str">
        <x:f>IF(OR(K1347="",A1346&lt;&gt;A1347,K1346=""),"",K1347-K1346)</x:f>
      </x:c>
      <x:c r="O1347" s="42" t="str">
        <x:v>Sem informação</x:v>
      </x:c>
      <x:c r="P1347" s="42"/>
      <x:c r="Q1347" s="42" t="str"/>
      <x:c r="R1347" s="42" t="str"/>
      <x:c r="S1347" s="42" t="str"/>
      <x:c r="T1347" s="42" t="str"/>
    </x:row>
    <x:row r="1348">
      <x:c r="A1348" s="42" t="str">
        <x:v>Gabriel Sara</x:v>
      </x:c>
      <x:c r="B1348" s="42" t="n">
        <x:v>2027</x:v>
      </x:c>
      <x:c r="C1348" s="42" t="str">
        <x:v>T3</x:v>
      </x:c>
      <x:c r="D1348" s="44" t="n">
        <x:v>46660</x:v>
      </x:c>
      <x:c r="E1348" s="42" t="str">
        <x:v>Mezzala direito</x:v>
      </x:c>
      <x:c r="F1348" s="42" t="str">
        <x:v>Galatasaray</x:v>
      </x:c>
      <x:c r="G1348" s="46"/>
      <x:c r="H1348" s="46"/>
      <x:c r="I1348" s="46"/>
      <x:c r="J1348" s="46"/>
      <x:c r="K1348" s="46" t="str">
        <x:f>IF(COUNT(G1348,I1348)=0,"",AVERAGE(G1348,I1348))</x:f>
      </x:c>
      <x:c r="L1348" s="46" t="str">
        <x:f>IF(COUNT(H1348,J1348)=0,"",AVERAGE(H1348,J1348))</x:f>
      </x:c>
      <x:c r="M1348" s="46" t="str">
        <x:f>IF(OR(K1348="",L1348=""),"",L1348-K1348)</x:f>
      </x:c>
      <x:c r="N1348" s="46" t="str">
        <x:f>IF(OR(K1348="",A1347&lt;&gt;A1348,K1347=""),"",K1348-K1347)</x:f>
      </x:c>
      <x:c r="O1348" s="42" t="str">
        <x:v>Sem informação</x:v>
      </x:c>
      <x:c r="P1348" s="42"/>
      <x:c r="Q1348" s="42" t="str"/>
      <x:c r="R1348" s="42" t="str"/>
      <x:c r="S1348" s="42" t="str"/>
      <x:c r="T1348" s="42" t="str"/>
    </x:row>
    <x:row r="1349">
      <x:c r="A1349" s="42" t="str">
        <x:v>Gabriel Sara</x:v>
      </x:c>
      <x:c r="B1349" s="42" t="n">
        <x:v>2027</x:v>
      </x:c>
      <x:c r="C1349" s="42" t="str">
        <x:v>T4</x:v>
      </x:c>
      <x:c r="D1349" s="44" t="n">
        <x:v>46752</x:v>
      </x:c>
      <x:c r="E1349" s="42" t="str">
        <x:v>Mezzala direito</x:v>
      </x:c>
      <x:c r="F1349" s="42" t="str">
        <x:v>Galatasaray</x:v>
      </x:c>
      <x:c r="G1349" s="46"/>
      <x:c r="H1349" s="46"/>
      <x:c r="I1349" s="46"/>
      <x:c r="J1349" s="46"/>
      <x:c r="K1349" s="46" t="str">
        <x:f>IF(COUNT(G1349,I1349)=0,"",AVERAGE(G1349,I1349))</x:f>
      </x:c>
      <x:c r="L1349" s="46" t="str">
        <x:f>IF(COUNT(H1349,J1349)=0,"",AVERAGE(H1349,J1349))</x:f>
      </x:c>
      <x:c r="M1349" s="46" t="str">
        <x:f>IF(OR(K1349="",L1349=""),"",L1349-K1349)</x:f>
      </x:c>
      <x:c r="N1349" s="46" t="str">
        <x:f>IF(OR(K1349="",A1348&lt;&gt;A1349,K1348=""),"",K1349-K1348)</x:f>
      </x:c>
      <x:c r="O1349" s="42" t="str">
        <x:v>Sem informação</x:v>
      </x:c>
      <x:c r="P1349" s="42"/>
      <x:c r="Q1349" s="42" t="str"/>
      <x:c r="R1349" s="42" t="str"/>
      <x:c r="S1349" s="42" t="str"/>
      <x:c r="T1349" s="42" t="str"/>
    </x:row>
    <x:row r="1350">
      <x:c r="A1350" s="42" t="str">
        <x:v>Gabriel Sara</x:v>
      </x:c>
      <x:c r="B1350" s="42" t="n">
        <x:v>2028</x:v>
      </x:c>
      <x:c r="C1350" s="42" t="str">
        <x:v>T1</x:v>
      </x:c>
      <x:c r="D1350" s="44" t="n">
        <x:v>46843</x:v>
      </x:c>
      <x:c r="E1350" s="42" t="str">
        <x:v>Mezzala direito</x:v>
      </x:c>
      <x:c r="F1350" s="42" t="str">
        <x:v>Galatasaray</x:v>
      </x:c>
      <x:c r="G1350" s="46"/>
      <x:c r="H1350" s="46"/>
      <x:c r="I1350" s="46"/>
      <x:c r="J1350" s="46"/>
      <x:c r="K1350" s="46" t="str">
        <x:f>IF(COUNT(G1350,I1350)=0,"",AVERAGE(G1350,I1350))</x:f>
      </x:c>
      <x:c r="L1350" s="46" t="str">
        <x:f>IF(COUNT(H1350,J1350)=0,"",AVERAGE(H1350,J1350))</x:f>
      </x:c>
      <x:c r="M1350" s="46" t="str">
        <x:f>IF(OR(K1350="",L1350=""),"",L1350-K1350)</x:f>
      </x:c>
      <x:c r="N1350" s="46" t="str">
        <x:f>IF(OR(K1350="",A1349&lt;&gt;A1350,K1349=""),"",K1350-K1349)</x:f>
      </x:c>
      <x:c r="O1350" s="42" t="str">
        <x:v>Sem informação</x:v>
      </x:c>
      <x:c r="P1350" s="42"/>
      <x:c r="Q1350" s="42" t="str"/>
      <x:c r="R1350" s="42" t="str"/>
      <x:c r="S1350" s="42" t="str"/>
      <x:c r="T1350" s="42" t="str"/>
    </x:row>
    <x:row r="1351">
      <x:c r="A1351" s="42" t="str">
        <x:v>Gabriel Sara</x:v>
      </x:c>
      <x:c r="B1351" s="42" t="n">
        <x:v>2028</x:v>
      </x:c>
      <x:c r="C1351" s="42" t="str">
        <x:v>T2</x:v>
      </x:c>
      <x:c r="D1351" s="44" t="n">
        <x:v>46934</x:v>
      </x:c>
      <x:c r="E1351" s="42" t="str">
        <x:v>Mezzala direito</x:v>
      </x:c>
      <x:c r="F1351" s="42" t="str">
        <x:v>Galatasaray</x:v>
      </x:c>
      <x:c r="G1351" s="46"/>
      <x:c r="H1351" s="46"/>
      <x:c r="I1351" s="46"/>
      <x:c r="J1351" s="46"/>
      <x:c r="K1351" s="46" t="str">
        <x:f>IF(COUNT(G1351,I1351)=0,"",AVERAGE(G1351,I1351))</x:f>
      </x:c>
      <x:c r="L1351" s="46" t="str">
        <x:f>IF(COUNT(H1351,J1351)=0,"",AVERAGE(H1351,J1351))</x:f>
      </x:c>
      <x:c r="M1351" s="46" t="str">
        <x:f>IF(OR(K1351="",L1351=""),"",L1351-K1351)</x:f>
      </x:c>
      <x:c r="N1351" s="46" t="str">
        <x:f>IF(OR(K1351="",A1350&lt;&gt;A1351,K1350=""),"",K1351-K1350)</x:f>
      </x:c>
      <x:c r="O1351" s="42" t="str">
        <x:v>Sem informação</x:v>
      </x:c>
      <x:c r="P1351" s="42"/>
      <x:c r="Q1351" s="42" t="str"/>
      <x:c r="R1351" s="42" t="str"/>
      <x:c r="S1351" s="42" t="str"/>
      <x:c r="T1351" s="42" t="str"/>
    </x:row>
    <x:row r="1352">
      <x:c r="A1352" s="42" t="str">
        <x:v>Gabriel Sara</x:v>
      </x:c>
      <x:c r="B1352" s="42" t="n">
        <x:v>2028</x:v>
      </x:c>
      <x:c r="C1352" s="42" t="str">
        <x:v>T3</x:v>
      </x:c>
      <x:c r="D1352" s="44" t="n">
        <x:v>47026</x:v>
      </x:c>
      <x:c r="E1352" s="42" t="str">
        <x:v>Mezzala direito</x:v>
      </x:c>
      <x:c r="F1352" s="42" t="str">
        <x:v>Galatasaray</x:v>
      </x:c>
      <x:c r="G1352" s="46"/>
      <x:c r="H1352" s="46"/>
      <x:c r="I1352" s="46"/>
      <x:c r="J1352" s="46"/>
      <x:c r="K1352" s="46" t="str">
        <x:f>IF(COUNT(G1352,I1352)=0,"",AVERAGE(G1352,I1352))</x:f>
      </x:c>
      <x:c r="L1352" s="46" t="str">
        <x:f>IF(COUNT(H1352,J1352)=0,"",AVERAGE(H1352,J1352))</x:f>
      </x:c>
      <x:c r="M1352" s="46" t="str">
        <x:f>IF(OR(K1352="",L1352=""),"",L1352-K1352)</x:f>
      </x:c>
      <x:c r="N1352" s="46" t="str">
        <x:f>IF(OR(K1352="",A1351&lt;&gt;A1352,K1351=""),"",K1352-K1351)</x:f>
      </x:c>
      <x:c r="O1352" s="42" t="str">
        <x:v>Sem informação</x:v>
      </x:c>
      <x:c r="P1352" s="42"/>
      <x:c r="Q1352" s="42" t="str"/>
      <x:c r="R1352" s="42" t="str"/>
      <x:c r="S1352" s="42" t="str"/>
      <x:c r="T1352" s="42" t="str"/>
    </x:row>
    <x:row r="1353">
      <x:c r="A1353" s="42" t="str">
        <x:v>Gabriel Sara</x:v>
      </x:c>
      <x:c r="B1353" s="42" t="n">
        <x:v>2028</x:v>
      </x:c>
      <x:c r="C1353" s="42" t="str">
        <x:v>T4</x:v>
      </x:c>
      <x:c r="D1353" s="44" t="n">
        <x:v>47118</x:v>
      </x:c>
      <x:c r="E1353" s="42" t="str">
        <x:v>Mezzala direito</x:v>
      </x:c>
      <x:c r="F1353" s="42" t="str">
        <x:v>Galatasaray</x:v>
      </x:c>
      <x:c r="G1353" s="46"/>
      <x:c r="H1353" s="46"/>
      <x:c r="I1353" s="46"/>
      <x:c r="J1353" s="46"/>
      <x:c r="K1353" s="46" t="str">
        <x:f>IF(COUNT(G1353,I1353)=0,"",AVERAGE(G1353,I1353))</x:f>
      </x:c>
      <x:c r="L1353" s="46" t="str">
        <x:f>IF(COUNT(H1353,J1353)=0,"",AVERAGE(H1353,J1353))</x:f>
      </x:c>
      <x:c r="M1353" s="46" t="str">
        <x:f>IF(OR(K1353="",L1353=""),"",L1353-K1353)</x:f>
      </x:c>
      <x:c r="N1353" s="46" t="str">
        <x:f>IF(OR(K1353="",A1352&lt;&gt;A1353,K1352=""),"",K1353-K1352)</x:f>
      </x:c>
      <x:c r="O1353" s="42" t="str">
        <x:v>Sem informação</x:v>
      </x:c>
      <x:c r="P1353" s="42"/>
      <x:c r="Q1353" s="42" t="str"/>
      <x:c r="R1353" s="42" t="str"/>
      <x:c r="S1353" s="42" t="str"/>
      <x:c r="T1353" s="42" t="str"/>
    </x:row>
    <x:row r="1354">
      <x:c r="A1354" s="42" t="str">
        <x:v>Gabriel Sara</x:v>
      </x:c>
      <x:c r="B1354" s="42" t="n">
        <x:v>2029</x:v>
      </x:c>
      <x:c r="C1354" s="42" t="str">
        <x:v>T1</x:v>
      </x:c>
      <x:c r="D1354" s="44" t="n">
        <x:v>47208</x:v>
      </x:c>
      <x:c r="E1354" s="42" t="str">
        <x:v>Mezzala direito</x:v>
      </x:c>
      <x:c r="F1354" s="42" t="str">
        <x:v>Galatasaray</x:v>
      </x:c>
      <x:c r="G1354" s="46"/>
      <x:c r="H1354" s="46"/>
      <x:c r="I1354" s="46"/>
      <x:c r="J1354" s="46"/>
      <x:c r="K1354" s="46" t="str">
        <x:f>IF(COUNT(G1354,I1354)=0,"",AVERAGE(G1354,I1354))</x:f>
      </x:c>
      <x:c r="L1354" s="46" t="str">
        <x:f>IF(COUNT(H1354,J1354)=0,"",AVERAGE(H1354,J1354))</x:f>
      </x:c>
      <x:c r="M1354" s="46" t="str">
        <x:f>IF(OR(K1354="",L1354=""),"",L1354-K1354)</x:f>
      </x:c>
      <x:c r="N1354" s="46" t="str">
        <x:f>IF(OR(K1354="",A1353&lt;&gt;A1354,K1353=""),"",K1354-K1353)</x:f>
      </x:c>
      <x:c r="O1354" s="42" t="str">
        <x:v>Sem informação</x:v>
      </x:c>
      <x:c r="P1354" s="42"/>
      <x:c r="Q1354" s="42" t="str"/>
      <x:c r="R1354" s="42" t="str"/>
      <x:c r="S1354" s="42" t="str"/>
      <x:c r="T1354" s="42" t="str"/>
    </x:row>
    <x:row r="1355">
      <x:c r="A1355" s="42" t="str">
        <x:v>Gabriel Sara</x:v>
      </x:c>
      <x:c r="B1355" s="42" t="n">
        <x:v>2029</x:v>
      </x:c>
      <x:c r="C1355" s="42" t="str">
        <x:v>T2</x:v>
      </x:c>
      <x:c r="D1355" s="44" t="n">
        <x:v>47299</x:v>
      </x:c>
      <x:c r="E1355" s="42" t="str">
        <x:v>Mezzala direito</x:v>
      </x:c>
      <x:c r="F1355" s="42" t="str">
        <x:v>Galatasaray</x:v>
      </x:c>
      <x:c r="G1355" s="46"/>
      <x:c r="H1355" s="46"/>
      <x:c r="I1355" s="46"/>
      <x:c r="J1355" s="46"/>
      <x:c r="K1355" s="46" t="str">
        <x:f>IF(COUNT(G1355,I1355)=0,"",AVERAGE(G1355,I1355))</x:f>
      </x:c>
      <x:c r="L1355" s="46" t="str">
        <x:f>IF(COUNT(H1355,J1355)=0,"",AVERAGE(H1355,J1355))</x:f>
      </x:c>
      <x:c r="M1355" s="46" t="str">
        <x:f>IF(OR(K1355="",L1355=""),"",L1355-K1355)</x:f>
      </x:c>
      <x:c r="N1355" s="46" t="str">
        <x:f>IF(OR(K1355="",A1354&lt;&gt;A1355,K1354=""),"",K1355-K1354)</x:f>
      </x:c>
      <x:c r="O1355" s="42" t="str">
        <x:v>Sem informação</x:v>
      </x:c>
      <x:c r="P1355" s="42"/>
      <x:c r="Q1355" s="42" t="str"/>
      <x:c r="R1355" s="42" t="str"/>
      <x:c r="S1355" s="42" t="str"/>
      <x:c r="T1355" s="42" t="str"/>
    </x:row>
    <x:row r="1356">
      <x:c r="A1356" s="42" t="str">
        <x:v>Gabriel Sara</x:v>
      </x:c>
      <x:c r="B1356" s="42" t="n">
        <x:v>2029</x:v>
      </x:c>
      <x:c r="C1356" s="42" t="str">
        <x:v>T3</x:v>
      </x:c>
      <x:c r="D1356" s="44" t="n">
        <x:v>47391</x:v>
      </x:c>
      <x:c r="E1356" s="42" t="str">
        <x:v>Mezzala direito</x:v>
      </x:c>
      <x:c r="F1356" s="42" t="str">
        <x:v>Galatasaray</x:v>
      </x:c>
      <x:c r="G1356" s="46"/>
      <x:c r="H1356" s="46"/>
      <x:c r="I1356" s="46"/>
      <x:c r="J1356" s="46"/>
      <x:c r="K1356" s="46" t="str">
        <x:f>IF(COUNT(G1356,I1356)=0,"",AVERAGE(G1356,I1356))</x:f>
      </x:c>
      <x:c r="L1356" s="46" t="str">
        <x:f>IF(COUNT(H1356,J1356)=0,"",AVERAGE(H1356,J1356))</x:f>
      </x:c>
      <x:c r="M1356" s="46" t="str">
        <x:f>IF(OR(K1356="",L1356=""),"",L1356-K1356)</x:f>
      </x:c>
      <x:c r="N1356" s="46" t="str">
        <x:f>IF(OR(K1356="",A1355&lt;&gt;A1356,K1355=""),"",K1356-K1355)</x:f>
      </x:c>
      <x:c r="O1356" s="42" t="str">
        <x:v>Sem informação</x:v>
      </x:c>
      <x:c r="P1356" s="42"/>
      <x:c r="Q1356" s="42" t="str"/>
      <x:c r="R1356" s="42" t="str"/>
      <x:c r="S1356" s="42" t="str"/>
      <x:c r="T1356" s="42" t="str"/>
    </x:row>
    <x:row r="1357">
      <x:c r="A1357" s="42" t="str">
        <x:v>Gabriel Sara</x:v>
      </x:c>
      <x:c r="B1357" s="42" t="n">
        <x:v>2029</x:v>
      </x:c>
      <x:c r="C1357" s="42" t="str">
        <x:v>T4</x:v>
      </x:c>
      <x:c r="D1357" s="44" t="n">
        <x:v>47483</x:v>
      </x:c>
      <x:c r="E1357" s="42" t="str">
        <x:v>Mezzala direito</x:v>
      </x:c>
      <x:c r="F1357" s="42" t="str">
        <x:v>Galatasaray</x:v>
      </x:c>
      <x:c r="G1357" s="46"/>
      <x:c r="H1357" s="46"/>
      <x:c r="I1357" s="46"/>
      <x:c r="J1357" s="46"/>
      <x:c r="K1357" s="46" t="str">
        <x:f>IF(COUNT(G1357,I1357)=0,"",AVERAGE(G1357,I1357))</x:f>
      </x:c>
      <x:c r="L1357" s="46" t="str">
        <x:f>IF(COUNT(H1357,J1357)=0,"",AVERAGE(H1357,J1357))</x:f>
      </x:c>
      <x:c r="M1357" s="46" t="str">
        <x:f>IF(OR(K1357="",L1357=""),"",L1357-K1357)</x:f>
      </x:c>
      <x:c r="N1357" s="46" t="str">
        <x:f>IF(OR(K1357="",A1356&lt;&gt;A1357,K1356=""),"",K1357-K1356)</x:f>
      </x:c>
      <x:c r="O1357" s="42" t="str">
        <x:v>Sem informação</x:v>
      </x:c>
      <x:c r="P1357" s="42"/>
      <x:c r="Q1357" s="42" t="str"/>
      <x:c r="R1357" s="42" t="str"/>
      <x:c r="S1357" s="42" t="str"/>
      <x:c r="T1357" s="42" t="str"/>
    </x:row>
    <x:row r="1358">
      <x:c r="A1358" s="42" t="str">
        <x:v>Gabriel Sara</x:v>
      </x:c>
      <x:c r="B1358" s="42" t="n">
        <x:v>2030</x:v>
      </x:c>
      <x:c r="C1358" s="42" t="str">
        <x:v>T1</x:v>
      </x:c>
      <x:c r="D1358" s="44" t="n">
        <x:v>47573</x:v>
      </x:c>
      <x:c r="E1358" s="42" t="str">
        <x:v>Mezzala direito</x:v>
      </x:c>
      <x:c r="F1358" s="42" t="str">
        <x:v>Galatasaray</x:v>
      </x:c>
      <x:c r="G1358" s="46"/>
      <x:c r="H1358" s="46"/>
      <x:c r="I1358" s="46"/>
      <x:c r="J1358" s="46"/>
      <x:c r="K1358" s="46" t="str">
        <x:f>IF(COUNT(G1358,I1358)=0,"",AVERAGE(G1358,I1358))</x:f>
      </x:c>
      <x:c r="L1358" s="46" t="str">
        <x:f>IF(COUNT(H1358,J1358)=0,"",AVERAGE(H1358,J1358))</x:f>
      </x:c>
      <x:c r="M1358" s="46" t="str">
        <x:f>IF(OR(K1358="",L1358=""),"",L1358-K1358)</x:f>
      </x:c>
      <x:c r="N1358" s="46" t="str">
        <x:f>IF(OR(K1358="",A1357&lt;&gt;A1358,K1357=""),"",K1358-K1357)</x:f>
      </x:c>
      <x:c r="O1358" s="42" t="str">
        <x:v>Sem informação</x:v>
      </x:c>
      <x:c r="P1358" s="42"/>
      <x:c r="Q1358" s="42" t="str"/>
      <x:c r="R1358" s="42" t="str"/>
      <x:c r="S1358" s="42" t="str"/>
      <x:c r="T1358" s="42" t="str"/>
    </x:row>
    <x:row r="1359">
      <x:c r="A1359" s="42" t="str">
        <x:v>Gabriel Sara</x:v>
      </x:c>
      <x:c r="B1359" s="42" t="n">
        <x:v>2030</x:v>
      </x:c>
      <x:c r="C1359" s="42" t="str">
        <x:v>T2</x:v>
      </x:c>
      <x:c r="D1359" s="44" t="n">
        <x:v>47664</x:v>
      </x:c>
      <x:c r="E1359" s="42" t="str">
        <x:v>Mezzala direito</x:v>
      </x:c>
      <x:c r="F1359" s="42" t="str">
        <x:v>Galatasaray</x:v>
      </x:c>
      <x:c r="G1359" s="46"/>
      <x:c r="H1359" s="46"/>
      <x:c r="I1359" s="46"/>
      <x:c r="J1359" s="46"/>
      <x:c r="K1359" s="46" t="str">
        <x:f>IF(COUNT(G1359,I1359)=0,"",AVERAGE(G1359,I1359))</x:f>
      </x:c>
      <x:c r="L1359" s="46" t="str">
        <x:f>IF(COUNT(H1359,J1359)=0,"",AVERAGE(H1359,J1359))</x:f>
      </x:c>
      <x:c r="M1359" s="46" t="str">
        <x:f>IF(OR(K1359="",L1359=""),"",L1359-K1359)</x:f>
      </x:c>
      <x:c r="N1359" s="46" t="str">
        <x:f>IF(OR(K1359="",A1358&lt;&gt;A1359,K1358=""),"",K1359-K1358)</x:f>
      </x:c>
      <x:c r="O1359" s="42" t="str">
        <x:v>Sem informação</x:v>
      </x:c>
      <x:c r="P1359" s="42"/>
      <x:c r="Q1359" s="42" t="str"/>
      <x:c r="R1359" s="42" t="str"/>
      <x:c r="S1359" s="42" t="str"/>
      <x:c r="T1359" s="42" t="str"/>
    </x:row>
    <x:row r="1360">
      <x:c r="A1360" s="42" t="str">
        <x:v>Gabriel Sara</x:v>
      </x:c>
      <x:c r="B1360" s="42" t="n">
        <x:v>2030</x:v>
      </x:c>
      <x:c r="C1360" s="42" t="str">
        <x:v>T3</x:v>
      </x:c>
      <x:c r="D1360" s="44" t="n">
        <x:v>47756</x:v>
      </x:c>
      <x:c r="E1360" s="42" t="str">
        <x:v>Mezzala direito</x:v>
      </x:c>
      <x:c r="F1360" s="42" t="str">
        <x:v>Galatasaray</x:v>
      </x:c>
      <x:c r="G1360" s="46"/>
      <x:c r="H1360" s="46"/>
      <x:c r="I1360" s="46"/>
      <x:c r="J1360" s="46"/>
      <x:c r="K1360" s="46" t="str">
        <x:f>IF(COUNT(G1360,I1360)=0,"",AVERAGE(G1360,I1360))</x:f>
      </x:c>
      <x:c r="L1360" s="46" t="str">
        <x:f>IF(COUNT(H1360,J1360)=0,"",AVERAGE(H1360,J1360))</x:f>
      </x:c>
      <x:c r="M1360" s="46" t="str">
        <x:f>IF(OR(K1360="",L1360=""),"",L1360-K1360)</x:f>
      </x:c>
      <x:c r="N1360" s="46" t="str">
        <x:f>IF(OR(K1360="",A1359&lt;&gt;A1360,K1359=""),"",K1360-K1359)</x:f>
      </x:c>
      <x:c r="O1360" s="42" t="str">
        <x:v>Sem informação</x:v>
      </x:c>
      <x:c r="P1360" s="42"/>
      <x:c r="Q1360" s="42" t="str"/>
      <x:c r="R1360" s="42" t="str"/>
      <x:c r="S1360" s="42" t="str"/>
      <x:c r="T1360" s="42" t="str"/>
    </x:row>
    <x:row r="1361">
      <x:c r="A1361" s="42" t="str">
        <x:v>Gabriel Sara</x:v>
      </x:c>
      <x:c r="B1361" s="42" t="n">
        <x:v>2030</x:v>
      </x:c>
      <x:c r="C1361" s="42" t="str">
        <x:v>T4</x:v>
      </x:c>
      <x:c r="D1361" s="44" t="n">
        <x:v>47848</x:v>
      </x:c>
      <x:c r="E1361" s="42" t="str">
        <x:v>Mezzala direito</x:v>
      </x:c>
      <x:c r="F1361" s="42" t="str">
        <x:v>Galatasaray</x:v>
      </x:c>
      <x:c r="G1361" s="46"/>
      <x:c r="H1361" s="46"/>
      <x:c r="I1361" s="46"/>
      <x:c r="J1361" s="46"/>
      <x:c r="K1361" s="46" t="str">
        <x:f>IF(COUNT(G1361,I1361)=0,"",AVERAGE(G1361,I1361))</x:f>
      </x:c>
      <x:c r="L1361" s="46" t="str">
        <x:f>IF(COUNT(H1361,J1361)=0,"",AVERAGE(H1361,J1361))</x:f>
      </x:c>
      <x:c r="M1361" s="46" t="str">
        <x:f>IF(OR(K1361="",L1361=""),"",L1361-K1361)</x:f>
      </x:c>
      <x:c r="N1361" s="46" t="str">
        <x:f>IF(OR(K1361="",A1360&lt;&gt;A1361,K1360=""),"",K1361-K1360)</x:f>
      </x:c>
      <x:c r="O1361" s="42" t="str">
        <x:v>Sem informação</x:v>
      </x:c>
      <x:c r="P1361" s="42"/>
      <x:c r="Q1361" s="42" t="str"/>
      <x:c r="R1361" s="42" t="str"/>
      <x:c r="S1361" s="42" t="str"/>
      <x:c r="T1361" s="42" t="str"/>
    </x:row>
    <x:row r="1362">
      <x:c r="A1362" s="42" t="str">
        <x:v>Lucas Paquetá</x:v>
      </x:c>
      <x:c r="B1362" s="42" t="n">
        <x:v>2026</x:v>
      </x:c>
      <x:c r="C1362" s="42" t="str">
        <x:v>T1</x:v>
      </x:c>
      <x:c r="D1362" s="44" t="n">
        <x:v>46112</x:v>
      </x:c>
      <x:c r="E1362" s="42" t="str">
        <x:v>Meia-armador</x:v>
      </x:c>
      <x:c r="F1362" s="42" t="str">
        <x:v>CR Flamengo</x:v>
      </x:c>
      <x:c r="G1362" s="46"/>
      <x:c r="H1362" s="46"/>
      <x:c r="I1362" s="46"/>
      <x:c r="J1362" s="46"/>
      <x:c r="K1362" s="46" t="str">
        <x:f>IF(COUNT(G1362,I1362)=0,"",AVERAGE(G1362,I1362))</x:f>
      </x:c>
      <x:c r="L1362" s="46" t="str">
        <x:f>IF(COUNT(H1362,J1362)=0,"",AVERAGE(H1362,J1362))</x:f>
      </x:c>
      <x:c r="M1362" s="46" t="str">
        <x:f>IF(OR(K1362="",L1362=""),"",L1362-K1362)</x:f>
      </x:c>
      <x:c r="N1362" s="46" t="str">
        <x:f>IF(OR(K1362="",A1361&lt;&gt;A1362,K1361=""),"",K1362-K1361)</x:f>
      </x:c>
      <x:c r="O1362" s="42" t="str">
        <x:v>Sem informação</x:v>
      </x:c>
      <x:c r="P1362" s="42"/>
      <x:c r="Q1362" s="42" t="str"/>
      <x:c r="R1362" s="42" t="str"/>
      <x:c r="S1362" s="42" t="str"/>
      <x:c r="T1362" s="42" t="str"/>
    </x:row>
    <x:row r="1363">
      <x:c r="A1363" s="42" t="str">
        <x:v>Lucas Paquetá</x:v>
      </x:c>
      <x:c r="B1363" s="42" t="n">
        <x:v>2026</x:v>
      </x:c>
      <x:c r="C1363" s="42" t="str">
        <x:v>T2</x:v>
      </x:c>
      <x:c r="D1363" s="44" t="n">
        <x:v>46203</x:v>
      </x:c>
      <x:c r="E1363" s="42" t="str">
        <x:v>Meia-armador</x:v>
      </x:c>
      <x:c r="F1363" s="42" t="str">
        <x:v>CR Flamengo</x:v>
      </x:c>
      <x:c r="G1363" s="46"/>
      <x:c r="H1363" s="46"/>
      <x:c r="I1363" s="46"/>
      <x:c r="J1363" s="46"/>
      <x:c r="K1363" s="46" t="str">
        <x:f>IF(COUNT(G1363,I1363)=0,"",AVERAGE(G1363,I1363))</x:f>
      </x:c>
      <x:c r="L1363" s="46" t="str">
        <x:f>IF(COUNT(H1363,J1363)=0,"",AVERAGE(H1363,J1363))</x:f>
      </x:c>
      <x:c r="M1363" s="46" t="str">
        <x:f>IF(OR(K1363="",L1363=""),"",L1363-K1363)</x:f>
      </x:c>
      <x:c r="N1363" s="46" t="str">
        <x:f>IF(OR(K1363="",A1362&lt;&gt;A1363,K1362=""),"",K1363-K1362)</x:f>
      </x:c>
      <x:c r="O1363" s="42" t="str">
        <x:v>Sem informação</x:v>
      </x:c>
      <x:c r="P1363" s="42"/>
      <x:c r="Q1363" s="42" t="str"/>
      <x:c r="R1363" s="42" t="str"/>
      <x:c r="S1363" s="42" t="str"/>
      <x:c r="T1363" s="42" t="str"/>
    </x:row>
    <x:row r="1364">
      <x:c r="A1364" s="42" t="str">
        <x:v>Lucas Paquetá</x:v>
      </x:c>
      <x:c r="B1364" s="42" t="n">
        <x:v>2026</x:v>
      </x:c>
      <x:c r="C1364" s="42" t="str">
        <x:v>T3</x:v>
      </x:c>
      <x:c r="D1364" s="44" t="n">
        <x:v>46295</x:v>
      </x:c>
      <x:c r="E1364" s="42" t="str">
        <x:v>Meia-armador</x:v>
      </x:c>
      <x:c r="F1364" s="42" t="str">
        <x:v>CR Flamengo</x:v>
      </x:c>
      <x:c r="G1364" s="46"/>
      <x:c r="H1364" s="46"/>
      <x:c r="I1364" s="46"/>
      <x:c r="J1364" s="46"/>
      <x:c r="K1364" s="46" t="str">
        <x:f>IF(COUNT(G1364,I1364)=0,"",AVERAGE(G1364,I1364))</x:f>
      </x:c>
      <x:c r="L1364" s="46" t="str">
        <x:f>IF(COUNT(H1364,J1364)=0,"",AVERAGE(H1364,J1364))</x:f>
      </x:c>
      <x:c r="M1364" s="46" t="str">
        <x:f>IF(OR(K1364="",L1364=""),"",L1364-K1364)</x:f>
      </x:c>
      <x:c r="N1364" s="46" t="str">
        <x:f>IF(OR(K1364="",A1363&lt;&gt;A1364,K1363=""),"",K1364-K1363)</x:f>
      </x:c>
      <x:c r="O1364" s="42" t="str">
        <x:v>Sem informação</x:v>
      </x:c>
      <x:c r="P1364" s="42"/>
      <x:c r="Q1364" s="42" t="str"/>
      <x:c r="R1364" s="42" t="str"/>
      <x:c r="S1364" s="42" t="str"/>
      <x:c r="T1364" s="42" t="str"/>
    </x:row>
    <x:row r="1365">
      <x:c r="A1365" s="42" t="str">
        <x:v>Lucas Paquetá</x:v>
      </x:c>
      <x:c r="B1365" s="42" t="n">
        <x:v>2026</x:v>
      </x:c>
      <x:c r="C1365" s="42" t="str">
        <x:v>T4</x:v>
      </x:c>
      <x:c r="D1365" s="44" t="n">
        <x:v>46387</x:v>
      </x:c>
      <x:c r="E1365" s="42" t="str">
        <x:v>Meia-armador</x:v>
      </x:c>
      <x:c r="F1365" s="42" t="str">
        <x:v>CR Flamengo</x:v>
      </x:c>
      <x:c r="G1365" s="46"/>
      <x:c r="H1365" s="46"/>
      <x:c r="I1365" s="46"/>
      <x:c r="J1365" s="46"/>
      <x:c r="K1365" s="46" t="str">
        <x:f>IF(COUNT(G1365,I1365)=0,"",AVERAGE(G1365,I1365))</x:f>
      </x:c>
      <x:c r="L1365" s="46" t="str">
        <x:f>IF(COUNT(H1365,J1365)=0,"",AVERAGE(H1365,J1365))</x:f>
      </x:c>
      <x:c r="M1365" s="46" t="str">
        <x:f>IF(OR(K1365="",L1365=""),"",L1365-K1365)</x:f>
      </x:c>
      <x:c r="N1365" s="46" t="str">
        <x:f>IF(OR(K1365="",A1364&lt;&gt;A1365,K1364=""),"",K1365-K1364)</x:f>
      </x:c>
      <x:c r="O1365" s="42" t="str">
        <x:v>Sem informação</x:v>
      </x:c>
      <x:c r="P1365" s="42"/>
      <x:c r="Q1365" s="42" t="str"/>
      <x:c r="R1365" s="42" t="str"/>
      <x:c r="S1365" s="42" t="str"/>
      <x:c r="T1365" s="42" t="str"/>
    </x:row>
    <x:row r="1366">
      <x:c r="A1366" s="42" t="str">
        <x:v>Lucas Paquetá</x:v>
      </x:c>
      <x:c r="B1366" s="42" t="n">
        <x:v>2027</x:v>
      </x:c>
      <x:c r="C1366" s="42" t="str">
        <x:v>T1</x:v>
      </x:c>
      <x:c r="D1366" s="44" t="n">
        <x:v>46477</x:v>
      </x:c>
      <x:c r="E1366" s="42" t="str">
        <x:v>Meia-armador</x:v>
      </x:c>
      <x:c r="F1366" s="42" t="str">
        <x:v>CR Flamengo</x:v>
      </x:c>
      <x:c r="G1366" s="46"/>
      <x:c r="H1366" s="46"/>
      <x:c r="I1366" s="46"/>
      <x:c r="J1366" s="46"/>
      <x:c r="K1366" s="46" t="str">
        <x:f>IF(COUNT(G1366,I1366)=0,"",AVERAGE(G1366,I1366))</x:f>
      </x:c>
      <x:c r="L1366" s="46" t="str">
        <x:f>IF(COUNT(H1366,J1366)=0,"",AVERAGE(H1366,J1366))</x:f>
      </x:c>
      <x:c r="M1366" s="46" t="str">
        <x:f>IF(OR(K1366="",L1366=""),"",L1366-K1366)</x:f>
      </x:c>
      <x:c r="N1366" s="46" t="str">
        <x:f>IF(OR(K1366="",A1365&lt;&gt;A1366,K1365=""),"",K1366-K1365)</x:f>
      </x:c>
      <x:c r="O1366" s="42" t="str">
        <x:v>Sem informação</x:v>
      </x:c>
      <x:c r="P1366" s="42"/>
      <x:c r="Q1366" s="42" t="str"/>
      <x:c r="R1366" s="42" t="str"/>
      <x:c r="S1366" s="42" t="str"/>
      <x:c r="T1366" s="42" t="str"/>
    </x:row>
    <x:row r="1367">
      <x:c r="A1367" s="42" t="str">
        <x:v>Lucas Paquetá</x:v>
      </x:c>
      <x:c r="B1367" s="42" t="n">
        <x:v>2027</x:v>
      </x:c>
      <x:c r="C1367" s="42" t="str">
        <x:v>T2</x:v>
      </x:c>
      <x:c r="D1367" s="44" t="n">
        <x:v>46568</x:v>
      </x:c>
      <x:c r="E1367" s="42" t="str">
        <x:v>Meia-armador</x:v>
      </x:c>
      <x:c r="F1367" s="42" t="str">
        <x:v>CR Flamengo</x:v>
      </x:c>
      <x:c r="G1367" s="46"/>
      <x:c r="H1367" s="46"/>
      <x:c r="I1367" s="46"/>
      <x:c r="J1367" s="46"/>
      <x:c r="K1367" s="46" t="str">
        <x:f>IF(COUNT(G1367,I1367)=0,"",AVERAGE(G1367,I1367))</x:f>
      </x:c>
      <x:c r="L1367" s="46" t="str">
        <x:f>IF(COUNT(H1367,J1367)=0,"",AVERAGE(H1367,J1367))</x:f>
      </x:c>
      <x:c r="M1367" s="46" t="str">
        <x:f>IF(OR(K1367="",L1367=""),"",L1367-K1367)</x:f>
      </x:c>
      <x:c r="N1367" s="46" t="str">
        <x:f>IF(OR(K1367="",A1366&lt;&gt;A1367,K1366=""),"",K1367-K1366)</x:f>
      </x:c>
      <x:c r="O1367" s="42" t="str">
        <x:v>Sem informação</x:v>
      </x:c>
      <x:c r="P1367" s="42"/>
      <x:c r="Q1367" s="42" t="str"/>
      <x:c r="R1367" s="42" t="str"/>
      <x:c r="S1367" s="42" t="str"/>
      <x:c r="T1367" s="42" t="str"/>
    </x:row>
    <x:row r="1368">
      <x:c r="A1368" s="42" t="str">
        <x:v>Lucas Paquetá</x:v>
      </x:c>
      <x:c r="B1368" s="42" t="n">
        <x:v>2027</x:v>
      </x:c>
      <x:c r="C1368" s="42" t="str">
        <x:v>T3</x:v>
      </x:c>
      <x:c r="D1368" s="44" t="n">
        <x:v>46660</x:v>
      </x:c>
      <x:c r="E1368" s="42" t="str">
        <x:v>Meia-armador</x:v>
      </x:c>
      <x:c r="F1368" s="42" t="str">
        <x:v>CR Flamengo</x:v>
      </x:c>
      <x:c r="G1368" s="46"/>
      <x:c r="H1368" s="46"/>
      <x:c r="I1368" s="46"/>
      <x:c r="J1368" s="46"/>
      <x:c r="K1368" s="46" t="str">
        <x:f>IF(COUNT(G1368,I1368)=0,"",AVERAGE(G1368,I1368))</x:f>
      </x:c>
      <x:c r="L1368" s="46" t="str">
        <x:f>IF(COUNT(H1368,J1368)=0,"",AVERAGE(H1368,J1368))</x:f>
      </x:c>
      <x:c r="M1368" s="46" t="str">
        <x:f>IF(OR(K1368="",L1368=""),"",L1368-K1368)</x:f>
      </x:c>
      <x:c r="N1368" s="46" t="str">
        <x:f>IF(OR(K1368="",A1367&lt;&gt;A1368,K1367=""),"",K1368-K1367)</x:f>
      </x:c>
      <x:c r="O1368" s="42" t="str">
        <x:v>Sem informação</x:v>
      </x:c>
      <x:c r="P1368" s="42"/>
      <x:c r="Q1368" s="42" t="str"/>
      <x:c r="R1368" s="42" t="str"/>
      <x:c r="S1368" s="42" t="str"/>
      <x:c r="T1368" s="42" t="str"/>
    </x:row>
    <x:row r="1369">
      <x:c r="A1369" s="42" t="str">
        <x:v>Lucas Paquetá</x:v>
      </x:c>
      <x:c r="B1369" s="42" t="n">
        <x:v>2027</x:v>
      </x:c>
      <x:c r="C1369" s="42" t="str">
        <x:v>T4</x:v>
      </x:c>
      <x:c r="D1369" s="44" t="n">
        <x:v>46752</x:v>
      </x:c>
      <x:c r="E1369" s="42" t="str">
        <x:v>Meia-armador</x:v>
      </x:c>
      <x:c r="F1369" s="42" t="str">
        <x:v>CR Flamengo</x:v>
      </x:c>
      <x:c r="G1369" s="46"/>
      <x:c r="H1369" s="46"/>
      <x:c r="I1369" s="46"/>
      <x:c r="J1369" s="46"/>
      <x:c r="K1369" s="46" t="str">
        <x:f>IF(COUNT(G1369,I1369)=0,"",AVERAGE(G1369,I1369))</x:f>
      </x:c>
      <x:c r="L1369" s="46" t="str">
        <x:f>IF(COUNT(H1369,J1369)=0,"",AVERAGE(H1369,J1369))</x:f>
      </x:c>
      <x:c r="M1369" s="46" t="str">
        <x:f>IF(OR(K1369="",L1369=""),"",L1369-K1369)</x:f>
      </x:c>
      <x:c r="N1369" s="46" t="str">
        <x:f>IF(OR(K1369="",A1368&lt;&gt;A1369,K1368=""),"",K1369-K1368)</x:f>
      </x:c>
      <x:c r="O1369" s="42" t="str">
        <x:v>Sem informação</x:v>
      </x:c>
      <x:c r="P1369" s="42"/>
      <x:c r="Q1369" s="42" t="str"/>
      <x:c r="R1369" s="42" t="str"/>
      <x:c r="S1369" s="42" t="str"/>
      <x:c r="T1369" s="42" t="str"/>
    </x:row>
    <x:row r="1370">
      <x:c r="A1370" s="42" t="str">
        <x:v>Lucas Paquetá</x:v>
      </x:c>
      <x:c r="B1370" s="42" t="n">
        <x:v>2028</x:v>
      </x:c>
      <x:c r="C1370" s="42" t="str">
        <x:v>T1</x:v>
      </x:c>
      <x:c r="D1370" s="44" t="n">
        <x:v>46843</x:v>
      </x:c>
      <x:c r="E1370" s="42" t="str">
        <x:v>Meia-armador</x:v>
      </x:c>
      <x:c r="F1370" s="42" t="str">
        <x:v>CR Flamengo</x:v>
      </x:c>
      <x:c r="G1370" s="46"/>
      <x:c r="H1370" s="46"/>
      <x:c r="I1370" s="46"/>
      <x:c r="J1370" s="46"/>
      <x:c r="K1370" s="46" t="str">
        <x:f>IF(COUNT(G1370,I1370)=0,"",AVERAGE(G1370,I1370))</x:f>
      </x:c>
      <x:c r="L1370" s="46" t="str">
        <x:f>IF(COUNT(H1370,J1370)=0,"",AVERAGE(H1370,J1370))</x:f>
      </x:c>
      <x:c r="M1370" s="46" t="str">
        <x:f>IF(OR(K1370="",L1370=""),"",L1370-K1370)</x:f>
      </x:c>
      <x:c r="N1370" s="46" t="str">
        <x:f>IF(OR(K1370="",A1369&lt;&gt;A1370,K1369=""),"",K1370-K1369)</x:f>
      </x:c>
      <x:c r="O1370" s="42" t="str">
        <x:v>Sem informação</x:v>
      </x:c>
      <x:c r="P1370" s="42"/>
      <x:c r="Q1370" s="42" t="str"/>
      <x:c r="R1370" s="42" t="str"/>
      <x:c r="S1370" s="42" t="str"/>
      <x:c r="T1370" s="42" t="str"/>
    </x:row>
    <x:row r="1371">
      <x:c r="A1371" s="42" t="str">
        <x:v>Lucas Paquetá</x:v>
      </x:c>
      <x:c r="B1371" s="42" t="n">
        <x:v>2028</x:v>
      </x:c>
      <x:c r="C1371" s="42" t="str">
        <x:v>T2</x:v>
      </x:c>
      <x:c r="D1371" s="44" t="n">
        <x:v>46934</x:v>
      </x:c>
      <x:c r="E1371" s="42" t="str">
        <x:v>Meia-armador</x:v>
      </x:c>
      <x:c r="F1371" s="42" t="str">
        <x:v>CR Flamengo</x:v>
      </x:c>
      <x:c r="G1371" s="46"/>
      <x:c r="H1371" s="46"/>
      <x:c r="I1371" s="46"/>
      <x:c r="J1371" s="46"/>
      <x:c r="K1371" s="46" t="str">
        <x:f>IF(COUNT(G1371,I1371)=0,"",AVERAGE(G1371,I1371))</x:f>
      </x:c>
      <x:c r="L1371" s="46" t="str">
        <x:f>IF(COUNT(H1371,J1371)=0,"",AVERAGE(H1371,J1371))</x:f>
      </x:c>
      <x:c r="M1371" s="46" t="str">
        <x:f>IF(OR(K1371="",L1371=""),"",L1371-K1371)</x:f>
      </x:c>
      <x:c r="N1371" s="46" t="str">
        <x:f>IF(OR(K1371="",A1370&lt;&gt;A1371,K1370=""),"",K1371-K1370)</x:f>
      </x:c>
      <x:c r="O1371" s="42" t="str">
        <x:v>Sem informação</x:v>
      </x:c>
      <x:c r="P1371" s="42"/>
      <x:c r="Q1371" s="42" t="str"/>
      <x:c r="R1371" s="42" t="str"/>
      <x:c r="S1371" s="42" t="str"/>
      <x:c r="T1371" s="42" t="str"/>
    </x:row>
    <x:row r="1372">
      <x:c r="A1372" s="42" t="str">
        <x:v>Lucas Paquetá</x:v>
      </x:c>
      <x:c r="B1372" s="42" t="n">
        <x:v>2028</x:v>
      </x:c>
      <x:c r="C1372" s="42" t="str">
        <x:v>T3</x:v>
      </x:c>
      <x:c r="D1372" s="44" t="n">
        <x:v>47026</x:v>
      </x:c>
      <x:c r="E1372" s="42" t="str">
        <x:v>Meia-armador</x:v>
      </x:c>
      <x:c r="F1372" s="42" t="str">
        <x:v>CR Flamengo</x:v>
      </x:c>
      <x:c r="G1372" s="46"/>
      <x:c r="H1372" s="46"/>
      <x:c r="I1372" s="46"/>
      <x:c r="J1372" s="46"/>
      <x:c r="K1372" s="46" t="str">
        <x:f>IF(COUNT(G1372,I1372)=0,"",AVERAGE(G1372,I1372))</x:f>
      </x:c>
      <x:c r="L1372" s="46" t="str">
        <x:f>IF(COUNT(H1372,J1372)=0,"",AVERAGE(H1372,J1372))</x:f>
      </x:c>
      <x:c r="M1372" s="46" t="str">
        <x:f>IF(OR(K1372="",L1372=""),"",L1372-K1372)</x:f>
      </x:c>
      <x:c r="N1372" s="46" t="str">
        <x:f>IF(OR(K1372="",A1371&lt;&gt;A1372,K1371=""),"",K1372-K1371)</x:f>
      </x:c>
      <x:c r="O1372" s="42" t="str">
        <x:v>Sem informação</x:v>
      </x:c>
      <x:c r="P1372" s="42"/>
      <x:c r="Q1372" s="42" t="str"/>
      <x:c r="R1372" s="42" t="str"/>
      <x:c r="S1372" s="42" t="str"/>
      <x:c r="T1372" s="42" t="str"/>
    </x:row>
    <x:row r="1373">
      <x:c r="A1373" s="42" t="str">
        <x:v>Lucas Paquetá</x:v>
      </x:c>
      <x:c r="B1373" s="42" t="n">
        <x:v>2028</x:v>
      </x:c>
      <x:c r="C1373" s="42" t="str">
        <x:v>T4</x:v>
      </x:c>
      <x:c r="D1373" s="44" t="n">
        <x:v>47118</x:v>
      </x:c>
      <x:c r="E1373" s="42" t="str">
        <x:v>Meia-armador</x:v>
      </x:c>
      <x:c r="F1373" s="42" t="str">
        <x:v>CR Flamengo</x:v>
      </x:c>
      <x:c r="G1373" s="46"/>
      <x:c r="H1373" s="46"/>
      <x:c r="I1373" s="46"/>
      <x:c r="J1373" s="46"/>
      <x:c r="K1373" s="46" t="str">
        <x:f>IF(COUNT(G1373,I1373)=0,"",AVERAGE(G1373,I1373))</x:f>
      </x:c>
      <x:c r="L1373" s="46" t="str">
        <x:f>IF(COUNT(H1373,J1373)=0,"",AVERAGE(H1373,J1373))</x:f>
      </x:c>
      <x:c r="M1373" s="46" t="str">
        <x:f>IF(OR(K1373="",L1373=""),"",L1373-K1373)</x:f>
      </x:c>
      <x:c r="N1373" s="46" t="str">
        <x:f>IF(OR(K1373="",A1372&lt;&gt;A1373,K1372=""),"",K1373-K1372)</x:f>
      </x:c>
      <x:c r="O1373" s="42" t="str">
        <x:v>Sem informação</x:v>
      </x:c>
      <x:c r="P1373" s="42"/>
      <x:c r="Q1373" s="42" t="str"/>
      <x:c r="R1373" s="42" t="str"/>
      <x:c r="S1373" s="42" t="str"/>
      <x:c r="T1373" s="42" t="str"/>
    </x:row>
    <x:row r="1374">
      <x:c r="A1374" s="42" t="str">
        <x:v>Lucas Paquetá</x:v>
      </x:c>
      <x:c r="B1374" s="42" t="n">
        <x:v>2029</x:v>
      </x:c>
      <x:c r="C1374" s="42" t="str">
        <x:v>T1</x:v>
      </x:c>
      <x:c r="D1374" s="44" t="n">
        <x:v>47208</x:v>
      </x:c>
      <x:c r="E1374" s="42" t="str">
        <x:v>Meia-armador</x:v>
      </x:c>
      <x:c r="F1374" s="42" t="str">
        <x:v>CR Flamengo</x:v>
      </x:c>
      <x:c r="G1374" s="46"/>
      <x:c r="H1374" s="46"/>
      <x:c r="I1374" s="46"/>
      <x:c r="J1374" s="46"/>
      <x:c r="K1374" s="46" t="str">
        <x:f>IF(COUNT(G1374,I1374)=0,"",AVERAGE(G1374,I1374))</x:f>
      </x:c>
      <x:c r="L1374" s="46" t="str">
        <x:f>IF(COUNT(H1374,J1374)=0,"",AVERAGE(H1374,J1374))</x:f>
      </x:c>
      <x:c r="M1374" s="46" t="str">
        <x:f>IF(OR(K1374="",L1374=""),"",L1374-K1374)</x:f>
      </x:c>
      <x:c r="N1374" s="46" t="str">
        <x:f>IF(OR(K1374="",A1373&lt;&gt;A1374,K1373=""),"",K1374-K1373)</x:f>
      </x:c>
      <x:c r="O1374" s="42" t="str">
        <x:v>Sem informação</x:v>
      </x:c>
      <x:c r="P1374" s="42"/>
      <x:c r="Q1374" s="42" t="str"/>
      <x:c r="R1374" s="42" t="str"/>
      <x:c r="S1374" s="42" t="str"/>
      <x:c r="T1374" s="42" t="str"/>
    </x:row>
    <x:row r="1375">
      <x:c r="A1375" s="42" t="str">
        <x:v>Lucas Paquetá</x:v>
      </x:c>
      <x:c r="B1375" s="42" t="n">
        <x:v>2029</x:v>
      </x:c>
      <x:c r="C1375" s="42" t="str">
        <x:v>T2</x:v>
      </x:c>
      <x:c r="D1375" s="44" t="n">
        <x:v>47299</x:v>
      </x:c>
      <x:c r="E1375" s="42" t="str">
        <x:v>Meia-armador</x:v>
      </x:c>
      <x:c r="F1375" s="42" t="str">
        <x:v>CR Flamengo</x:v>
      </x:c>
      <x:c r="G1375" s="46"/>
      <x:c r="H1375" s="46"/>
      <x:c r="I1375" s="46"/>
      <x:c r="J1375" s="46"/>
      <x:c r="K1375" s="46" t="str">
        <x:f>IF(COUNT(G1375,I1375)=0,"",AVERAGE(G1375,I1375))</x:f>
      </x:c>
      <x:c r="L1375" s="46" t="str">
        <x:f>IF(COUNT(H1375,J1375)=0,"",AVERAGE(H1375,J1375))</x:f>
      </x:c>
      <x:c r="M1375" s="46" t="str">
        <x:f>IF(OR(K1375="",L1375=""),"",L1375-K1375)</x:f>
      </x:c>
      <x:c r="N1375" s="46" t="str">
        <x:f>IF(OR(K1375="",A1374&lt;&gt;A1375,K1374=""),"",K1375-K1374)</x:f>
      </x:c>
      <x:c r="O1375" s="42" t="str">
        <x:v>Sem informação</x:v>
      </x:c>
      <x:c r="P1375" s="42"/>
      <x:c r="Q1375" s="42" t="str"/>
      <x:c r="R1375" s="42" t="str"/>
      <x:c r="S1375" s="42" t="str"/>
      <x:c r="T1375" s="42" t="str"/>
    </x:row>
    <x:row r="1376">
      <x:c r="A1376" s="42" t="str">
        <x:v>Lucas Paquetá</x:v>
      </x:c>
      <x:c r="B1376" s="42" t="n">
        <x:v>2029</x:v>
      </x:c>
      <x:c r="C1376" s="42" t="str">
        <x:v>T3</x:v>
      </x:c>
      <x:c r="D1376" s="44" t="n">
        <x:v>47391</x:v>
      </x:c>
      <x:c r="E1376" s="42" t="str">
        <x:v>Meia-armador</x:v>
      </x:c>
      <x:c r="F1376" s="42" t="str">
        <x:v>CR Flamengo</x:v>
      </x:c>
      <x:c r="G1376" s="46"/>
      <x:c r="H1376" s="46"/>
      <x:c r="I1376" s="46"/>
      <x:c r="J1376" s="46"/>
      <x:c r="K1376" s="46" t="str">
        <x:f>IF(COUNT(G1376,I1376)=0,"",AVERAGE(G1376,I1376))</x:f>
      </x:c>
      <x:c r="L1376" s="46" t="str">
        <x:f>IF(COUNT(H1376,J1376)=0,"",AVERAGE(H1376,J1376))</x:f>
      </x:c>
      <x:c r="M1376" s="46" t="str">
        <x:f>IF(OR(K1376="",L1376=""),"",L1376-K1376)</x:f>
      </x:c>
      <x:c r="N1376" s="46" t="str">
        <x:f>IF(OR(K1376="",A1375&lt;&gt;A1376,K1375=""),"",K1376-K1375)</x:f>
      </x:c>
      <x:c r="O1376" s="42" t="str">
        <x:v>Sem informação</x:v>
      </x:c>
      <x:c r="P1376" s="42"/>
      <x:c r="Q1376" s="42" t="str"/>
      <x:c r="R1376" s="42" t="str"/>
      <x:c r="S1376" s="42" t="str"/>
      <x:c r="T1376" s="42" t="str"/>
    </x:row>
    <x:row r="1377">
      <x:c r="A1377" s="42" t="str">
        <x:v>Lucas Paquetá</x:v>
      </x:c>
      <x:c r="B1377" s="42" t="n">
        <x:v>2029</x:v>
      </x:c>
      <x:c r="C1377" s="42" t="str">
        <x:v>T4</x:v>
      </x:c>
      <x:c r="D1377" s="44" t="n">
        <x:v>47483</x:v>
      </x:c>
      <x:c r="E1377" s="42" t="str">
        <x:v>Meia-armador</x:v>
      </x:c>
      <x:c r="F1377" s="42" t="str">
        <x:v>CR Flamengo</x:v>
      </x:c>
      <x:c r="G1377" s="46"/>
      <x:c r="H1377" s="46"/>
      <x:c r="I1377" s="46"/>
      <x:c r="J1377" s="46"/>
      <x:c r="K1377" s="46" t="str">
        <x:f>IF(COUNT(G1377,I1377)=0,"",AVERAGE(G1377,I1377))</x:f>
      </x:c>
      <x:c r="L1377" s="46" t="str">
        <x:f>IF(COUNT(H1377,J1377)=0,"",AVERAGE(H1377,J1377))</x:f>
      </x:c>
      <x:c r="M1377" s="46" t="str">
        <x:f>IF(OR(K1377="",L1377=""),"",L1377-K1377)</x:f>
      </x:c>
      <x:c r="N1377" s="46" t="str">
        <x:f>IF(OR(K1377="",A1376&lt;&gt;A1377,K1376=""),"",K1377-K1376)</x:f>
      </x:c>
      <x:c r="O1377" s="42" t="str">
        <x:v>Sem informação</x:v>
      </x:c>
      <x:c r="P1377" s="42"/>
      <x:c r="Q1377" s="42" t="str"/>
      <x:c r="R1377" s="42" t="str"/>
      <x:c r="S1377" s="42" t="str"/>
      <x:c r="T1377" s="42" t="str"/>
    </x:row>
    <x:row r="1378">
      <x:c r="A1378" s="42" t="str">
        <x:v>Lucas Paquetá</x:v>
      </x:c>
      <x:c r="B1378" s="42" t="n">
        <x:v>2030</x:v>
      </x:c>
      <x:c r="C1378" s="42" t="str">
        <x:v>T1</x:v>
      </x:c>
      <x:c r="D1378" s="44" t="n">
        <x:v>47573</x:v>
      </x:c>
      <x:c r="E1378" s="42" t="str">
        <x:v>Meia-armador</x:v>
      </x:c>
      <x:c r="F1378" s="42" t="str">
        <x:v>CR Flamengo</x:v>
      </x:c>
      <x:c r="G1378" s="46"/>
      <x:c r="H1378" s="46"/>
      <x:c r="I1378" s="46"/>
      <x:c r="J1378" s="46"/>
      <x:c r="K1378" s="46" t="str">
        <x:f>IF(COUNT(G1378,I1378)=0,"",AVERAGE(G1378,I1378))</x:f>
      </x:c>
      <x:c r="L1378" s="46" t="str">
        <x:f>IF(COUNT(H1378,J1378)=0,"",AVERAGE(H1378,J1378))</x:f>
      </x:c>
      <x:c r="M1378" s="46" t="str">
        <x:f>IF(OR(K1378="",L1378=""),"",L1378-K1378)</x:f>
      </x:c>
      <x:c r="N1378" s="46" t="str">
        <x:f>IF(OR(K1378="",A1377&lt;&gt;A1378,K1377=""),"",K1378-K1377)</x:f>
      </x:c>
      <x:c r="O1378" s="42" t="str">
        <x:v>Sem informação</x:v>
      </x:c>
      <x:c r="P1378" s="42"/>
      <x:c r="Q1378" s="42" t="str"/>
      <x:c r="R1378" s="42" t="str"/>
      <x:c r="S1378" s="42" t="str"/>
      <x:c r="T1378" s="42" t="str"/>
    </x:row>
    <x:row r="1379">
      <x:c r="A1379" s="42" t="str">
        <x:v>Lucas Paquetá</x:v>
      </x:c>
      <x:c r="B1379" s="42" t="n">
        <x:v>2030</x:v>
      </x:c>
      <x:c r="C1379" s="42" t="str">
        <x:v>T2</x:v>
      </x:c>
      <x:c r="D1379" s="44" t="n">
        <x:v>47664</x:v>
      </x:c>
      <x:c r="E1379" s="42" t="str">
        <x:v>Meia-armador</x:v>
      </x:c>
      <x:c r="F1379" s="42" t="str">
        <x:v>CR Flamengo</x:v>
      </x:c>
      <x:c r="G1379" s="46"/>
      <x:c r="H1379" s="46"/>
      <x:c r="I1379" s="46"/>
      <x:c r="J1379" s="46"/>
      <x:c r="K1379" s="46" t="str">
        <x:f>IF(COUNT(G1379,I1379)=0,"",AVERAGE(G1379,I1379))</x:f>
      </x:c>
      <x:c r="L1379" s="46" t="str">
        <x:f>IF(COUNT(H1379,J1379)=0,"",AVERAGE(H1379,J1379))</x:f>
      </x:c>
      <x:c r="M1379" s="46" t="str">
        <x:f>IF(OR(K1379="",L1379=""),"",L1379-K1379)</x:f>
      </x:c>
      <x:c r="N1379" s="46" t="str">
        <x:f>IF(OR(K1379="",A1378&lt;&gt;A1379,K1378=""),"",K1379-K1378)</x:f>
      </x:c>
      <x:c r="O1379" s="42" t="str">
        <x:v>Sem informação</x:v>
      </x:c>
      <x:c r="P1379" s="42"/>
      <x:c r="Q1379" s="42" t="str"/>
      <x:c r="R1379" s="42" t="str"/>
      <x:c r="S1379" s="42" t="str"/>
      <x:c r="T1379" s="42" t="str"/>
    </x:row>
    <x:row r="1380">
      <x:c r="A1380" s="42" t="str">
        <x:v>Lucas Paquetá</x:v>
      </x:c>
      <x:c r="B1380" s="42" t="n">
        <x:v>2030</x:v>
      </x:c>
      <x:c r="C1380" s="42" t="str">
        <x:v>T3</x:v>
      </x:c>
      <x:c r="D1380" s="44" t="n">
        <x:v>47756</x:v>
      </x:c>
      <x:c r="E1380" s="42" t="str">
        <x:v>Meia-armador</x:v>
      </x:c>
      <x:c r="F1380" s="42" t="str">
        <x:v>CR Flamengo</x:v>
      </x:c>
      <x:c r="G1380" s="46"/>
      <x:c r="H1380" s="46"/>
      <x:c r="I1380" s="46"/>
      <x:c r="J1380" s="46"/>
      <x:c r="K1380" s="46" t="str">
        <x:f>IF(COUNT(G1380,I1380)=0,"",AVERAGE(G1380,I1380))</x:f>
      </x:c>
      <x:c r="L1380" s="46" t="str">
        <x:f>IF(COUNT(H1380,J1380)=0,"",AVERAGE(H1380,J1380))</x:f>
      </x:c>
      <x:c r="M1380" s="46" t="str">
        <x:f>IF(OR(K1380="",L1380=""),"",L1380-K1380)</x:f>
      </x:c>
      <x:c r="N1380" s="46" t="str">
        <x:f>IF(OR(K1380="",A1379&lt;&gt;A1380,K1379=""),"",K1380-K1379)</x:f>
      </x:c>
      <x:c r="O1380" s="42" t="str">
        <x:v>Sem informação</x:v>
      </x:c>
      <x:c r="P1380" s="42"/>
      <x:c r="Q1380" s="42" t="str"/>
      <x:c r="R1380" s="42" t="str"/>
      <x:c r="S1380" s="42" t="str"/>
      <x:c r="T1380" s="42" t="str"/>
    </x:row>
    <x:row r="1381">
      <x:c r="A1381" s="42" t="str">
        <x:v>Lucas Paquetá</x:v>
      </x:c>
      <x:c r="B1381" s="42" t="n">
        <x:v>2030</x:v>
      </x:c>
      <x:c r="C1381" s="42" t="str">
        <x:v>T4</x:v>
      </x:c>
      <x:c r="D1381" s="44" t="n">
        <x:v>47848</x:v>
      </x:c>
      <x:c r="E1381" s="42" t="str">
        <x:v>Meia-armador</x:v>
      </x:c>
      <x:c r="F1381" s="42" t="str">
        <x:v>CR Flamengo</x:v>
      </x:c>
      <x:c r="G1381" s="46"/>
      <x:c r="H1381" s="46"/>
      <x:c r="I1381" s="46"/>
      <x:c r="J1381" s="46"/>
      <x:c r="K1381" s="46" t="str">
        <x:f>IF(COUNT(G1381,I1381)=0,"",AVERAGE(G1381,I1381))</x:f>
      </x:c>
      <x:c r="L1381" s="46" t="str">
        <x:f>IF(COUNT(H1381,J1381)=0,"",AVERAGE(H1381,J1381))</x:f>
      </x:c>
      <x:c r="M1381" s="46" t="str">
        <x:f>IF(OR(K1381="",L1381=""),"",L1381-K1381)</x:f>
      </x:c>
      <x:c r="N1381" s="46" t="str">
        <x:f>IF(OR(K1381="",A1380&lt;&gt;A1381,K1380=""),"",K1381-K1380)</x:f>
      </x:c>
      <x:c r="O1381" s="42" t="str">
        <x:v>Sem informação</x:v>
      </x:c>
      <x:c r="P1381" s="42"/>
      <x:c r="Q1381" s="42" t="str"/>
      <x:c r="R1381" s="42" t="str"/>
      <x:c r="S1381" s="42" t="str"/>
      <x:c r="T1381" s="42" t="str"/>
    </x:row>
    <x:row r="1382">
      <x:c r="A1382" s="42" t="str">
        <x:v>Marcos Leonardo</x:v>
      </x:c>
      <x:c r="B1382" s="42" t="n">
        <x:v>2026</x:v>
      </x:c>
      <x:c r="C1382" s="42" t="str">
        <x:v>T1</x:v>
      </x:c>
      <x:c r="D1382" s="44" t="n">
        <x:v>46112</x:v>
      </x:c>
      <x:c r="E1382" s="42" t="str">
        <x:v>Centroavante</x:v>
      </x:c>
      <x:c r="F1382" s="42" t="str">
        <x:v>AFC Ajax</x:v>
      </x:c>
      <x:c r="G1382" s="46"/>
      <x:c r="H1382" s="46"/>
      <x:c r="I1382" s="46"/>
      <x:c r="J1382" s="46"/>
      <x:c r="K1382" s="46" t="str">
        <x:f>IF(COUNT(G1382,I1382)=0,"",AVERAGE(G1382,I1382))</x:f>
      </x:c>
      <x:c r="L1382" s="46" t="str">
        <x:f>IF(COUNT(H1382,J1382)=0,"",AVERAGE(H1382,J1382))</x:f>
      </x:c>
      <x:c r="M1382" s="46" t="str">
        <x:f>IF(OR(K1382="",L1382=""),"",L1382-K1382)</x:f>
      </x:c>
      <x:c r="N1382" s="46" t="str">
        <x:f>IF(OR(K1382="",A1381&lt;&gt;A1382,K1381=""),"",K1382-K1381)</x:f>
      </x:c>
      <x:c r="O1382" s="42" t="str">
        <x:v>Sem informação</x:v>
      </x:c>
      <x:c r="P1382" s="42"/>
      <x:c r="Q1382" s="42" t="str"/>
      <x:c r="R1382" s="42" t="str"/>
      <x:c r="S1382" s="42" t="str"/>
      <x:c r="T1382" s="42" t="str"/>
    </x:row>
    <x:row r="1383">
      <x:c r="A1383" s="42" t="str">
        <x:v>Marcos Leonardo</x:v>
      </x:c>
      <x:c r="B1383" s="42" t="n">
        <x:v>2026</x:v>
      </x:c>
      <x:c r="C1383" s="42" t="str">
        <x:v>T2</x:v>
      </x:c>
      <x:c r="D1383" s="44" t="n">
        <x:v>46203</x:v>
      </x:c>
      <x:c r="E1383" s="42" t="str">
        <x:v>Centroavante</x:v>
      </x:c>
      <x:c r="F1383" s="42" t="str">
        <x:v>AFC Ajax</x:v>
      </x:c>
      <x:c r="G1383" s="46"/>
      <x:c r="H1383" s="46"/>
      <x:c r="I1383" s="46"/>
      <x:c r="J1383" s="46"/>
      <x:c r="K1383" s="46" t="str">
        <x:f>IF(COUNT(G1383,I1383)=0,"",AVERAGE(G1383,I1383))</x:f>
      </x:c>
      <x:c r="L1383" s="46" t="str">
        <x:f>IF(COUNT(H1383,J1383)=0,"",AVERAGE(H1383,J1383))</x:f>
      </x:c>
      <x:c r="M1383" s="46" t="str">
        <x:f>IF(OR(K1383="",L1383=""),"",L1383-K1383)</x:f>
      </x:c>
      <x:c r="N1383" s="46" t="str">
        <x:f>IF(OR(K1383="",A1382&lt;&gt;A1383,K1382=""),"",K1383-K1382)</x:f>
      </x:c>
      <x:c r="O1383" s="42" t="str">
        <x:v>Sem informação</x:v>
      </x:c>
      <x:c r="P1383" s="42"/>
      <x:c r="Q1383" s="42" t="str"/>
      <x:c r="R1383" s="42" t="str"/>
      <x:c r="S1383" s="42" t="str"/>
      <x:c r="T1383" s="42" t="str"/>
    </x:row>
    <x:row r="1384">
      <x:c r="A1384" s="42" t="str">
        <x:v>Marcos Leonardo</x:v>
      </x:c>
      <x:c r="B1384" s="42" t="n">
        <x:v>2026</x:v>
      </x:c>
      <x:c r="C1384" s="42" t="str">
        <x:v>T3</x:v>
      </x:c>
      <x:c r="D1384" s="44" t="n">
        <x:v>46295</x:v>
      </x:c>
      <x:c r="E1384" s="42" t="str">
        <x:v>Centroavante</x:v>
      </x:c>
      <x:c r="F1384" s="42" t="str">
        <x:v>AFC Ajax</x:v>
      </x:c>
      <x:c r="G1384" s="46"/>
      <x:c r="H1384" s="46"/>
      <x:c r="I1384" s="46"/>
      <x:c r="J1384" s="46"/>
      <x:c r="K1384" s="46" t="str">
        <x:f>IF(COUNT(G1384,I1384)=0,"",AVERAGE(G1384,I1384))</x:f>
      </x:c>
      <x:c r="L1384" s="46" t="str">
        <x:f>IF(COUNT(H1384,J1384)=0,"",AVERAGE(H1384,J1384))</x:f>
      </x:c>
      <x:c r="M1384" s="46" t="str">
        <x:f>IF(OR(K1384="",L1384=""),"",L1384-K1384)</x:f>
      </x:c>
      <x:c r="N1384" s="46" t="str">
        <x:f>IF(OR(K1384="",A1383&lt;&gt;A1384,K1383=""),"",K1384-K1383)</x:f>
      </x:c>
      <x:c r="O1384" s="42" t="str">
        <x:v>Sem informação</x:v>
      </x:c>
      <x:c r="P1384" s="42"/>
      <x:c r="Q1384" s="42" t="str"/>
      <x:c r="R1384" s="42" t="str"/>
      <x:c r="S1384" s="42" t="str"/>
      <x:c r="T1384" s="42" t="str"/>
    </x:row>
    <x:row r="1385">
      <x:c r="A1385" s="42" t="str">
        <x:v>Marcos Leonardo</x:v>
      </x:c>
      <x:c r="B1385" s="42" t="n">
        <x:v>2026</x:v>
      </x:c>
      <x:c r="C1385" s="42" t="str">
        <x:v>T4</x:v>
      </x:c>
      <x:c r="D1385" s="44" t="n">
        <x:v>46387</x:v>
      </x:c>
      <x:c r="E1385" s="42" t="str">
        <x:v>Centroavante</x:v>
      </x:c>
      <x:c r="F1385" s="42" t="str">
        <x:v>AFC Ajax</x:v>
      </x:c>
      <x:c r="G1385" s="46"/>
      <x:c r="H1385" s="46"/>
      <x:c r="I1385" s="46"/>
      <x:c r="J1385" s="46"/>
      <x:c r="K1385" s="46" t="str">
        <x:f>IF(COUNT(G1385,I1385)=0,"",AVERAGE(G1385,I1385))</x:f>
      </x:c>
      <x:c r="L1385" s="46" t="str">
        <x:f>IF(COUNT(H1385,J1385)=0,"",AVERAGE(H1385,J1385))</x:f>
      </x:c>
      <x:c r="M1385" s="46" t="str">
        <x:f>IF(OR(K1385="",L1385=""),"",L1385-K1385)</x:f>
      </x:c>
      <x:c r="N1385" s="46" t="str">
        <x:f>IF(OR(K1385="",A1384&lt;&gt;A1385,K1384=""),"",K1385-K1384)</x:f>
      </x:c>
      <x:c r="O1385" s="42" t="str">
        <x:v>Sem informação</x:v>
      </x:c>
      <x:c r="P1385" s="42"/>
      <x:c r="Q1385" s="42" t="str"/>
      <x:c r="R1385" s="42" t="str"/>
      <x:c r="S1385" s="42" t="str"/>
      <x:c r="T1385" s="42" t="str"/>
    </x:row>
    <x:row r="1386">
      <x:c r="A1386" s="42" t="str">
        <x:v>Marcos Leonardo</x:v>
      </x:c>
      <x:c r="B1386" s="42" t="n">
        <x:v>2027</x:v>
      </x:c>
      <x:c r="C1386" s="42" t="str">
        <x:v>T1</x:v>
      </x:c>
      <x:c r="D1386" s="44" t="n">
        <x:v>46477</x:v>
      </x:c>
      <x:c r="E1386" s="42" t="str">
        <x:v>Centroavante</x:v>
      </x:c>
      <x:c r="F1386" s="42" t="str">
        <x:v>AFC Ajax</x:v>
      </x:c>
      <x:c r="G1386" s="46"/>
      <x:c r="H1386" s="46"/>
      <x:c r="I1386" s="46"/>
      <x:c r="J1386" s="46"/>
      <x:c r="K1386" s="46" t="str">
        <x:f>IF(COUNT(G1386,I1386)=0,"",AVERAGE(G1386,I1386))</x:f>
      </x:c>
      <x:c r="L1386" s="46" t="str">
        <x:f>IF(COUNT(H1386,J1386)=0,"",AVERAGE(H1386,J1386))</x:f>
      </x:c>
      <x:c r="M1386" s="46" t="str">
        <x:f>IF(OR(K1386="",L1386=""),"",L1386-K1386)</x:f>
      </x:c>
      <x:c r="N1386" s="46" t="str">
        <x:f>IF(OR(K1386="",A1385&lt;&gt;A1386,K1385=""),"",K1386-K1385)</x:f>
      </x:c>
      <x:c r="O1386" s="42" t="str">
        <x:v>Sem informação</x:v>
      </x:c>
      <x:c r="P1386" s="42"/>
      <x:c r="Q1386" s="42" t="str"/>
      <x:c r="R1386" s="42" t="str"/>
      <x:c r="S1386" s="42" t="str"/>
      <x:c r="T1386" s="42" t="str"/>
    </x:row>
    <x:row r="1387">
      <x:c r="A1387" s="42" t="str">
        <x:v>Marcos Leonardo</x:v>
      </x:c>
      <x:c r="B1387" s="42" t="n">
        <x:v>2027</x:v>
      </x:c>
      <x:c r="C1387" s="42" t="str">
        <x:v>T2</x:v>
      </x:c>
      <x:c r="D1387" s="44" t="n">
        <x:v>46568</x:v>
      </x:c>
      <x:c r="E1387" s="42" t="str">
        <x:v>Centroavante</x:v>
      </x:c>
      <x:c r="F1387" s="42" t="str">
        <x:v>AFC Ajax</x:v>
      </x:c>
      <x:c r="G1387" s="46"/>
      <x:c r="H1387" s="46"/>
      <x:c r="I1387" s="46"/>
      <x:c r="J1387" s="46"/>
      <x:c r="K1387" s="46" t="str">
        <x:f>IF(COUNT(G1387,I1387)=0,"",AVERAGE(G1387,I1387))</x:f>
      </x:c>
      <x:c r="L1387" s="46" t="str">
        <x:f>IF(COUNT(H1387,J1387)=0,"",AVERAGE(H1387,J1387))</x:f>
      </x:c>
      <x:c r="M1387" s="46" t="str">
        <x:f>IF(OR(K1387="",L1387=""),"",L1387-K1387)</x:f>
      </x:c>
      <x:c r="N1387" s="46" t="str">
        <x:f>IF(OR(K1387="",A1386&lt;&gt;A1387,K1386=""),"",K1387-K1386)</x:f>
      </x:c>
      <x:c r="O1387" s="42" t="str">
        <x:v>Sem informação</x:v>
      </x:c>
      <x:c r="P1387" s="42"/>
      <x:c r="Q1387" s="42" t="str"/>
      <x:c r="R1387" s="42" t="str"/>
      <x:c r="S1387" s="42" t="str"/>
      <x:c r="T1387" s="42" t="str"/>
    </x:row>
    <x:row r="1388">
      <x:c r="A1388" s="42" t="str">
        <x:v>Marcos Leonardo</x:v>
      </x:c>
      <x:c r="B1388" s="42" t="n">
        <x:v>2027</x:v>
      </x:c>
      <x:c r="C1388" s="42" t="str">
        <x:v>T3</x:v>
      </x:c>
      <x:c r="D1388" s="44" t="n">
        <x:v>46660</x:v>
      </x:c>
      <x:c r="E1388" s="42" t="str">
        <x:v>Centroavante</x:v>
      </x:c>
      <x:c r="F1388" s="42" t="str">
        <x:v>AFC Ajax</x:v>
      </x:c>
      <x:c r="G1388" s="46"/>
      <x:c r="H1388" s="46"/>
      <x:c r="I1388" s="46"/>
      <x:c r="J1388" s="46"/>
      <x:c r="K1388" s="46" t="str">
        <x:f>IF(COUNT(G1388,I1388)=0,"",AVERAGE(G1388,I1388))</x:f>
      </x:c>
      <x:c r="L1388" s="46" t="str">
        <x:f>IF(COUNT(H1388,J1388)=0,"",AVERAGE(H1388,J1388))</x:f>
      </x:c>
      <x:c r="M1388" s="46" t="str">
        <x:f>IF(OR(K1388="",L1388=""),"",L1388-K1388)</x:f>
      </x:c>
      <x:c r="N1388" s="46" t="str">
        <x:f>IF(OR(K1388="",A1387&lt;&gt;A1388,K1387=""),"",K1388-K1387)</x:f>
      </x:c>
      <x:c r="O1388" s="42" t="str">
        <x:v>Sem informação</x:v>
      </x:c>
      <x:c r="P1388" s="42"/>
      <x:c r="Q1388" s="42" t="str"/>
      <x:c r="R1388" s="42" t="str"/>
      <x:c r="S1388" s="42" t="str"/>
      <x:c r="T1388" s="42" t="str"/>
    </x:row>
    <x:row r="1389">
      <x:c r="A1389" s="42" t="str">
        <x:v>Marcos Leonardo</x:v>
      </x:c>
      <x:c r="B1389" s="42" t="n">
        <x:v>2027</x:v>
      </x:c>
      <x:c r="C1389" s="42" t="str">
        <x:v>T4</x:v>
      </x:c>
      <x:c r="D1389" s="44" t="n">
        <x:v>46752</x:v>
      </x:c>
      <x:c r="E1389" s="42" t="str">
        <x:v>Centroavante</x:v>
      </x:c>
      <x:c r="F1389" s="42" t="str">
        <x:v>AFC Ajax</x:v>
      </x:c>
      <x:c r="G1389" s="46"/>
      <x:c r="H1389" s="46"/>
      <x:c r="I1389" s="46"/>
      <x:c r="J1389" s="46"/>
      <x:c r="K1389" s="46" t="str">
        <x:f>IF(COUNT(G1389,I1389)=0,"",AVERAGE(G1389,I1389))</x:f>
      </x:c>
      <x:c r="L1389" s="46" t="str">
        <x:f>IF(COUNT(H1389,J1389)=0,"",AVERAGE(H1389,J1389))</x:f>
      </x:c>
      <x:c r="M1389" s="46" t="str">
        <x:f>IF(OR(K1389="",L1389=""),"",L1389-K1389)</x:f>
      </x:c>
      <x:c r="N1389" s="46" t="str">
        <x:f>IF(OR(K1389="",A1388&lt;&gt;A1389,K1388=""),"",K1389-K1388)</x:f>
      </x:c>
      <x:c r="O1389" s="42" t="str">
        <x:v>Sem informação</x:v>
      </x:c>
      <x:c r="P1389" s="42"/>
      <x:c r="Q1389" s="42" t="str"/>
      <x:c r="R1389" s="42" t="str"/>
      <x:c r="S1389" s="42" t="str"/>
      <x:c r="T1389" s="42" t="str"/>
    </x:row>
    <x:row r="1390">
      <x:c r="A1390" s="42" t="str">
        <x:v>Marcos Leonardo</x:v>
      </x:c>
      <x:c r="B1390" s="42" t="n">
        <x:v>2028</x:v>
      </x:c>
      <x:c r="C1390" s="42" t="str">
        <x:v>T1</x:v>
      </x:c>
      <x:c r="D1390" s="44" t="n">
        <x:v>46843</x:v>
      </x:c>
      <x:c r="E1390" s="42" t="str">
        <x:v>Centroavante</x:v>
      </x:c>
      <x:c r="F1390" s="42" t="str">
        <x:v>AFC Ajax</x:v>
      </x:c>
      <x:c r="G1390" s="46"/>
      <x:c r="H1390" s="46"/>
      <x:c r="I1390" s="46"/>
      <x:c r="J1390" s="46"/>
      <x:c r="K1390" s="46" t="str">
        <x:f>IF(COUNT(G1390,I1390)=0,"",AVERAGE(G1390,I1390))</x:f>
      </x:c>
      <x:c r="L1390" s="46" t="str">
        <x:f>IF(COUNT(H1390,J1390)=0,"",AVERAGE(H1390,J1390))</x:f>
      </x:c>
      <x:c r="M1390" s="46" t="str">
        <x:f>IF(OR(K1390="",L1390=""),"",L1390-K1390)</x:f>
      </x:c>
      <x:c r="N1390" s="46" t="str">
        <x:f>IF(OR(K1390="",A1389&lt;&gt;A1390,K1389=""),"",K1390-K1389)</x:f>
      </x:c>
      <x:c r="O1390" s="42" t="str">
        <x:v>Sem informação</x:v>
      </x:c>
      <x:c r="P1390" s="42"/>
      <x:c r="Q1390" s="42" t="str"/>
      <x:c r="R1390" s="42" t="str"/>
      <x:c r="S1390" s="42" t="str"/>
      <x:c r="T1390" s="42" t="str"/>
    </x:row>
    <x:row r="1391">
      <x:c r="A1391" s="42" t="str">
        <x:v>Marcos Leonardo</x:v>
      </x:c>
      <x:c r="B1391" s="42" t="n">
        <x:v>2028</x:v>
      </x:c>
      <x:c r="C1391" s="42" t="str">
        <x:v>T2</x:v>
      </x:c>
      <x:c r="D1391" s="44" t="n">
        <x:v>46934</x:v>
      </x:c>
      <x:c r="E1391" s="42" t="str">
        <x:v>Centroavante</x:v>
      </x:c>
      <x:c r="F1391" s="42" t="str">
        <x:v>AFC Ajax</x:v>
      </x:c>
      <x:c r="G1391" s="46"/>
      <x:c r="H1391" s="46"/>
      <x:c r="I1391" s="46"/>
      <x:c r="J1391" s="46"/>
      <x:c r="K1391" s="46" t="str">
        <x:f>IF(COUNT(G1391,I1391)=0,"",AVERAGE(G1391,I1391))</x:f>
      </x:c>
      <x:c r="L1391" s="46" t="str">
        <x:f>IF(COUNT(H1391,J1391)=0,"",AVERAGE(H1391,J1391))</x:f>
      </x:c>
      <x:c r="M1391" s="46" t="str">
        <x:f>IF(OR(K1391="",L1391=""),"",L1391-K1391)</x:f>
      </x:c>
      <x:c r="N1391" s="46" t="str">
        <x:f>IF(OR(K1391="",A1390&lt;&gt;A1391,K1390=""),"",K1391-K1390)</x:f>
      </x:c>
      <x:c r="O1391" s="42" t="str">
        <x:v>Sem informação</x:v>
      </x:c>
      <x:c r="P1391" s="42"/>
      <x:c r="Q1391" s="42" t="str"/>
      <x:c r="R1391" s="42" t="str"/>
      <x:c r="S1391" s="42" t="str"/>
      <x:c r="T1391" s="42" t="str"/>
    </x:row>
    <x:row r="1392">
      <x:c r="A1392" s="42" t="str">
        <x:v>Marcos Leonardo</x:v>
      </x:c>
      <x:c r="B1392" s="42" t="n">
        <x:v>2028</x:v>
      </x:c>
      <x:c r="C1392" s="42" t="str">
        <x:v>T3</x:v>
      </x:c>
      <x:c r="D1392" s="44" t="n">
        <x:v>47026</x:v>
      </x:c>
      <x:c r="E1392" s="42" t="str">
        <x:v>Centroavante</x:v>
      </x:c>
      <x:c r="F1392" s="42" t="str">
        <x:v>AFC Ajax</x:v>
      </x:c>
      <x:c r="G1392" s="46"/>
      <x:c r="H1392" s="46"/>
      <x:c r="I1392" s="46"/>
      <x:c r="J1392" s="46"/>
      <x:c r="K1392" s="46" t="str">
        <x:f>IF(COUNT(G1392,I1392)=0,"",AVERAGE(G1392,I1392))</x:f>
      </x:c>
      <x:c r="L1392" s="46" t="str">
        <x:f>IF(COUNT(H1392,J1392)=0,"",AVERAGE(H1392,J1392))</x:f>
      </x:c>
      <x:c r="M1392" s="46" t="str">
        <x:f>IF(OR(K1392="",L1392=""),"",L1392-K1392)</x:f>
      </x:c>
      <x:c r="N1392" s="46" t="str">
        <x:f>IF(OR(K1392="",A1391&lt;&gt;A1392,K1391=""),"",K1392-K1391)</x:f>
      </x:c>
      <x:c r="O1392" s="42" t="str">
        <x:v>Sem informação</x:v>
      </x:c>
      <x:c r="P1392" s="42"/>
      <x:c r="Q1392" s="42" t="str"/>
      <x:c r="R1392" s="42" t="str"/>
      <x:c r="S1392" s="42" t="str"/>
      <x:c r="T1392" s="42" t="str"/>
    </x:row>
    <x:row r="1393">
      <x:c r="A1393" s="42" t="str">
        <x:v>Marcos Leonardo</x:v>
      </x:c>
      <x:c r="B1393" s="42" t="n">
        <x:v>2028</x:v>
      </x:c>
      <x:c r="C1393" s="42" t="str">
        <x:v>T4</x:v>
      </x:c>
      <x:c r="D1393" s="44" t="n">
        <x:v>47118</x:v>
      </x:c>
      <x:c r="E1393" s="42" t="str">
        <x:v>Centroavante</x:v>
      </x:c>
      <x:c r="F1393" s="42" t="str">
        <x:v>AFC Ajax</x:v>
      </x:c>
      <x:c r="G1393" s="46"/>
      <x:c r="H1393" s="46"/>
      <x:c r="I1393" s="46"/>
      <x:c r="J1393" s="46"/>
      <x:c r="K1393" s="46" t="str">
        <x:f>IF(COUNT(G1393,I1393)=0,"",AVERAGE(G1393,I1393))</x:f>
      </x:c>
      <x:c r="L1393" s="46" t="str">
        <x:f>IF(COUNT(H1393,J1393)=0,"",AVERAGE(H1393,J1393))</x:f>
      </x:c>
      <x:c r="M1393" s="46" t="str">
        <x:f>IF(OR(K1393="",L1393=""),"",L1393-K1393)</x:f>
      </x:c>
      <x:c r="N1393" s="46" t="str">
        <x:f>IF(OR(K1393="",A1392&lt;&gt;A1393,K1392=""),"",K1393-K1392)</x:f>
      </x:c>
      <x:c r="O1393" s="42" t="str">
        <x:v>Sem informação</x:v>
      </x:c>
      <x:c r="P1393" s="42"/>
      <x:c r="Q1393" s="42" t="str"/>
      <x:c r="R1393" s="42" t="str"/>
      <x:c r="S1393" s="42" t="str"/>
      <x:c r="T1393" s="42" t="str"/>
    </x:row>
    <x:row r="1394">
      <x:c r="A1394" s="42" t="str">
        <x:v>Marcos Leonardo</x:v>
      </x:c>
      <x:c r="B1394" s="42" t="n">
        <x:v>2029</x:v>
      </x:c>
      <x:c r="C1394" s="42" t="str">
        <x:v>T1</x:v>
      </x:c>
      <x:c r="D1394" s="44" t="n">
        <x:v>47208</x:v>
      </x:c>
      <x:c r="E1394" s="42" t="str">
        <x:v>Centroavante</x:v>
      </x:c>
      <x:c r="F1394" s="42" t="str">
        <x:v>AFC Ajax</x:v>
      </x:c>
      <x:c r="G1394" s="46"/>
      <x:c r="H1394" s="46"/>
      <x:c r="I1394" s="46"/>
      <x:c r="J1394" s="46"/>
      <x:c r="K1394" s="46" t="str">
        <x:f>IF(COUNT(G1394,I1394)=0,"",AVERAGE(G1394,I1394))</x:f>
      </x:c>
      <x:c r="L1394" s="46" t="str">
        <x:f>IF(COUNT(H1394,J1394)=0,"",AVERAGE(H1394,J1394))</x:f>
      </x:c>
      <x:c r="M1394" s="46" t="str">
        <x:f>IF(OR(K1394="",L1394=""),"",L1394-K1394)</x:f>
      </x:c>
      <x:c r="N1394" s="46" t="str">
        <x:f>IF(OR(K1394="",A1393&lt;&gt;A1394,K1393=""),"",K1394-K1393)</x:f>
      </x:c>
      <x:c r="O1394" s="42" t="str">
        <x:v>Sem informação</x:v>
      </x:c>
      <x:c r="P1394" s="42"/>
      <x:c r="Q1394" s="42" t="str"/>
      <x:c r="R1394" s="42" t="str"/>
      <x:c r="S1394" s="42" t="str"/>
      <x:c r="T1394" s="42" t="str"/>
    </x:row>
    <x:row r="1395">
      <x:c r="A1395" s="42" t="str">
        <x:v>Marcos Leonardo</x:v>
      </x:c>
      <x:c r="B1395" s="42" t="n">
        <x:v>2029</x:v>
      </x:c>
      <x:c r="C1395" s="42" t="str">
        <x:v>T2</x:v>
      </x:c>
      <x:c r="D1395" s="44" t="n">
        <x:v>47299</x:v>
      </x:c>
      <x:c r="E1395" s="42" t="str">
        <x:v>Centroavante</x:v>
      </x:c>
      <x:c r="F1395" s="42" t="str">
        <x:v>AFC Ajax</x:v>
      </x:c>
      <x:c r="G1395" s="46"/>
      <x:c r="H1395" s="46"/>
      <x:c r="I1395" s="46"/>
      <x:c r="J1395" s="46"/>
      <x:c r="K1395" s="46" t="str">
        <x:f>IF(COUNT(G1395,I1395)=0,"",AVERAGE(G1395,I1395))</x:f>
      </x:c>
      <x:c r="L1395" s="46" t="str">
        <x:f>IF(COUNT(H1395,J1395)=0,"",AVERAGE(H1395,J1395))</x:f>
      </x:c>
      <x:c r="M1395" s="46" t="str">
        <x:f>IF(OR(K1395="",L1395=""),"",L1395-K1395)</x:f>
      </x:c>
      <x:c r="N1395" s="46" t="str">
        <x:f>IF(OR(K1395="",A1394&lt;&gt;A1395,K1394=""),"",K1395-K1394)</x:f>
      </x:c>
      <x:c r="O1395" s="42" t="str">
        <x:v>Sem informação</x:v>
      </x:c>
      <x:c r="P1395" s="42"/>
      <x:c r="Q1395" s="42" t="str"/>
      <x:c r="R1395" s="42" t="str"/>
      <x:c r="S1395" s="42" t="str"/>
      <x:c r="T1395" s="42" t="str"/>
    </x:row>
    <x:row r="1396">
      <x:c r="A1396" s="42" t="str">
        <x:v>Marcos Leonardo</x:v>
      </x:c>
      <x:c r="B1396" s="42" t="n">
        <x:v>2029</x:v>
      </x:c>
      <x:c r="C1396" s="42" t="str">
        <x:v>T3</x:v>
      </x:c>
      <x:c r="D1396" s="44" t="n">
        <x:v>47391</x:v>
      </x:c>
      <x:c r="E1396" s="42" t="str">
        <x:v>Centroavante</x:v>
      </x:c>
      <x:c r="F1396" s="42" t="str">
        <x:v>AFC Ajax</x:v>
      </x:c>
      <x:c r="G1396" s="46"/>
      <x:c r="H1396" s="46"/>
      <x:c r="I1396" s="46"/>
      <x:c r="J1396" s="46"/>
      <x:c r="K1396" s="46" t="str">
        <x:f>IF(COUNT(G1396,I1396)=0,"",AVERAGE(G1396,I1396))</x:f>
      </x:c>
      <x:c r="L1396" s="46" t="str">
        <x:f>IF(COUNT(H1396,J1396)=0,"",AVERAGE(H1396,J1396))</x:f>
      </x:c>
      <x:c r="M1396" s="46" t="str">
        <x:f>IF(OR(K1396="",L1396=""),"",L1396-K1396)</x:f>
      </x:c>
      <x:c r="N1396" s="46" t="str">
        <x:f>IF(OR(K1396="",A1395&lt;&gt;A1396,K1395=""),"",K1396-K1395)</x:f>
      </x:c>
      <x:c r="O1396" s="42" t="str">
        <x:v>Sem informação</x:v>
      </x:c>
      <x:c r="P1396" s="42"/>
      <x:c r="Q1396" s="42" t="str"/>
      <x:c r="R1396" s="42" t="str"/>
      <x:c r="S1396" s="42" t="str"/>
      <x:c r="T1396" s="42" t="str"/>
    </x:row>
    <x:row r="1397">
      <x:c r="A1397" s="42" t="str">
        <x:v>Marcos Leonardo</x:v>
      </x:c>
      <x:c r="B1397" s="42" t="n">
        <x:v>2029</x:v>
      </x:c>
      <x:c r="C1397" s="42" t="str">
        <x:v>T4</x:v>
      </x:c>
      <x:c r="D1397" s="44" t="n">
        <x:v>47483</x:v>
      </x:c>
      <x:c r="E1397" s="42" t="str">
        <x:v>Centroavante</x:v>
      </x:c>
      <x:c r="F1397" s="42" t="str">
        <x:v>AFC Ajax</x:v>
      </x:c>
      <x:c r="G1397" s="46"/>
      <x:c r="H1397" s="46"/>
      <x:c r="I1397" s="46"/>
      <x:c r="J1397" s="46"/>
      <x:c r="K1397" s="46" t="str">
        <x:f>IF(COUNT(G1397,I1397)=0,"",AVERAGE(G1397,I1397))</x:f>
      </x:c>
      <x:c r="L1397" s="46" t="str">
        <x:f>IF(COUNT(H1397,J1397)=0,"",AVERAGE(H1397,J1397))</x:f>
      </x:c>
      <x:c r="M1397" s="46" t="str">
        <x:f>IF(OR(K1397="",L1397=""),"",L1397-K1397)</x:f>
      </x:c>
      <x:c r="N1397" s="46" t="str">
        <x:f>IF(OR(K1397="",A1396&lt;&gt;A1397,K1396=""),"",K1397-K1396)</x:f>
      </x:c>
      <x:c r="O1397" s="42" t="str">
        <x:v>Sem informação</x:v>
      </x:c>
      <x:c r="P1397" s="42"/>
      <x:c r="Q1397" s="42" t="str"/>
      <x:c r="R1397" s="42" t="str"/>
      <x:c r="S1397" s="42" t="str"/>
      <x:c r="T1397" s="42" t="str"/>
    </x:row>
    <x:row r="1398">
      <x:c r="A1398" s="42" t="str">
        <x:v>Marcos Leonardo</x:v>
      </x:c>
      <x:c r="B1398" s="42" t="n">
        <x:v>2030</x:v>
      </x:c>
      <x:c r="C1398" s="42" t="str">
        <x:v>T1</x:v>
      </x:c>
      <x:c r="D1398" s="44" t="n">
        <x:v>47573</x:v>
      </x:c>
      <x:c r="E1398" s="42" t="str">
        <x:v>Centroavante</x:v>
      </x:c>
      <x:c r="F1398" s="42" t="str">
        <x:v>AFC Ajax</x:v>
      </x:c>
      <x:c r="G1398" s="46"/>
      <x:c r="H1398" s="46"/>
      <x:c r="I1398" s="46"/>
      <x:c r="J1398" s="46"/>
      <x:c r="K1398" s="46" t="str">
        <x:f>IF(COUNT(G1398,I1398)=0,"",AVERAGE(G1398,I1398))</x:f>
      </x:c>
      <x:c r="L1398" s="46" t="str">
        <x:f>IF(COUNT(H1398,J1398)=0,"",AVERAGE(H1398,J1398))</x:f>
      </x:c>
      <x:c r="M1398" s="46" t="str">
        <x:f>IF(OR(K1398="",L1398=""),"",L1398-K1398)</x:f>
      </x:c>
      <x:c r="N1398" s="46" t="str">
        <x:f>IF(OR(K1398="",A1397&lt;&gt;A1398,K1397=""),"",K1398-K1397)</x:f>
      </x:c>
      <x:c r="O1398" s="42" t="str">
        <x:v>Sem informação</x:v>
      </x:c>
      <x:c r="P1398" s="42"/>
      <x:c r="Q1398" s="42" t="str"/>
      <x:c r="R1398" s="42" t="str"/>
      <x:c r="S1398" s="42" t="str"/>
      <x:c r="T1398" s="42" t="str"/>
    </x:row>
    <x:row r="1399">
      <x:c r="A1399" s="42" t="str">
        <x:v>Marcos Leonardo</x:v>
      </x:c>
      <x:c r="B1399" s="42" t="n">
        <x:v>2030</x:v>
      </x:c>
      <x:c r="C1399" s="42" t="str">
        <x:v>T2</x:v>
      </x:c>
      <x:c r="D1399" s="44" t="n">
        <x:v>47664</x:v>
      </x:c>
      <x:c r="E1399" s="42" t="str">
        <x:v>Centroavante</x:v>
      </x:c>
      <x:c r="F1399" s="42" t="str">
        <x:v>AFC Ajax</x:v>
      </x:c>
      <x:c r="G1399" s="46"/>
      <x:c r="H1399" s="46"/>
      <x:c r="I1399" s="46"/>
      <x:c r="J1399" s="46"/>
      <x:c r="K1399" s="46" t="str">
        <x:f>IF(COUNT(G1399,I1399)=0,"",AVERAGE(G1399,I1399))</x:f>
      </x:c>
      <x:c r="L1399" s="46" t="str">
        <x:f>IF(COUNT(H1399,J1399)=0,"",AVERAGE(H1399,J1399))</x:f>
      </x:c>
      <x:c r="M1399" s="46" t="str">
        <x:f>IF(OR(K1399="",L1399=""),"",L1399-K1399)</x:f>
      </x:c>
      <x:c r="N1399" s="46" t="str">
        <x:f>IF(OR(K1399="",A1398&lt;&gt;A1399,K1398=""),"",K1399-K1398)</x:f>
      </x:c>
      <x:c r="O1399" s="42" t="str">
        <x:v>Sem informação</x:v>
      </x:c>
      <x:c r="P1399" s="42"/>
      <x:c r="Q1399" s="42" t="str"/>
      <x:c r="R1399" s="42" t="str"/>
      <x:c r="S1399" s="42" t="str"/>
      <x:c r="T1399" s="42" t="str"/>
    </x:row>
    <x:row r="1400">
      <x:c r="A1400" s="42" t="str">
        <x:v>Marcos Leonardo</x:v>
      </x:c>
      <x:c r="B1400" s="42" t="n">
        <x:v>2030</x:v>
      </x:c>
      <x:c r="C1400" s="42" t="str">
        <x:v>T3</x:v>
      </x:c>
      <x:c r="D1400" s="44" t="n">
        <x:v>47756</x:v>
      </x:c>
      <x:c r="E1400" s="42" t="str">
        <x:v>Centroavante</x:v>
      </x:c>
      <x:c r="F1400" s="42" t="str">
        <x:v>AFC Ajax</x:v>
      </x:c>
      <x:c r="G1400" s="46"/>
      <x:c r="H1400" s="46"/>
      <x:c r="I1400" s="46"/>
      <x:c r="J1400" s="46"/>
      <x:c r="K1400" s="46" t="str">
        <x:f>IF(COUNT(G1400,I1400)=0,"",AVERAGE(G1400,I1400))</x:f>
      </x:c>
      <x:c r="L1400" s="46" t="str">
        <x:f>IF(COUNT(H1400,J1400)=0,"",AVERAGE(H1400,J1400))</x:f>
      </x:c>
      <x:c r="M1400" s="46" t="str">
        <x:f>IF(OR(K1400="",L1400=""),"",L1400-K1400)</x:f>
      </x:c>
      <x:c r="N1400" s="46" t="str">
        <x:f>IF(OR(K1400="",A1399&lt;&gt;A1400,K1399=""),"",K1400-K1399)</x:f>
      </x:c>
      <x:c r="O1400" s="42" t="str">
        <x:v>Sem informação</x:v>
      </x:c>
      <x:c r="P1400" s="42"/>
      <x:c r="Q1400" s="42" t="str"/>
      <x:c r="R1400" s="42" t="str"/>
      <x:c r="S1400" s="42" t="str"/>
      <x:c r="T1400" s="42" t="str"/>
    </x:row>
    <x:row r="1401">
      <x:c r="A1401" s="42" t="str">
        <x:v>Marcos Leonardo</x:v>
      </x:c>
      <x:c r="B1401" s="42" t="n">
        <x:v>2030</x:v>
      </x:c>
      <x:c r="C1401" s="42" t="str">
        <x:v>T4</x:v>
      </x:c>
      <x:c r="D1401" s="44" t="n">
        <x:v>47848</x:v>
      </x:c>
      <x:c r="E1401" s="42" t="str">
        <x:v>Centroavante</x:v>
      </x:c>
      <x:c r="F1401" s="42" t="str">
        <x:v>AFC Ajax</x:v>
      </x:c>
      <x:c r="G1401" s="46"/>
      <x:c r="H1401" s="46"/>
      <x:c r="I1401" s="46"/>
      <x:c r="J1401" s="46"/>
      <x:c r="K1401" s="46" t="str">
        <x:f>IF(COUNT(G1401,I1401)=0,"",AVERAGE(G1401,I1401))</x:f>
      </x:c>
      <x:c r="L1401" s="46" t="str">
        <x:f>IF(COUNT(H1401,J1401)=0,"",AVERAGE(H1401,J1401))</x:f>
      </x:c>
      <x:c r="M1401" s="46" t="str">
        <x:f>IF(OR(K1401="",L1401=""),"",L1401-K1401)</x:f>
      </x:c>
      <x:c r="N1401" s="46" t="str">
        <x:f>IF(OR(K1401="",A1400&lt;&gt;A1401,K1400=""),"",K1401-K1400)</x:f>
      </x:c>
      <x:c r="O1401" s="42" t="str">
        <x:v>Sem informação</x:v>
      </x:c>
      <x:c r="P1401" s="42"/>
      <x:c r="Q1401" s="42" t="str"/>
      <x:c r="R1401" s="42" t="str"/>
      <x:c r="S1401" s="42" t="str"/>
      <x:c r="T1401" s="42" t="str"/>
    </x:row>
    <x:row r="1402">
      <x:c r="A1402" s="42" t="str">
        <x:v>Kaio Jorge</x:v>
      </x:c>
      <x:c r="B1402" s="42" t="n">
        <x:v>2026</x:v>
      </x:c>
      <x:c r="C1402" s="42" t="str">
        <x:v>T1</x:v>
      </x:c>
      <x:c r="D1402" s="44" t="n">
        <x:v>46112</x:v>
      </x:c>
      <x:c r="E1402" s="42" t="str">
        <x:v>Centroavante</x:v>
      </x:c>
      <x:c r="F1402" s="42" t="str">
        <x:v>Cruzeiro EC</x:v>
      </x:c>
      <x:c r="G1402" s="46"/>
      <x:c r="H1402" s="46"/>
      <x:c r="I1402" s="46"/>
      <x:c r="J1402" s="46"/>
      <x:c r="K1402" s="46" t="str">
        <x:f>IF(COUNT(G1402,I1402)=0,"",AVERAGE(G1402,I1402))</x:f>
      </x:c>
      <x:c r="L1402" s="46" t="str">
        <x:f>IF(COUNT(H1402,J1402)=0,"",AVERAGE(H1402,J1402))</x:f>
      </x:c>
      <x:c r="M1402" s="46" t="str">
        <x:f>IF(OR(K1402="",L1402=""),"",L1402-K1402)</x:f>
      </x:c>
      <x:c r="N1402" s="46" t="str">
        <x:f>IF(OR(K1402="",A1401&lt;&gt;A1402,K1401=""),"",K1402-K1401)</x:f>
      </x:c>
      <x:c r="O1402" s="42" t="str">
        <x:v>Sem informação</x:v>
      </x:c>
      <x:c r="P1402" s="42"/>
      <x:c r="Q1402" s="42" t="str"/>
      <x:c r="R1402" s="42" t="str"/>
      <x:c r="S1402" s="42" t="str"/>
      <x:c r="T1402" s="42" t="str"/>
    </x:row>
    <x:row r="1403">
      <x:c r="A1403" s="42" t="str">
        <x:v>Kaio Jorge</x:v>
      </x:c>
      <x:c r="B1403" s="42" t="n">
        <x:v>2026</x:v>
      </x:c>
      <x:c r="C1403" s="42" t="str">
        <x:v>T2</x:v>
      </x:c>
      <x:c r="D1403" s="44" t="n">
        <x:v>46203</x:v>
      </x:c>
      <x:c r="E1403" s="42" t="str">
        <x:v>Centroavante</x:v>
      </x:c>
      <x:c r="F1403" s="42" t="str">
        <x:v>Cruzeiro EC</x:v>
      </x:c>
      <x:c r="G1403" s="46"/>
      <x:c r="H1403" s="46"/>
      <x:c r="I1403" s="46"/>
      <x:c r="J1403" s="46"/>
      <x:c r="K1403" s="46" t="str">
        <x:f>IF(COUNT(G1403,I1403)=0,"",AVERAGE(G1403,I1403))</x:f>
      </x:c>
      <x:c r="L1403" s="46" t="str">
        <x:f>IF(COUNT(H1403,J1403)=0,"",AVERAGE(H1403,J1403))</x:f>
      </x:c>
      <x:c r="M1403" s="46" t="str">
        <x:f>IF(OR(K1403="",L1403=""),"",L1403-K1403)</x:f>
      </x:c>
      <x:c r="N1403" s="46" t="str">
        <x:f>IF(OR(K1403="",A1402&lt;&gt;A1403,K1402=""),"",K1403-K1402)</x:f>
      </x:c>
      <x:c r="O1403" s="42" t="str">
        <x:v>Sem informação</x:v>
      </x:c>
      <x:c r="P1403" s="42"/>
      <x:c r="Q1403" s="42" t="str"/>
      <x:c r="R1403" s="42" t="str"/>
      <x:c r="S1403" s="42" t="str"/>
      <x:c r="T1403" s="42" t="str"/>
    </x:row>
    <x:row r="1404">
      <x:c r="A1404" s="42" t="str">
        <x:v>Kaio Jorge</x:v>
      </x:c>
      <x:c r="B1404" s="42" t="n">
        <x:v>2026</x:v>
      </x:c>
      <x:c r="C1404" s="42" t="str">
        <x:v>T3</x:v>
      </x:c>
      <x:c r="D1404" s="44" t="n">
        <x:v>46295</x:v>
      </x:c>
      <x:c r="E1404" s="42" t="str">
        <x:v>Centroavante</x:v>
      </x:c>
      <x:c r="F1404" s="42" t="str">
        <x:v>Cruzeiro EC</x:v>
      </x:c>
      <x:c r="G1404" s="46"/>
      <x:c r="H1404" s="46"/>
      <x:c r="I1404" s="46"/>
      <x:c r="J1404" s="46"/>
      <x:c r="K1404" s="46" t="str">
        <x:f>IF(COUNT(G1404,I1404)=0,"",AVERAGE(G1404,I1404))</x:f>
      </x:c>
      <x:c r="L1404" s="46" t="str">
        <x:f>IF(COUNT(H1404,J1404)=0,"",AVERAGE(H1404,J1404))</x:f>
      </x:c>
      <x:c r="M1404" s="46" t="str">
        <x:f>IF(OR(K1404="",L1404=""),"",L1404-K1404)</x:f>
      </x:c>
      <x:c r="N1404" s="46" t="str">
        <x:f>IF(OR(K1404="",A1403&lt;&gt;A1404,K1403=""),"",K1404-K1403)</x:f>
      </x:c>
      <x:c r="O1404" s="42" t="str">
        <x:v>Sem informação</x:v>
      </x:c>
      <x:c r="P1404" s="42"/>
      <x:c r="Q1404" s="42" t="str"/>
      <x:c r="R1404" s="42" t="str"/>
      <x:c r="S1404" s="42" t="str"/>
      <x:c r="T1404" s="42" t="str"/>
    </x:row>
    <x:row r="1405">
      <x:c r="A1405" s="42" t="str">
        <x:v>Kaio Jorge</x:v>
      </x:c>
      <x:c r="B1405" s="42" t="n">
        <x:v>2026</x:v>
      </x:c>
      <x:c r="C1405" s="42" t="str">
        <x:v>T4</x:v>
      </x:c>
      <x:c r="D1405" s="44" t="n">
        <x:v>46387</x:v>
      </x:c>
      <x:c r="E1405" s="42" t="str">
        <x:v>Centroavante</x:v>
      </x:c>
      <x:c r="F1405" s="42" t="str">
        <x:v>Cruzeiro EC</x:v>
      </x:c>
      <x:c r="G1405" s="46"/>
      <x:c r="H1405" s="46"/>
      <x:c r="I1405" s="46"/>
      <x:c r="J1405" s="46"/>
      <x:c r="K1405" s="46" t="str">
        <x:f>IF(COUNT(G1405,I1405)=0,"",AVERAGE(G1405,I1405))</x:f>
      </x:c>
      <x:c r="L1405" s="46" t="str">
        <x:f>IF(COUNT(H1405,J1405)=0,"",AVERAGE(H1405,J1405))</x:f>
      </x:c>
      <x:c r="M1405" s="46" t="str">
        <x:f>IF(OR(K1405="",L1405=""),"",L1405-K1405)</x:f>
      </x:c>
      <x:c r="N1405" s="46" t="str">
        <x:f>IF(OR(K1405="",A1404&lt;&gt;A1405,K1404=""),"",K1405-K1404)</x:f>
      </x:c>
      <x:c r="O1405" s="42" t="str">
        <x:v>Sem informação</x:v>
      </x:c>
      <x:c r="P1405" s="42"/>
      <x:c r="Q1405" s="42" t="str"/>
      <x:c r="R1405" s="42" t="str"/>
      <x:c r="S1405" s="42" t="str"/>
      <x:c r="T1405" s="42" t="str"/>
    </x:row>
    <x:row r="1406">
      <x:c r="A1406" s="42" t="str">
        <x:v>Kaio Jorge</x:v>
      </x:c>
      <x:c r="B1406" s="42" t="n">
        <x:v>2027</x:v>
      </x:c>
      <x:c r="C1406" s="42" t="str">
        <x:v>T1</x:v>
      </x:c>
      <x:c r="D1406" s="44" t="n">
        <x:v>46477</x:v>
      </x:c>
      <x:c r="E1406" s="42" t="str">
        <x:v>Centroavante</x:v>
      </x:c>
      <x:c r="F1406" s="42" t="str">
        <x:v>Cruzeiro EC</x:v>
      </x:c>
      <x:c r="G1406" s="46"/>
      <x:c r="H1406" s="46"/>
      <x:c r="I1406" s="46"/>
      <x:c r="J1406" s="46"/>
      <x:c r="K1406" s="46" t="str">
        <x:f>IF(COUNT(G1406,I1406)=0,"",AVERAGE(G1406,I1406))</x:f>
      </x:c>
      <x:c r="L1406" s="46" t="str">
        <x:f>IF(COUNT(H1406,J1406)=0,"",AVERAGE(H1406,J1406))</x:f>
      </x:c>
      <x:c r="M1406" s="46" t="str">
        <x:f>IF(OR(K1406="",L1406=""),"",L1406-K1406)</x:f>
      </x:c>
      <x:c r="N1406" s="46" t="str">
        <x:f>IF(OR(K1406="",A1405&lt;&gt;A1406,K1405=""),"",K1406-K1405)</x:f>
      </x:c>
      <x:c r="O1406" s="42" t="str">
        <x:v>Sem informação</x:v>
      </x:c>
      <x:c r="P1406" s="42"/>
      <x:c r="Q1406" s="42" t="str"/>
      <x:c r="R1406" s="42" t="str"/>
      <x:c r="S1406" s="42" t="str"/>
      <x:c r="T1406" s="42" t="str"/>
    </x:row>
    <x:row r="1407">
      <x:c r="A1407" s="42" t="str">
        <x:v>Kaio Jorge</x:v>
      </x:c>
      <x:c r="B1407" s="42" t="n">
        <x:v>2027</x:v>
      </x:c>
      <x:c r="C1407" s="42" t="str">
        <x:v>T2</x:v>
      </x:c>
      <x:c r="D1407" s="44" t="n">
        <x:v>46568</x:v>
      </x:c>
      <x:c r="E1407" s="42" t="str">
        <x:v>Centroavante</x:v>
      </x:c>
      <x:c r="F1407" s="42" t="str">
        <x:v>Cruzeiro EC</x:v>
      </x:c>
      <x:c r="G1407" s="46"/>
      <x:c r="H1407" s="46"/>
      <x:c r="I1407" s="46"/>
      <x:c r="J1407" s="46"/>
      <x:c r="K1407" s="46" t="str">
        <x:f>IF(COUNT(G1407,I1407)=0,"",AVERAGE(G1407,I1407))</x:f>
      </x:c>
      <x:c r="L1407" s="46" t="str">
        <x:f>IF(COUNT(H1407,J1407)=0,"",AVERAGE(H1407,J1407))</x:f>
      </x:c>
      <x:c r="M1407" s="46" t="str">
        <x:f>IF(OR(K1407="",L1407=""),"",L1407-K1407)</x:f>
      </x:c>
      <x:c r="N1407" s="46" t="str">
        <x:f>IF(OR(K1407="",A1406&lt;&gt;A1407,K1406=""),"",K1407-K1406)</x:f>
      </x:c>
      <x:c r="O1407" s="42" t="str">
        <x:v>Sem informação</x:v>
      </x:c>
      <x:c r="P1407" s="42"/>
      <x:c r="Q1407" s="42" t="str"/>
      <x:c r="R1407" s="42" t="str"/>
      <x:c r="S1407" s="42" t="str"/>
      <x:c r="T1407" s="42" t="str"/>
    </x:row>
    <x:row r="1408">
      <x:c r="A1408" s="42" t="str">
        <x:v>Kaio Jorge</x:v>
      </x:c>
      <x:c r="B1408" s="42" t="n">
        <x:v>2027</x:v>
      </x:c>
      <x:c r="C1408" s="42" t="str">
        <x:v>T3</x:v>
      </x:c>
      <x:c r="D1408" s="44" t="n">
        <x:v>46660</x:v>
      </x:c>
      <x:c r="E1408" s="42" t="str">
        <x:v>Centroavante</x:v>
      </x:c>
      <x:c r="F1408" s="42" t="str">
        <x:v>Cruzeiro EC</x:v>
      </x:c>
      <x:c r="G1408" s="46"/>
      <x:c r="H1408" s="46"/>
      <x:c r="I1408" s="46"/>
      <x:c r="J1408" s="46"/>
      <x:c r="K1408" s="46" t="str">
        <x:f>IF(COUNT(G1408,I1408)=0,"",AVERAGE(G1408,I1408))</x:f>
      </x:c>
      <x:c r="L1408" s="46" t="str">
        <x:f>IF(COUNT(H1408,J1408)=0,"",AVERAGE(H1408,J1408))</x:f>
      </x:c>
      <x:c r="M1408" s="46" t="str">
        <x:f>IF(OR(K1408="",L1408=""),"",L1408-K1408)</x:f>
      </x:c>
      <x:c r="N1408" s="46" t="str">
        <x:f>IF(OR(K1408="",A1407&lt;&gt;A1408,K1407=""),"",K1408-K1407)</x:f>
      </x:c>
      <x:c r="O1408" s="42" t="str">
        <x:v>Sem informação</x:v>
      </x:c>
      <x:c r="P1408" s="42"/>
      <x:c r="Q1408" s="42" t="str"/>
      <x:c r="R1408" s="42" t="str"/>
      <x:c r="S1408" s="42" t="str"/>
      <x:c r="T1408" s="42" t="str"/>
    </x:row>
    <x:row r="1409">
      <x:c r="A1409" s="42" t="str">
        <x:v>Kaio Jorge</x:v>
      </x:c>
      <x:c r="B1409" s="42" t="n">
        <x:v>2027</x:v>
      </x:c>
      <x:c r="C1409" s="42" t="str">
        <x:v>T4</x:v>
      </x:c>
      <x:c r="D1409" s="44" t="n">
        <x:v>46752</x:v>
      </x:c>
      <x:c r="E1409" s="42" t="str">
        <x:v>Centroavante</x:v>
      </x:c>
      <x:c r="F1409" s="42" t="str">
        <x:v>Cruzeiro EC</x:v>
      </x:c>
      <x:c r="G1409" s="46"/>
      <x:c r="H1409" s="46"/>
      <x:c r="I1409" s="46"/>
      <x:c r="J1409" s="46"/>
      <x:c r="K1409" s="46" t="str">
        <x:f>IF(COUNT(G1409,I1409)=0,"",AVERAGE(G1409,I1409))</x:f>
      </x:c>
      <x:c r="L1409" s="46" t="str">
        <x:f>IF(COUNT(H1409,J1409)=0,"",AVERAGE(H1409,J1409))</x:f>
      </x:c>
      <x:c r="M1409" s="46" t="str">
        <x:f>IF(OR(K1409="",L1409=""),"",L1409-K1409)</x:f>
      </x:c>
      <x:c r="N1409" s="46" t="str">
        <x:f>IF(OR(K1409="",A1408&lt;&gt;A1409,K1408=""),"",K1409-K1408)</x:f>
      </x:c>
      <x:c r="O1409" s="42" t="str">
        <x:v>Sem informação</x:v>
      </x:c>
      <x:c r="P1409" s="42"/>
      <x:c r="Q1409" s="42" t="str"/>
      <x:c r="R1409" s="42" t="str"/>
      <x:c r="S1409" s="42" t="str"/>
      <x:c r="T1409" s="42" t="str"/>
    </x:row>
    <x:row r="1410">
      <x:c r="A1410" s="42" t="str">
        <x:v>Kaio Jorge</x:v>
      </x:c>
      <x:c r="B1410" s="42" t="n">
        <x:v>2028</x:v>
      </x:c>
      <x:c r="C1410" s="42" t="str">
        <x:v>T1</x:v>
      </x:c>
      <x:c r="D1410" s="44" t="n">
        <x:v>46843</x:v>
      </x:c>
      <x:c r="E1410" s="42" t="str">
        <x:v>Centroavante</x:v>
      </x:c>
      <x:c r="F1410" s="42" t="str">
        <x:v>Cruzeiro EC</x:v>
      </x:c>
      <x:c r="G1410" s="46"/>
      <x:c r="H1410" s="46"/>
      <x:c r="I1410" s="46"/>
      <x:c r="J1410" s="46"/>
      <x:c r="K1410" s="46" t="str">
        <x:f>IF(COUNT(G1410,I1410)=0,"",AVERAGE(G1410,I1410))</x:f>
      </x:c>
      <x:c r="L1410" s="46" t="str">
        <x:f>IF(COUNT(H1410,J1410)=0,"",AVERAGE(H1410,J1410))</x:f>
      </x:c>
      <x:c r="M1410" s="46" t="str">
        <x:f>IF(OR(K1410="",L1410=""),"",L1410-K1410)</x:f>
      </x:c>
      <x:c r="N1410" s="46" t="str">
        <x:f>IF(OR(K1410="",A1409&lt;&gt;A1410,K1409=""),"",K1410-K1409)</x:f>
      </x:c>
      <x:c r="O1410" s="42" t="str">
        <x:v>Sem informação</x:v>
      </x:c>
      <x:c r="P1410" s="42"/>
      <x:c r="Q1410" s="42" t="str"/>
      <x:c r="R1410" s="42" t="str"/>
      <x:c r="S1410" s="42" t="str"/>
      <x:c r="T1410" s="42" t="str"/>
    </x:row>
    <x:row r="1411">
      <x:c r="A1411" s="42" t="str">
        <x:v>Kaio Jorge</x:v>
      </x:c>
      <x:c r="B1411" s="42" t="n">
        <x:v>2028</x:v>
      </x:c>
      <x:c r="C1411" s="42" t="str">
        <x:v>T2</x:v>
      </x:c>
      <x:c r="D1411" s="44" t="n">
        <x:v>46934</x:v>
      </x:c>
      <x:c r="E1411" s="42" t="str">
        <x:v>Centroavante</x:v>
      </x:c>
      <x:c r="F1411" s="42" t="str">
        <x:v>Cruzeiro EC</x:v>
      </x:c>
      <x:c r="G1411" s="46"/>
      <x:c r="H1411" s="46"/>
      <x:c r="I1411" s="46"/>
      <x:c r="J1411" s="46"/>
      <x:c r="K1411" s="46" t="str">
        <x:f>IF(COUNT(G1411,I1411)=0,"",AVERAGE(G1411,I1411))</x:f>
      </x:c>
      <x:c r="L1411" s="46" t="str">
        <x:f>IF(COUNT(H1411,J1411)=0,"",AVERAGE(H1411,J1411))</x:f>
      </x:c>
      <x:c r="M1411" s="46" t="str">
        <x:f>IF(OR(K1411="",L1411=""),"",L1411-K1411)</x:f>
      </x:c>
      <x:c r="N1411" s="46" t="str">
        <x:f>IF(OR(K1411="",A1410&lt;&gt;A1411,K1410=""),"",K1411-K1410)</x:f>
      </x:c>
      <x:c r="O1411" s="42" t="str">
        <x:v>Sem informação</x:v>
      </x:c>
      <x:c r="P1411" s="42"/>
      <x:c r="Q1411" s="42" t="str"/>
      <x:c r="R1411" s="42" t="str"/>
      <x:c r="S1411" s="42" t="str"/>
      <x:c r="T1411" s="42" t="str"/>
    </x:row>
    <x:row r="1412">
      <x:c r="A1412" s="42" t="str">
        <x:v>Kaio Jorge</x:v>
      </x:c>
      <x:c r="B1412" s="42" t="n">
        <x:v>2028</x:v>
      </x:c>
      <x:c r="C1412" s="42" t="str">
        <x:v>T3</x:v>
      </x:c>
      <x:c r="D1412" s="44" t="n">
        <x:v>47026</x:v>
      </x:c>
      <x:c r="E1412" s="42" t="str">
        <x:v>Centroavante</x:v>
      </x:c>
      <x:c r="F1412" s="42" t="str">
        <x:v>Cruzeiro EC</x:v>
      </x:c>
      <x:c r="G1412" s="46"/>
      <x:c r="H1412" s="46"/>
      <x:c r="I1412" s="46"/>
      <x:c r="J1412" s="46"/>
      <x:c r="K1412" s="46" t="str">
        <x:f>IF(COUNT(G1412,I1412)=0,"",AVERAGE(G1412,I1412))</x:f>
      </x:c>
      <x:c r="L1412" s="46" t="str">
        <x:f>IF(COUNT(H1412,J1412)=0,"",AVERAGE(H1412,J1412))</x:f>
      </x:c>
      <x:c r="M1412" s="46" t="str">
        <x:f>IF(OR(K1412="",L1412=""),"",L1412-K1412)</x:f>
      </x:c>
      <x:c r="N1412" s="46" t="str">
        <x:f>IF(OR(K1412="",A1411&lt;&gt;A1412,K1411=""),"",K1412-K1411)</x:f>
      </x:c>
      <x:c r="O1412" s="42" t="str">
        <x:v>Sem informação</x:v>
      </x:c>
      <x:c r="P1412" s="42"/>
      <x:c r="Q1412" s="42" t="str"/>
      <x:c r="R1412" s="42" t="str"/>
      <x:c r="S1412" s="42" t="str"/>
      <x:c r="T1412" s="42" t="str"/>
    </x:row>
    <x:row r="1413">
      <x:c r="A1413" s="42" t="str">
        <x:v>Kaio Jorge</x:v>
      </x:c>
      <x:c r="B1413" s="42" t="n">
        <x:v>2028</x:v>
      </x:c>
      <x:c r="C1413" s="42" t="str">
        <x:v>T4</x:v>
      </x:c>
      <x:c r="D1413" s="44" t="n">
        <x:v>47118</x:v>
      </x:c>
      <x:c r="E1413" s="42" t="str">
        <x:v>Centroavante</x:v>
      </x:c>
      <x:c r="F1413" s="42" t="str">
        <x:v>Cruzeiro EC</x:v>
      </x:c>
      <x:c r="G1413" s="46"/>
      <x:c r="H1413" s="46"/>
      <x:c r="I1413" s="46"/>
      <x:c r="J1413" s="46"/>
      <x:c r="K1413" s="46" t="str">
        <x:f>IF(COUNT(G1413,I1413)=0,"",AVERAGE(G1413,I1413))</x:f>
      </x:c>
      <x:c r="L1413" s="46" t="str">
        <x:f>IF(COUNT(H1413,J1413)=0,"",AVERAGE(H1413,J1413))</x:f>
      </x:c>
      <x:c r="M1413" s="46" t="str">
        <x:f>IF(OR(K1413="",L1413=""),"",L1413-K1413)</x:f>
      </x:c>
      <x:c r="N1413" s="46" t="str">
        <x:f>IF(OR(K1413="",A1412&lt;&gt;A1413,K1412=""),"",K1413-K1412)</x:f>
      </x:c>
      <x:c r="O1413" s="42" t="str">
        <x:v>Sem informação</x:v>
      </x:c>
      <x:c r="P1413" s="42"/>
      <x:c r="Q1413" s="42" t="str"/>
      <x:c r="R1413" s="42" t="str"/>
      <x:c r="S1413" s="42" t="str"/>
      <x:c r="T1413" s="42" t="str"/>
    </x:row>
    <x:row r="1414">
      <x:c r="A1414" s="42" t="str">
        <x:v>Kaio Jorge</x:v>
      </x:c>
      <x:c r="B1414" s="42" t="n">
        <x:v>2029</x:v>
      </x:c>
      <x:c r="C1414" s="42" t="str">
        <x:v>T1</x:v>
      </x:c>
      <x:c r="D1414" s="44" t="n">
        <x:v>47208</x:v>
      </x:c>
      <x:c r="E1414" s="42" t="str">
        <x:v>Centroavante</x:v>
      </x:c>
      <x:c r="F1414" s="42" t="str">
        <x:v>Cruzeiro EC</x:v>
      </x:c>
      <x:c r="G1414" s="46"/>
      <x:c r="H1414" s="46"/>
      <x:c r="I1414" s="46"/>
      <x:c r="J1414" s="46"/>
      <x:c r="K1414" s="46" t="str">
        <x:f>IF(COUNT(G1414,I1414)=0,"",AVERAGE(G1414,I1414))</x:f>
      </x:c>
      <x:c r="L1414" s="46" t="str">
        <x:f>IF(COUNT(H1414,J1414)=0,"",AVERAGE(H1414,J1414))</x:f>
      </x:c>
      <x:c r="M1414" s="46" t="str">
        <x:f>IF(OR(K1414="",L1414=""),"",L1414-K1414)</x:f>
      </x:c>
      <x:c r="N1414" s="46" t="str">
        <x:f>IF(OR(K1414="",A1413&lt;&gt;A1414,K1413=""),"",K1414-K1413)</x:f>
      </x:c>
      <x:c r="O1414" s="42" t="str">
        <x:v>Sem informação</x:v>
      </x:c>
      <x:c r="P1414" s="42"/>
      <x:c r="Q1414" s="42" t="str"/>
      <x:c r="R1414" s="42" t="str"/>
      <x:c r="S1414" s="42" t="str"/>
      <x:c r="T1414" s="42" t="str"/>
    </x:row>
    <x:row r="1415">
      <x:c r="A1415" s="42" t="str">
        <x:v>Kaio Jorge</x:v>
      </x:c>
      <x:c r="B1415" s="42" t="n">
        <x:v>2029</x:v>
      </x:c>
      <x:c r="C1415" s="42" t="str">
        <x:v>T2</x:v>
      </x:c>
      <x:c r="D1415" s="44" t="n">
        <x:v>47299</x:v>
      </x:c>
      <x:c r="E1415" s="42" t="str">
        <x:v>Centroavante</x:v>
      </x:c>
      <x:c r="F1415" s="42" t="str">
        <x:v>Cruzeiro EC</x:v>
      </x:c>
      <x:c r="G1415" s="46"/>
      <x:c r="H1415" s="46"/>
      <x:c r="I1415" s="46"/>
      <x:c r="J1415" s="46"/>
      <x:c r="K1415" s="46" t="str">
        <x:f>IF(COUNT(G1415,I1415)=0,"",AVERAGE(G1415,I1415))</x:f>
      </x:c>
      <x:c r="L1415" s="46" t="str">
        <x:f>IF(COUNT(H1415,J1415)=0,"",AVERAGE(H1415,J1415))</x:f>
      </x:c>
      <x:c r="M1415" s="46" t="str">
        <x:f>IF(OR(K1415="",L1415=""),"",L1415-K1415)</x:f>
      </x:c>
      <x:c r="N1415" s="46" t="str">
        <x:f>IF(OR(K1415="",A1414&lt;&gt;A1415,K1414=""),"",K1415-K1414)</x:f>
      </x:c>
      <x:c r="O1415" s="42" t="str">
        <x:v>Sem informação</x:v>
      </x:c>
      <x:c r="P1415" s="42"/>
      <x:c r="Q1415" s="42" t="str"/>
      <x:c r="R1415" s="42" t="str"/>
      <x:c r="S1415" s="42" t="str"/>
      <x:c r="T1415" s="42" t="str"/>
    </x:row>
    <x:row r="1416">
      <x:c r="A1416" s="42" t="str">
        <x:v>Kaio Jorge</x:v>
      </x:c>
      <x:c r="B1416" s="42" t="n">
        <x:v>2029</x:v>
      </x:c>
      <x:c r="C1416" s="42" t="str">
        <x:v>T3</x:v>
      </x:c>
      <x:c r="D1416" s="44" t="n">
        <x:v>47391</x:v>
      </x:c>
      <x:c r="E1416" s="42" t="str">
        <x:v>Centroavante</x:v>
      </x:c>
      <x:c r="F1416" s="42" t="str">
        <x:v>Cruzeiro EC</x:v>
      </x:c>
      <x:c r="G1416" s="46"/>
      <x:c r="H1416" s="46"/>
      <x:c r="I1416" s="46"/>
      <x:c r="J1416" s="46"/>
      <x:c r="K1416" s="46" t="str">
        <x:f>IF(COUNT(G1416,I1416)=0,"",AVERAGE(G1416,I1416))</x:f>
      </x:c>
      <x:c r="L1416" s="46" t="str">
        <x:f>IF(COUNT(H1416,J1416)=0,"",AVERAGE(H1416,J1416))</x:f>
      </x:c>
      <x:c r="M1416" s="46" t="str">
        <x:f>IF(OR(K1416="",L1416=""),"",L1416-K1416)</x:f>
      </x:c>
      <x:c r="N1416" s="46" t="str">
        <x:f>IF(OR(K1416="",A1415&lt;&gt;A1416,K1415=""),"",K1416-K1415)</x:f>
      </x:c>
      <x:c r="O1416" s="42" t="str">
        <x:v>Sem informação</x:v>
      </x:c>
      <x:c r="P1416" s="42"/>
      <x:c r="Q1416" s="42" t="str"/>
      <x:c r="R1416" s="42" t="str"/>
      <x:c r="S1416" s="42" t="str"/>
      <x:c r="T1416" s="42" t="str"/>
    </x:row>
    <x:row r="1417">
      <x:c r="A1417" s="42" t="str">
        <x:v>Kaio Jorge</x:v>
      </x:c>
      <x:c r="B1417" s="42" t="n">
        <x:v>2029</x:v>
      </x:c>
      <x:c r="C1417" s="42" t="str">
        <x:v>T4</x:v>
      </x:c>
      <x:c r="D1417" s="44" t="n">
        <x:v>47483</x:v>
      </x:c>
      <x:c r="E1417" s="42" t="str">
        <x:v>Centroavante</x:v>
      </x:c>
      <x:c r="F1417" s="42" t="str">
        <x:v>Cruzeiro EC</x:v>
      </x:c>
      <x:c r="G1417" s="46"/>
      <x:c r="H1417" s="46"/>
      <x:c r="I1417" s="46"/>
      <x:c r="J1417" s="46"/>
      <x:c r="K1417" s="46" t="str">
        <x:f>IF(COUNT(G1417,I1417)=0,"",AVERAGE(G1417,I1417))</x:f>
      </x:c>
      <x:c r="L1417" s="46" t="str">
        <x:f>IF(COUNT(H1417,J1417)=0,"",AVERAGE(H1417,J1417))</x:f>
      </x:c>
      <x:c r="M1417" s="46" t="str">
        <x:f>IF(OR(K1417="",L1417=""),"",L1417-K1417)</x:f>
      </x:c>
      <x:c r="N1417" s="46" t="str">
        <x:f>IF(OR(K1417="",A1416&lt;&gt;A1417,K1416=""),"",K1417-K1416)</x:f>
      </x:c>
      <x:c r="O1417" s="42" t="str">
        <x:v>Sem informação</x:v>
      </x:c>
      <x:c r="P1417" s="42"/>
      <x:c r="Q1417" s="42" t="str"/>
      <x:c r="R1417" s="42" t="str"/>
      <x:c r="S1417" s="42" t="str"/>
      <x:c r="T1417" s="42" t="str"/>
    </x:row>
    <x:row r="1418">
      <x:c r="A1418" s="42" t="str">
        <x:v>Kaio Jorge</x:v>
      </x:c>
      <x:c r="B1418" s="42" t="n">
        <x:v>2030</x:v>
      </x:c>
      <x:c r="C1418" s="42" t="str">
        <x:v>T1</x:v>
      </x:c>
      <x:c r="D1418" s="44" t="n">
        <x:v>47573</x:v>
      </x:c>
      <x:c r="E1418" s="42" t="str">
        <x:v>Centroavante</x:v>
      </x:c>
      <x:c r="F1418" s="42" t="str">
        <x:v>Cruzeiro EC</x:v>
      </x:c>
      <x:c r="G1418" s="46"/>
      <x:c r="H1418" s="46"/>
      <x:c r="I1418" s="46"/>
      <x:c r="J1418" s="46"/>
      <x:c r="K1418" s="46" t="str">
        <x:f>IF(COUNT(G1418,I1418)=0,"",AVERAGE(G1418,I1418))</x:f>
      </x:c>
      <x:c r="L1418" s="46" t="str">
        <x:f>IF(COUNT(H1418,J1418)=0,"",AVERAGE(H1418,J1418))</x:f>
      </x:c>
      <x:c r="M1418" s="46" t="str">
        <x:f>IF(OR(K1418="",L1418=""),"",L1418-K1418)</x:f>
      </x:c>
      <x:c r="N1418" s="46" t="str">
        <x:f>IF(OR(K1418="",A1417&lt;&gt;A1418,K1417=""),"",K1418-K1417)</x:f>
      </x:c>
      <x:c r="O1418" s="42" t="str">
        <x:v>Sem informação</x:v>
      </x:c>
      <x:c r="P1418" s="42"/>
      <x:c r="Q1418" s="42" t="str"/>
      <x:c r="R1418" s="42" t="str"/>
      <x:c r="S1418" s="42" t="str"/>
      <x:c r="T1418" s="42" t="str"/>
    </x:row>
    <x:row r="1419">
      <x:c r="A1419" s="42" t="str">
        <x:v>Kaio Jorge</x:v>
      </x:c>
      <x:c r="B1419" s="42" t="n">
        <x:v>2030</x:v>
      </x:c>
      <x:c r="C1419" s="42" t="str">
        <x:v>T2</x:v>
      </x:c>
      <x:c r="D1419" s="44" t="n">
        <x:v>47664</x:v>
      </x:c>
      <x:c r="E1419" s="42" t="str">
        <x:v>Centroavante</x:v>
      </x:c>
      <x:c r="F1419" s="42" t="str">
        <x:v>Cruzeiro EC</x:v>
      </x:c>
      <x:c r="G1419" s="46"/>
      <x:c r="H1419" s="46"/>
      <x:c r="I1419" s="46"/>
      <x:c r="J1419" s="46"/>
      <x:c r="K1419" s="46" t="str">
        <x:f>IF(COUNT(G1419,I1419)=0,"",AVERAGE(G1419,I1419))</x:f>
      </x:c>
      <x:c r="L1419" s="46" t="str">
        <x:f>IF(COUNT(H1419,J1419)=0,"",AVERAGE(H1419,J1419))</x:f>
      </x:c>
      <x:c r="M1419" s="46" t="str">
        <x:f>IF(OR(K1419="",L1419=""),"",L1419-K1419)</x:f>
      </x:c>
      <x:c r="N1419" s="46" t="str">
        <x:f>IF(OR(K1419="",A1418&lt;&gt;A1419,K1418=""),"",K1419-K1418)</x:f>
      </x:c>
      <x:c r="O1419" s="42" t="str">
        <x:v>Sem informação</x:v>
      </x:c>
      <x:c r="P1419" s="42"/>
      <x:c r="Q1419" s="42" t="str"/>
      <x:c r="R1419" s="42" t="str"/>
      <x:c r="S1419" s="42" t="str"/>
      <x:c r="T1419" s="42" t="str"/>
    </x:row>
    <x:row r="1420">
      <x:c r="A1420" s="42" t="str">
        <x:v>Kaio Jorge</x:v>
      </x:c>
      <x:c r="B1420" s="42" t="n">
        <x:v>2030</x:v>
      </x:c>
      <x:c r="C1420" s="42" t="str">
        <x:v>T3</x:v>
      </x:c>
      <x:c r="D1420" s="44" t="n">
        <x:v>47756</x:v>
      </x:c>
      <x:c r="E1420" s="42" t="str">
        <x:v>Centroavante</x:v>
      </x:c>
      <x:c r="F1420" s="42" t="str">
        <x:v>Cruzeiro EC</x:v>
      </x:c>
      <x:c r="G1420" s="46"/>
      <x:c r="H1420" s="46"/>
      <x:c r="I1420" s="46"/>
      <x:c r="J1420" s="46"/>
      <x:c r="K1420" s="46" t="str">
        <x:f>IF(COUNT(G1420,I1420)=0,"",AVERAGE(G1420,I1420))</x:f>
      </x:c>
      <x:c r="L1420" s="46" t="str">
        <x:f>IF(COUNT(H1420,J1420)=0,"",AVERAGE(H1420,J1420))</x:f>
      </x:c>
      <x:c r="M1420" s="46" t="str">
        <x:f>IF(OR(K1420="",L1420=""),"",L1420-K1420)</x:f>
      </x:c>
      <x:c r="N1420" s="46" t="str">
        <x:f>IF(OR(K1420="",A1419&lt;&gt;A1420,K1419=""),"",K1420-K1419)</x:f>
      </x:c>
      <x:c r="O1420" s="42" t="str">
        <x:v>Sem informação</x:v>
      </x:c>
      <x:c r="P1420" s="42"/>
      <x:c r="Q1420" s="42" t="str"/>
      <x:c r="R1420" s="42" t="str"/>
      <x:c r="S1420" s="42" t="str"/>
      <x:c r="T1420" s="42" t="str"/>
    </x:row>
    <x:row r="1421">
      <x:c r="A1421" s="42" t="str">
        <x:v>Kaio Jorge</x:v>
      </x:c>
      <x:c r="B1421" s="42" t="n">
        <x:v>2030</x:v>
      </x:c>
      <x:c r="C1421" s="42" t="str">
        <x:v>T4</x:v>
      </x:c>
      <x:c r="D1421" s="44" t="n">
        <x:v>47848</x:v>
      </x:c>
      <x:c r="E1421" s="42" t="str">
        <x:v>Centroavante</x:v>
      </x:c>
      <x:c r="F1421" s="42" t="str">
        <x:v>Cruzeiro EC</x:v>
      </x:c>
      <x:c r="G1421" s="46"/>
      <x:c r="H1421" s="46"/>
      <x:c r="I1421" s="46"/>
      <x:c r="J1421" s="46"/>
      <x:c r="K1421" s="46" t="str">
        <x:f>IF(COUNT(G1421,I1421)=0,"",AVERAGE(G1421,I1421))</x:f>
      </x:c>
      <x:c r="L1421" s="46" t="str">
        <x:f>IF(COUNT(H1421,J1421)=0,"",AVERAGE(H1421,J1421))</x:f>
      </x:c>
      <x:c r="M1421" s="46" t="str">
        <x:f>IF(OR(K1421="",L1421=""),"",L1421-K1421)</x:f>
      </x:c>
      <x:c r="N1421" s="46" t="str">
        <x:f>IF(OR(K1421="",A1420&lt;&gt;A1421,K1420=""),"",K1421-K1420)</x:f>
      </x:c>
      <x:c r="O1421" s="42" t="str">
        <x:v>Sem informação</x:v>
      </x:c>
      <x:c r="P1421" s="42"/>
      <x:c r="Q1421" s="42" t="str"/>
      <x:c r="R1421" s="42" t="str"/>
      <x:c r="S1421" s="42" t="str"/>
      <x:c r="T1421" s="42" t="str"/>
    </x:row>
    <x:row r="1422">
      <x:c r="A1422" s="42" t="str">
        <x:v>Sávio</x:v>
      </x:c>
      <x:c r="B1422" s="42" t="n">
        <x:v>2026</x:v>
      </x:c>
      <x:c r="C1422" s="42" t="str">
        <x:v>T1</x:v>
      </x:c>
      <x:c r="D1422" s="44" t="n">
        <x:v>46112</x:v>
      </x:c>
      <x:c r="E1422" s="42" t="str">
        <x:v>Ponta-esquerda</x:v>
      </x:c>
      <x:c r="F1422" s="42" t="str">
        <x:v>Manchester City FC</x:v>
      </x:c>
      <x:c r="G1422" s="46"/>
      <x:c r="H1422" s="46"/>
      <x:c r="I1422" s="46"/>
      <x:c r="J1422" s="46"/>
      <x:c r="K1422" s="46" t="str">
        <x:f>IF(COUNT(G1422,I1422)=0,"",AVERAGE(G1422,I1422))</x:f>
      </x:c>
      <x:c r="L1422" s="46" t="str">
        <x:f>IF(COUNT(H1422,J1422)=0,"",AVERAGE(H1422,J1422))</x:f>
      </x:c>
      <x:c r="M1422" s="46" t="str">
        <x:f>IF(OR(K1422="",L1422=""),"",L1422-K1422)</x:f>
      </x:c>
      <x:c r="N1422" s="46" t="str">
        <x:f>IF(OR(K1422="",A1421&lt;&gt;A1422,K1421=""),"",K1422-K1421)</x:f>
      </x:c>
      <x:c r="O1422" s="42" t="str">
        <x:v>Sem informação</x:v>
      </x:c>
      <x:c r="P1422" s="42"/>
      <x:c r="Q1422" s="42" t="str"/>
      <x:c r="R1422" s="42" t="str"/>
      <x:c r="S1422" s="42" t="str"/>
      <x:c r="T1422" s="42" t="str"/>
    </x:row>
    <x:row r="1423">
      <x:c r="A1423" s="42" t="str">
        <x:v>Sávio</x:v>
      </x:c>
      <x:c r="B1423" s="42" t="n">
        <x:v>2026</x:v>
      </x:c>
      <x:c r="C1423" s="42" t="str">
        <x:v>T2</x:v>
      </x:c>
      <x:c r="D1423" s="44" t="n">
        <x:v>46203</x:v>
      </x:c>
      <x:c r="E1423" s="42" t="str">
        <x:v>Ponta-esquerda</x:v>
      </x:c>
      <x:c r="F1423" s="42" t="str">
        <x:v>Manchester City FC</x:v>
      </x:c>
      <x:c r="G1423" s="46"/>
      <x:c r="H1423" s="46"/>
      <x:c r="I1423" s="46"/>
      <x:c r="J1423" s="46"/>
      <x:c r="K1423" s="46" t="str">
        <x:f>IF(COUNT(G1423,I1423)=0,"",AVERAGE(G1423,I1423))</x:f>
      </x:c>
      <x:c r="L1423" s="46" t="str">
        <x:f>IF(COUNT(H1423,J1423)=0,"",AVERAGE(H1423,J1423))</x:f>
      </x:c>
      <x:c r="M1423" s="46" t="str">
        <x:f>IF(OR(K1423="",L1423=""),"",L1423-K1423)</x:f>
      </x:c>
      <x:c r="N1423" s="46" t="str">
        <x:f>IF(OR(K1423="",A1422&lt;&gt;A1423,K1422=""),"",K1423-K1422)</x:f>
      </x:c>
      <x:c r="O1423" s="42" t="str">
        <x:v>Sem informação</x:v>
      </x:c>
      <x:c r="P1423" s="42"/>
      <x:c r="Q1423" s="42" t="str"/>
      <x:c r="R1423" s="42" t="str"/>
      <x:c r="S1423" s="42" t="str"/>
      <x:c r="T1423" s="42" t="str"/>
    </x:row>
    <x:row r="1424">
      <x:c r="A1424" s="42" t="str">
        <x:v>Sávio</x:v>
      </x:c>
      <x:c r="B1424" s="42" t="n">
        <x:v>2026</x:v>
      </x:c>
      <x:c r="C1424" s="42" t="str">
        <x:v>T3</x:v>
      </x:c>
      <x:c r="D1424" s="44" t="n">
        <x:v>46295</x:v>
      </x:c>
      <x:c r="E1424" s="42" t="str">
        <x:v>Ponta-esquerda</x:v>
      </x:c>
      <x:c r="F1424" s="42" t="str">
        <x:v>Manchester City FC</x:v>
      </x:c>
      <x:c r="G1424" s="46"/>
      <x:c r="H1424" s="46"/>
      <x:c r="I1424" s="46"/>
      <x:c r="J1424" s="46"/>
      <x:c r="K1424" s="46" t="str">
        <x:f>IF(COUNT(G1424,I1424)=0,"",AVERAGE(G1424,I1424))</x:f>
      </x:c>
      <x:c r="L1424" s="46" t="str">
        <x:f>IF(COUNT(H1424,J1424)=0,"",AVERAGE(H1424,J1424))</x:f>
      </x:c>
      <x:c r="M1424" s="46" t="str">
        <x:f>IF(OR(K1424="",L1424=""),"",L1424-K1424)</x:f>
      </x:c>
      <x:c r="N1424" s="46" t="str">
        <x:f>IF(OR(K1424="",A1423&lt;&gt;A1424,K1423=""),"",K1424-K1423)</x:f>
      </x:c>
      <x:c r="O1424" s="42" t="str">
        <x:v>Sem informação</x:v>
      </x:c>
      <x:c r="P1424" s="42"/>
      <x:c r="Q1424" s="42" t="str"/>
      <x:c r="R1424" s="42" t="str"/>
      <x:c r="S1424" s="42" t="str"/>
      <x:c r="T1424" s="42" t="str"/>
    </x:row>
    <x:row r="1425">
      <x:c r="A1425" s="42" t="str">
        <x:v>Sávio</x:v>
      </x:c>
      <x:c r="B1425" s="42" t="n">
        <x:v>2026</x:v>
      </x:c>
      <x:c r="C1425" s="42" t="str">
        <x:v>T4</x:v>
      </x:c>
      <x:c r="D1425" s="44" t="n">
        <x:v>46387</x:v>
      </x:c>
      <x:c r="E1425" s="42" t="str">
        <x:v>Ponta-esquerda</x:v>
      </x:c>
      <x:c r="F1425" s="42" t="str">
        <x:v>Manchester City FC</x:v>
      </x:c>
      <x:c r="G1425" s="46"/>
      <x:c r="H1425" s="46"/>
      <x:c r="I1425" s="46"/>
      <x:c r="J1425" s="46"/>
      <x:c r="K1425" s="46" t="str">
        <x:f>IF(COUNT(G1425,I1425)=0,"",AVERAGE(G1425,I1425))</x:f>
      </x:c>
      <x:c r="L1425" s="46" t="str">
        <x:f>IF(COUNT(H1425,J1425)=0,"",AVERAGE(H1425,J1425))</x:f>
      </x:c>
      <x:c r="M1425" s="46" t="str">
        <x:f>IF(OR(K1425="",L1425=""),"",L1425-K1425)</x:f>
      </x:c>
      <x:c r="N1425" s="46" t="str">
        <x:f>IF(OR(K1425="",A1424&lt;&gt;A1425,K1424=""),"",K1425-K1424)</x:f>
      </x:c>
      <x:c r="O1425" s="42" t="str">
        <x:v>Sem informação</x:v>
      </x:c>
      <x:c r="P1425" s="42"/>
      <x:c r="Q1425" s="42" t="str"/>
      <x:c r="R1425" s="42" t="str"/>
      <x:c r="S1425" s="42" t="str"/>
      <x:c r="T1425" s="42" t="str"/>
    </x:row>
    <x:row r="1426">
      <x:c r="A1426" s="42" t="str">
        <x:v>Sávio</x:v>
      </x:c>
      <x:c r="B1426" s="42" t="n">
        <x:v>2027</x:v>
      </x:c>
      <x:c r="C1426" s="42" t="str">
        <x:v>T1</x:v>
      </x:c>
      <x:c r="D1426" s="44" t="n">
        <x:v>46477</x:v>
      </x:c>
      <x:c r="E1426" s="42" t="str">
        <x:v>Ponta-esquerda</x:v>
      </x:c>
      <x:c r="F1426" s="42" t="str">
        <x:v>Manchester City FC</x:v>
      </x:c>
      <x:c r="G1426" s="46"/>
      <x:c r="H1426" s="46"/>
      <x:c r="I1426" s="46"/>
      <x:c r="J1426" s="46"/>
      <x:c r="K1426" s="46" t="str">
        <x:f>IF(COUNT(G1426,I1426)=0,"",AVERAGE(G1426,I1426))</x:f>
      </x:c>
      <x:c r="L1426" s="46" t="str">
        <x:f>IF(COUNT(H1426,J1426)=0,"",AVERAGE(H1426,J1426))</x:f>
      </x:c>
      <x:c r="M1426" s="46" t="str">
        <x:f>IF(OR(K1426="",L1426=""),"",L1426-K1426)</x:f>
      </x:c>
      <x:c r="N1426" s="46" t="str">
        <x:f>IF(OR(K1426="",A1425&lt;&gt;A1426,K1425=""),"",K1426-K1425)</x:f>
      </x:c>
      <x:c r="O1426" s="42" t="str">
        <x:v>Sem informação</x:v>
      </x:c>
      <x:c r="P1426" s="42"/>
      <x:c r="Q1426" s="42" t="str"/>
      <x:c r="R1426" s="42" t="str"/>
      <x:c r="S1426" s="42" t="str"/>
      <x:c r="T1426" s="42" t="str"/>
    </x:row>
    <x:row r="1427">
      <x:c r="A1427" s="42" t="str">
        <x:v>Sávio</x:v>
      </x:c>
      <x:c r="B1427" s="42" t="n">
        <x:v>2027</x:v>
      </x:c>
      <x:c r="C1427" s="42" t="str">
        <x:v>T2</x:v>
      </x:c>
      <x:c r="D1427" s="44" t="n">
        <x:v>46568</x:v>
      </x:c>
      <x:c r="E1427" s="42" t="str">
        <x:v>Ponta-esquerda</x:v>
      </x:c>
      <x:c r="F1427" s="42" t="str">
        <x:v>Manchester City FC</x:v>
      </x:c>
      <x:c r="G1427" s="46"/>
      <x:c r="H1427" s="46"/>
      <x:c r="I1427" s="46"/>
      <x:c r="J1427" s="46"/>
      <x:c r="K1427" s="46" t="str">
        <x:f>IF(COUNT(G1427,I1427)=0,"",AVERAGE(G1427,I1427))</x:f>
      </x:c>
      <x:c r="L1427" s="46" t="str">
        <x:f>IF(COUNT(H1427,J1427)=0,"",AVERAGE(H1427,J1427))</x:f>
      </x:c>
      <x:c r="M1427" s="46" t="str">
        <x:f>IF(OR(K1427="",L1427=""),"",L1427-K1427)</x:f>
      </x:c>
      <x:c r="N1427" s="46" t="str">
        <x:f>IF(OR(K1427="",A1426&lt;&gt;A1427,K1426=""),"",K1427-K1426)</x:f>
      </x:c>
      <x:c r="O1427" s="42" t="str">
        <x:v>Sem informação</x:v>
      </x:c>
      <x:c r="P1427" s="42"/>
      <x:c r="Q1427" s="42" t="str"/>
      <x:c r="R1427" s="42" t="str"/>
      <x:c r="S1427" s="42" t="str"/>
      <x:c r="T1427" s="42" t="str"/>
    </x:row>
    <x:row r="1428">
      <x:c r="A1428" s="42" t="str">
        <x:v>Sávio</x:v>
      </x:c>
      <x:c r="B1428" s="42" t="n">
        <x:v>2027</x:v>
      </x:c>
      <x:c r="C1428" s="42" t="str">
        <x:v>T3</x:v>
      </x:c>
      <x:c r="D1428" s="44" t="n">
        <x:v>46660</x:v>
      </x:c>
      <x:c r="E1428" s="42" t="str">
        <x:v>Ponta-esquerda</x:v>
      </x:c>
      <x:c r="F1428" s="42" t="str">
        <x:v>Manchester City FC</x:v>
      </x:c>
      <x:c r="G1428" s="46"/>
      <x:c r="H1428" s="46"/>
      <x:c r="I1428" s="46"/>
      <x:c r="J1428" s="46"/>
      <x:c r="K1428" s="46" t="str">
        <x:f>IF(COUNT(G1428,I1428)=0,"",AVERAGE(G1428,I1428))</x:f>
      </x:c>
      <x:c r="L1428" s="46" t="str">
        <x:f>IF(COUNT(H1428,J1428)=0,"",AVERAGE(H1428,J1428))</x:f>
      </x:c>
      <x:c r="M1428" s="46" t="str">
        <x:f>IF(OR(K1428="",L1428=""),"",L1428-K1428)</x:f>
      </x:c>
      <x:c r="N1428" s="46" t="str">
        <x:f>IF(OR(K1428="",A1427&lt;&gt;A1428,K1427=""),"",K1428-K1427)</x:f>
      </x:c>
      <x:c r="O1428" s="42" t="str">
        <x:v>Sem informação</x:v>
      </x:c>
      <x:c r="P1428" s="42"/>
      <x:c r="Q1428" s="42" t="str"/>
      <x:c r="R1428" s="42" t="str"/>
      <x:c r="S1428" s="42" t="str"/>
      <x:c r="T1428" s="42" t="str"/>
    </x:row>
    <x:row r="1429">
      <x:c r="A1429" s="42" t="str">
        <x:v>Sávio</x:v>
      </x:c>
      <x:c r="B1429" s="42" t="n">
        <x:v>2027</x:v>
      </x:c>
      <x:c r="C1429" s="42" t="str">
        <x:v>T4</x:v>
      </x:c>
      <x:c r="D1429" s="44" t="n">
        <x:v>46752</x:v>
      </x:c>
      <x:c r="E1429" s="42" t="str">
        <x:v>Ponta-esquerda</x:v>
      </x:c>
      <x:c r="F1429" s="42" t="str">
        <x:v>Manchester City FC</x:v>
      </x:c>
      <x:c r="G1429" s="46"/>
      <x:c r="H1429" s="46"/>
      <x:c r="I1429" s="46"/>
      <x:c r="J1429" s="46"/>
      <x:c r="K1429" s="46" t="str">
        <x:f>IF(COUNT(G1429,I1429)=0,"",AVERAGE(G1429,I1429))</x:f>
      </x:c>
      <x:c r="L1429" s="46" t="str">
        <x:f>IF(COUNT(H1429,J1429)=0,"",AVERAGE(H1429,J1429))</x:f>
      </x:c>
      <x:c r="M1429" s="46" t="str">
        <x:f>IF(OR(K1429="",L1429=""),"",L1429-K1429)</x:f>
      </x:c>
      <x:c r="N1429" s="46" t="str">
        <x:f>IF(OR(K1429="",A1428&lt;&gt;A1429,K1428=""),"",K1429-K1428)</x:f>
      </x:c>
      <x:c r="O1429" s="42" t="str">
        <x:v>Sem informação</x:v>
      </x:c>
      <x:c r="P1429" s="42"/>
      <x:c r="Q1429" s="42" t="str"/>
      <x:c r="R1429" s="42" t="str"/>
      <x:c r="S1429" s="42" t="str"/>
      <x:c r="T1429" s="42" t="str"/>
    </x:row>
    <x:row r="1430">
      <x:c r="A1430" s="42" t="str">
        <x:v>Sávio</x:v>
      </x:c>
      <x:c r="B1430" s="42" t="n">
        <x:v>2028</x:v>
      </x:c>
      <x:c r="C1430" s="42" t="str">
        <x:v>T1</x:v>
      </x:c>
      <x:c r="D1430" s="44" t="n">
        <x:v>46843</x:v>
      </x:c>
      <x:c r="E1430" s="42" t="str">
        <x:v>Ponta-esquerda</x:v>
      </x:c>
      <x:c r="F1430" s="42" t="str">
        <x:v>Manchester City FC</x:v>
      </x:c>
      <x:c r="G1430" s="46"/>
      <x:c r="H1430" s="46"/>
      <x:c r="I1430" s="46"/>
      <x:c r="J1430" s="46"/>
      <x:c r="K1430" s="46" t="str">
        <x:f>IF(COUNT(G1430,I1430)=0,"",AVERAGE(G1430,I1430))</x:f>
      </x:c>
      <x:c r="L1430" s="46" t="str">
        <x:f>IF(COUNT(H1430,J1430)=0,"",AVERAGE(H1430,J1430))</x:f>
      </x:c>
      <x:c r="M1430" s="46" t="str">
        <x:f>IF(OR(K1430="",L1430=""),"",L1430-K1430)</x:f>
      </x:c>
      <x:c r="N1430" s="46" t="str">
        <x:f>IF(OR(K1430="",A1429&lt;&gt;A1430,K1429=""),"",K1430-K1429)</x:f>
      </x:c>
      <x:c r="O1430" s="42" t="str">
        <x:v>Sem informação</x:v>
      </x:c>
      <x:c r="P1430" s="42"/>
      <x:c r="Q1430" s="42" t="str"/>
      <x:c r="R1430" s="42" t="str"/>
      <x:c r="S1430" s="42" t="str"/>
      <x:c r="T1430" s="42" t="str"/>
    </x:row>
    <x:row r="1431">
      <x:c r="A1431" s="42" t="str">
        <x:v>Sávio</x:v>
      </x:c>
      <x:c r="B1431" s="42" t="n">
        <x:v>2028</x:v>
      </x:c>
      <x:c r="C1431" s="42" t="str">
        <x:v>T2</x:v>
      </x:c>
      <x:c r="D1431" s="44" t="n">
        <x:v>46934</x:v>
      </x:c>
      <x:c r="E1431" s="42" t="str">
        <x:v>Ponta-esquerda</x:v>
      </x:c>
      <x:c r="F1431" s="42" t="str">
        <x:v>Manchester City FC</x:v>
      </x:c>
      <x:c r="G1431" s="46"/>
      <x:c r="H1431" s="46"/>
      <x:c r="I1431" s="46"/>
      <x:c r="J1431" s="46"/>
      <x:c r="K1431" s="46" t="str">
        <x:f>IF(COUNT(G1431,I1431)=0,"",AVERAGE(G1431,I1431))</x:f>
      </x:c>
      <x:c r="L1431" s="46" t="str">
        <x:f>IF(COUNT(H1431,J1431)=0,"",AVERAGE(H1431,J1431))</x:f>
      </x:c>
      <x:c r="M1431" s="46" t="str">
        <x:f>IF(OR(K1431="",L1431=""),"",L1431-K1431)</x:f>
      </x:c>
      <x:c r="N1431" s="46" t="str">
        <x:f>IF(OR(K1431="",A1430&lt;&gt;A1431,K1430=""),"",K1431-K1430)</x:f>
      </x:c>
      <x:c r="O1431" s="42" t="str">
        <x:v>Sem informação</x:v>
      </x:c>
      <x:c r="P1431" s="42"/>
      <x:c r="Q1431" s="42" t="str"/>
      <x:c r="R1431" s="42" t="str"/>
      <x:c r="S1431" s="42" t="str"/>
      <x:c r="T1431" s="42" t="str"/>
    </x:row>
    <x:row r="1432">
      <x:c r="A1432" s="42" t="str">
        <x:v>Sávio</x:v>
      </x:c>
      <x:c r="B1432" s="42" t="n">
        <x:v>2028</x:v>
      </x:c>
      <x:c r="C1432" s="42" t="str">
        <x:v>T3</x:v>
      </x:c>
      <x:c r="D1432" s="44" t="n">
        <x:v>47026</x:v>
      </x:c>
      <x:c r="E1432" s="42" t="str">
        <x:v>Ponta-esquerda</x:v>
      </x:c>
      <x:c r="F1432" s="42" t="str">
        <x:v>Manchester City FC</x:v>
      </x:c>
      <x:c r="G1432" s="46"/>
      <x:c r="H1432" s="46"/>
      <x:c r="I1432" s="46"/>
      <x:c r="J1432" s="46"/>
      <x:c r="K1432" s="46" t="str">
        <x:f>IF(COUNT(G1432,I1432)=0,"",AVERAGE(G1432,I1432))</x:f>
      </x:c>
      <x:c r="L1432" s="46" t="str">
        <x:f>IF(COUNT(H1432,J1432)=0,"",AVERAGE(H1432,J1432))</x:f>
      </x:c>
      <x:c r="M1432" s="46" t="str">
        <x:f>IF(OR(K1432="",L1432=""),"",L1432-K1432)</x:f>
      </x:c>
      <x:c r="N1432" s="46" t="str">
        <x:f>IF(OR(K1432="",A1431&lt;&gt;A1432,K1431=""),"",K1432-K1431)</x:f>
      </x:c>
      <x:c r="O1432" s="42" t="str">
        <x:v>Sem informação</x:v>
      </x:c>
      <x:c r="P1432" s="42"/>
      <x:c r="Q1432" s="42" t="str"/>
      <x:c r="R1432" s="42" t="str"/>
      <x:c r="S1432" s="42" t="str"/>
      <x:c r="T1432" s="42" t="str"/>
    </x:row>
    <x:row r="1433">
      <x:c r="A1433" s="42" t="str">
        <x:v>Sávio</x:v>
      </x:c>
      <x:c r="B1433" s="42" t="n">
        <x:v>2028</x:v>
      </x:c>
      <x:c r="C1433" s="42" t="str">
        <x:v>T4</x:v>
      </x:c>
      <x:c r="D1433" s="44" t="n">
        <x:v>47118</x:v>
      </x:c>
      <x:c r="E1433" s="42" t="str">
        <x:v>Ponta-esquerda</x:v>
      </x:c>
      <x:c r="F1433" s="42" t="str">
        <x:v>Manchester City FC</x:v>
      </x:c>
      <x:c r="G1433" s="46"/>
      <x:c r="H1433" s="46"/>
      <x:c r="I1433" s="46"/>
      <x:c r="J1433" s="46"/>
      <x:c r="K1433" s="46" t="str">
        <x:f>IF(COUNT(G1433,I1433)=0,"",AVERAGE(G1433,I1433))</x:f>
      </x:c>
      <x:c r="L1433" s="46" t="str">
        <x:f>IF(COUNT(H1433,J1433)=0,"",AVERAGE(H1433,J1433))</x:f>
      </x:c>
      <x:c r="M1433" s="46" t="str">
        <x:f>IF(OR(K1433="",L1433=""),"",L1433-K1433)</x:f>
      </x:c>
      <x:c r="N1433" s="46" t="str">
        <x:f>IF(OR(K1433="",A1432&lt;&gt;A1433,K1432=""),"",K1433-K1432)</x:f>
      </x:c>
      <x:c r="O1433" s="42" t="str">
        <x:v>Sem informação</x:v>
      </x:c>
      <x:c r="P1433" s="42"/>
      <x:c r="Q1433" s="42" t="str"/>
      <x:c r="R1433" s="42" t="str"/>
      <x:c r="S1433" s="42" t="str"/>
      <x:c r="T1433" s="42" t="str"/>
    </x:row>
    <x:row r="1434">
      <x:c r="A1434" s="42" t="str">
        <x:v>Sávio</x:v>
      </x:c>
      <x:c r="B1434" s="42" t="n">
        <x:v>2029</x:v>
      </x:c>
      <x:c r="C1434" s="42" t="str">
        <x:v>T1</x:v>
      </x:c>
      <x:c r="D1434" s="44" t="n">
        <x:v>47208</x:v>
      </x:c>
      <x:c r="E1434" s="42" t="str">
        <x:v>Ponta-esquerda</x:v>
      </x:c>
      <x:c r="F1434" s="42" t="str">
        <x:v>Manchester City FC</x:v>
      </x:c>
      <x:c r="G1434" s="46"/>
      <x:c r="H1434" s="46"/>
      <x:c r="I1434" s="46"/>
      <x:c r="J1434" s="46"/>
      <x:c r="K1434" s="46" t="str">
        <x:f>IF(COUNT(G1434,I1434)=0,"",AVERAGE(G1434,I1434))</x:f>
      </x:c>
      <x:c r="L1434" s="46" t="str">
        <x:f>IF(COUNT(H1434,J1434)=0,"",AVERAGE(H1434,J1434))</x:f>
      </x:c>
      <x:c r="M1434" s="46" t="str">
        <x:f>IF(OR(K1434="",L1434=""),"",L1434-K1434)</x:f>
      </x:c>
      <x:c r="N1434" s="46" t="str">
        <x:f>IF(OR(K1434="",A1433&lt;&gt;A1434,K1433=""),"",K1434-K1433)</x:f>
      </x:c>
      <x:c r="O1434" s="42" t="str">
        <x:v>Sem informação</x:v>
      </x:c>
      <x:c r="P1434" s="42"/>
      <x:c r="Q1434" s="42" t="str"/>
      <x:c r="R1434" s="42" t="str"/>
      <x:c r="S1434" s="42" t="str"/>
      <x:c r="T1434" s="42" t="str"/>
    </x:row>
    <x:row r="1435">
      <x:c r="A1435" s="42" t="str">
        <x:v>Sávio</x:v>
      </x:c>
      <x:c r="B1435" s="42" t="n">
        <x:v>2029</x:v>
      </x:c>
      <x:c r="C1435" s="42" t="str">
        <x:v>T2</x:v>
      </x:c>
      <x:c r="D1435" s="44" t="n">
        <x:v>47299</x:v>
      </x:c>
      <x:c r="E1435" s="42" t="str">
        <x:v>Ponta-esquerda</x:v>
      </x:c>
      <x:c r="F1435" s="42" t="str">
        <x:v>Manchester City FC</x:v>
      </x:c>
      <x:c r="G1435" s="46"/>
      <x:c r="H1435" s="46"/>
      <x:c r="I1435" s="46"/>
      <x:c r="J1435" s="46"/>
      <x:c r="K1435" s="46" t="str">
        <x:f>IF(COUNT(G1435,I1435)=0,"",AVERAGE(G1435,I1435))</x:f>
      </x:c>
      <x:c r="L1435" s="46" t="str">
        <x:f>IF(COUNT(H1435,J1435)=0,"",AVERAGE(H1435,J1435))</x:f>
      </x:c>
      <x:c r="M1435" s="46" t="str">
        <x:f>IF(OR(K1435="",L1435=""),"",L1435-K1435)</x:f>
      </x:c>
      <x:c r="N1435" s="46" t="str">
        <x:f>IF(OR(K1435="",A1434&lt;&gt;A1435,K1434=""),"",K1435-K1434)</x:f>
      </x:c>
      <x:c r="O1435" s="42" t="str">
        <x:v>Sem informação</x:v>
      </x:c>
      <x:c r="P1435" s="42"/>
      <x:c r="Q1435" s="42" t="str"/>
      <x:c r="R1435" s="42" t="str"/>
      <x:c r="S1435" s="42" t="str"/>
      <x:c r="T1435" s="42" t="str"/>
    </x:row>
    <x:row r="1436">
      <x:c r="A1436" s="42" t="str">
        <x:v>Sávio</x:v>
      </x:c>
      <x:c r="B1436" s="42" t="n">
        <x:v>2029</x:v>
      </x:c>
      <x:c r="C1436" s="42" t="str">
        <x:v>T3</x:v>
      </x:c>
      <x:c r="D1436" s="44" t="n">
        <x:v>47391</x:v>
      </x:c>
      <x:c r="E1436" s="42" t="str">
        <x:v>Ponta-esquerda</x:v>
      </x:c>
      <x:c r="F1436" s="42" t="str">
        <x:v>Manchester City FC</x:v>
      </x:c>
      <x:c r="G1436" s="46"/>
      <x:c r="H1436" s="46"/>
      <x:c r="I1436" s="46"/>
      <x:c r="J1436" s="46"/>
      <x:c r="K1436" s="46" t="str">
        <x:f>IF(COUNT(G1436,I1436)=0,"",AVERAGE(G1436,I1436))</x:f>
      </x:c>
      <x:c r="L1436" s="46" t="str">
        <x:f>IF(COUNT(H1436,J1436)=0,"",AVERAGE(H1436,J1436))</x:f>
      </x:c>
      <x:c r="M1436" s="46" t="str">
        <x:f>IF(OR(K1436="",L1436=""),"",L1436-K1436)</x:f>
      </x:c>
      <x:c r="N1436" s="46" t="str">
        <x:f>IF(OR(K1436="",A1435&lt;&gt;A1436,K1435=""),"",K1436-K1435)</x:f>
      </x:c>
      <x:c r="O1436" s="42" t="str">
        <x:v>Sem informação</x:v>
      </x:c>
      <x:c r="P1436" s="42"/>
      <x:c r="Q1436" s="42" t="str"/>
      <x:c r="R1436" s="42" t="str"/>
      <x:c r="S1436" s="42" t="str"/>
      <x:c r="T1436" s="42" t="str"/>
    </x:row>
    <x:row r="1437">
      <x:c r="A1437" s="42" t="str">
        <x:v>Sávio</x:v>
      </x:c>
      <x:c r="B1437" s="42" t="n">
        <x:v>2029</x:v>
      </x:c>
      <x:c r="C1437" s="42" t="str">
        <x:v>T4</x:v>
      </x:c>
      <x:c r="D1437" s="44" t="n">
        <x:v>47483</x:v>
      </x:c>
      <x:c r="E1437" s="42" t="str">
        <x:v>Ponta-esquerda</x:v>
      </x:c>
      <x:c r="F1437" s="42" t="str">
        <x:v>Manchester City FC</x:v>
      </x:c>
      <x:c r="G1437" s="46"/>
      <x:c r="H1437" s="46"/>
      <x:c r="I1437" s="46"/>
      <x:c r="J1437" s="46"/>
      <x:c r="K1437" s="46" t="str">
        <x:f>IF(COUNT(G1437,I1437)=0,"",AVERAGE(G1437,I1437))</x:f>
      </x:c>
      <x:c r="L1437" s="46" t="str">
        <x:f>IF(COUNT(H1437,J1437)=0,"",AVERAGE(H1437,J1437))</x:f>
      </x:c>
      <x:c r="M1437" s="46" t="str">
        <x:f>IF(OR(K1437="",L1437=""),"",L1437-K1437)</x:f>
      </x:c>
      <x:c r="N1437" s="46" t="str">
        <x:f>IF(OR(K1437="",A1436&lt;&gt;A1437,K1436=""),"",K1437-K1436)</x:f>
      </x:c>
      <x:c r="O1437" s="42" t="str">
        <x:v>Sem informação</x:v>
      </x:c>
      <x:c r="P1437" s="42"/>
      <x:c r="Q1437" s="42" t="str"/>
      <x:c r="R1437" s="42" t="str"/>
      <x:c r="S1437" s="42" t="str"/>
      <x:c r="T1437" s="42" t="str"/>
    </x:row>
    <x:row r="1438">
      <x:c r="A1438" s="42" t="str">
        <x:v>Sávio</x:v>
      </x:c>
      <x:c r="B1438" s="42" t="n">
        <x:v>2030</x:v>
      </x:c>
      <x:c r="C1438" s="42" t="str">
        <x:v>T1</x:v>
      </x:c>
      <x:c r="D1438" s="44" t="n">
        <x:v>47573</x:v>
      </x:c>
      <x:c r="E1438" s="42" t="str">
        <x:v>Ponta-esquerda</x:v>
      </x:c>
      <x:c r="F1438" s="42" t="str">
        <x:v>Manchester City FC</x:v>
      </x:c>
      <x:c r="G1438" s="46"/>
      <x:c r="H1438" s="46"/>
      <x:c r="I1438" s="46"/>
      <x:c r="J1438" s="46"/>
      <x:c r="K1438" s="46" t="str">
        <x:f>IF(COUNT(G1438,I1438)=0,"",AVERAGE(G1438,I1438))</x:f>
      </x:c>
      <x:c r="L1438" s="46" t="str">
        <x:f>IF(COUNT(H1438,J1438)=0,"",AVERAGE(H1438,J1438))</x:f>
      </x:c>
      <x:c r="M1438" s="46" t="str">
        <x:f>IF(OR(K1438="",L1438=""),"",L1438-K1438)</x:f>
      </x:c>
      <x:c r="N1438" s="46" t="str">
        <x:f>IF(OR(K1438="",A1437&lt;&gt;A1438,K1437=""),"",K1438-K1437)</x:f>
      </x:c>
      <x:c r="O1438" s="42" t="str">
        <x:v>Sem informação</x:v>
      </x:c>
      <x:c r="P1438" s="42"/>
      <x:c r="Q1438" s="42" t="str"/>
      <x:c r="R1438" s="42" t="str"/>
      <x:c r="S1438" s="42" t="str"/>
      <x:c r="T1438" s="42" t="str"/>
    </x:row>
    <x:row r="1439">
      <x:c r="A1439" s="42" t="str">
        <x:v>Sávio</x:v>
      </x:c>
      <x:c r="B1439" s="42" t="n">
        <x:v>2030</x:v>
      </x:c>
      <x:c r="C1439" s="42" t="str">
        <x:v>T2</x:v>
      </x:c>
      <x:c r="D1439" s="44" t="n">
        <x:v>47664</x:v>
      </x:c>
      <x:c r="E1439" s="42" t="str">
        <x:v>Ponta-esquerda</x:v>
      </x:c>
      <x:c r="F1439" s="42" t="str">
        <x:v>Manchester City FC</x:v>
      </x:c>
      <x:c r="G1439" s="46"/>
      <x:c r="H1439" s="46"/>
      <x:c r="I1439" s="46"/>
      <x:c r="J1439" s="46"/>
      <x:c r="K1439" s="46" t="str">
        <x:f>IF(COUNT(G1439,I1439)=0,"",AVERAGE(G1439,I1439))</x:f>
      </x:c>
      <x:c r="L1439" s="46" t="str">
        <x:f>IF(COUNT(H1439,J1439)=0,"",AVERAGE(H1439,J1439))</x:f>
      </x:c>
      <x:c r="M1439" s="46" t="str">
        <x:f>IF(OR(K1439="",L1439=""),"",L1439-K1439)</x:f>
      </x:c>
      <x:c r="N1439" s="46" t="str">
        <x:f>IF(OR(K1439="",A1438&lt;&gt;A1439,K1438=""),"",K1439-K1438)</x:f>
      </x:c>
      <x:c r="O1439" s="42" t="str">
        <x:v>Sem informação</x:v>
      </x:c>
      <x:c r="P1439" s="42"/>
      <x:c r="Q1439" s="42" t="str"/>
      <x:c r="R1439" s="42" t="str"/>
      <x:c r="S1439" s="42" t="str"/>
      <x:c r="T1439" s="42" t="str"/>
    </x:row>
    <x:row r="1440">
      <x:c r="A1440" s="42" t="str">
        <x:v>Sávio</x:v>
      </x:c>
      <x:c r="B1440" s="42" t="n">
        <x:v>2030</x:v>
      </x:c>
      <x:c r="C1440" s="42" t="str">
        <x:v>T3</x:v>
      </x:c>
      <x:c r="D1440" s="44" t="n">
        <x:v>47756</x:v>
      </x:c>
      <x:c r="E1440" s="42" t="str">
        <x:v>Ponta-esquerda</x:v>
      </x:c>
      <x:c r="F1440" s="42" t="str">
        <x:v>Manchester City FC</x:v>
      </x:c>
      <x:c r="G1440" s="46"/>
      <x:c r="H1440" s="46"/>
      <x:c r="I1440" s="46"/>
      <x:c r="J1440" s="46"/>
      <x:c r="K1440" s="46" t="str">
        <x:f>IF(COUNT(G1440,I1440)=0,"",AVERAGE(G1440,I1440))</x:f>
      </x:c>
      <x:c r="L1440" s="46" t="str">
        <x:f>IF(COUNT(H1440,J1440)=0,"",AVERAGE(H1440,J1440))</x:f>
      </x:c>
      <x:c r="M1440" s="46" t="str">
        <x:f>IF(OR(K1440="",L1440=""),"",L1440-K1440)</x:f>
      </x:c>
      <x:c r="N1440" s="46" t="str">
        <x:f>IF(OR(K1440="",A1439&lt;&gt;A1440,K1439=""),"",K1440-K1439)</x:f>
      </x:c>
      <x:c r="O1440" s="42" t="str">
        <x:v>Sem informação</x:v>
      </x:c>
      <x:c r="P1440" s="42"/>
      <x:c r="Q1440" s="42" t="str"/>
      <x:c r="R1440" s="42" t="str"/>
      <x:c r="S1440" s="42" t="str"/>
      <x:c r="T1440" s="42" t="str"/>
    </x:row>
    <x:row r="1441">
      <x:c r="A1441" s="42" t="str">
        <x:v>Sávio</x:v>
      </x:c>
      <x:c r="B1441" s="42" t="n">
        <x:v>2030</x:v>
      </x:c>
      <x:c r="C1441" s="42" t="str">
        <x:v>T4</x:v>
      </x:c>
      <x:c r="D1441" s="44" t="n">
        <x:v>47848</x:v>
      </x:c>
      <x:c r="E1441" s="42" t="str">
        <x:v>Ponta-esquerda</x:v>
      </x:c>
      <x:c r="F1441" s="42" t="str">
        <x:v>Manchester City FC</x:v>
      </x:c>
      <x:c r="G1441" s="46"/>
      <x:c r="H1441" s="46"/>
      <x:c r="I1441" s="46"/>
      <x:c r="J1441" s="46"/>
      <x:c r="K1441" s="46" t="str">
        <x:f>IF(COUNT(G1441,I1441)=0,"",AVERAGE(G1441,I1441))</x:f>
      </x:c>
      <x:c r="L1441" s="46" t="str">
        <x:f>IF(COUNT(H1441,J1441)=0,"",AVERAGE(H1441,J1441))</x:f>
      </x:c>
      <x:c r="M1441" s="46" t="str">
        <x:f>IF(OR(K1441="",L1441=""),"",L1441-K1441)</x:f>
      </x:c>
      <x:c r="N1441" s="46" t="str">
        <x:f>IF(OR(K1441="",A1440&lt;&gt;A1441,K1440=""),"",K1441-K1440)</x:f>
      </x:c>
      <x:c r="O1441" s="42" t="str">
        <x:v>Sem informação</x:v>
      </x:c>
      <x:c r="P1441" s="42"/>
      <x:c r="Q1441" s="42" t="str"/>
      <x:c r="R1441" s="42" t="str"/>
      <x:c r="S1441" s="42" t="str"/>
      <x:c r="T1441" s="42" t="str"/>
    </x:row>
    <x:row r="1442">
      <x:c r="A1442" s="42" t="str">
        <x:v>Henrique Menke</x:v>
      </x:c>
      <x:c r="B1442" s="42" t="n">
        <x:v>2026</x:v>
      </x:c>
      <x:c r="C1442" s="42" t="str">
        <x:v>T1</x:v>
      </x:c>
      <x:c r="D1442" s="44" t="n">
        <x:v>46112</x:v>
      </x:c>
      <x:c r="E1442" s="42" t="str">
        <x:v>Goleiro</x:v>
      </x:c>
      <x:c r="F1442" s="42" t="str">
        <x:v>SC Internacional</x:v>
      </x:c>
      <x:c r="G1442" s="46"/>
      <x:c r="H1442" s="46"/>
      <x:c r="I1442" s="46"/>
      <x:c r="J1442" s="46"/>
      <x:c r="K1442" s="46" t="str">
        <x:f>IF(COUNT(G1442,I1442)=0,"",AVERAGE(G1442,I1442))</x:f>
      </x:c>
      <x:c r="L1442" s="46" t="str">
        <x:f>IF(COUNT(H1442,J1442)=0,"",AVERAGE(H1442,J1442))</x:f>
      </x:c>
      <x:c r="M1442" s="46" t="str">
        <x:f>IF(OR(K1442="",L1442=""),"",L1442-K1442)</x:f>
      </x:c>
      <x:c r="N1442" s="46" t="str">
        <x:f>IF(OR(K1442="",A1441&lt;&gt;A1442,K1441=""),"",K1442-K1441)</x:f>
      </x:c>
      <x:c r="O1442" s="42" t="str">
        <x:v>Sem informação</x:v>
      </x:c>
      <x:c r="P1442" s="42"/>
      <x:c r="Q1442" s="42" t="str"/>
      <x:c r="R1442" s="42" t="str"/>
      <x:c r="S1442" s="42" t="str"/>
      <x:c r="T1442" s="42" t="str"/>
    </x:row>
    <x:row r="1443">
      <x:c r="A1443" s="42" t="str">
        <x:v>Henrique Menke</x:v>
      </x:c>
      <x:c r="B1443" s="42" t="n">
        <x:v>2026</x:v>
      </x:c>
      <x:c r="C1443" s="42" t="str">
        <x:v>T2</x:v>
      </x:c>
      <x:c r="D1443" s="44" t="n">
        <x:v>46203</x:v>
      </x:c>
      <x:c r="E1443" s="42" t="str">
        <x:v>Goleiro</x:v>
      </x:c>
      <x:c r="F1443" s="42" t="str">
        <x:v>SC Internacional</x:v>
      </x:c>
      <x:c r="G1443" s="46"/>
      <x:c r="H1443" s="46"/>
      <x:c r="I1443" s="46"/>
      <x:c r="J1443" s="46"/>
      <x:c r="K1443" s="46" t="str">
        <x:f>IF(COUNT(G1443,I1443)=0,"",AVERAGE(G1443,I1443))</x:f>
      </x:c>
      <x:c r="L1443" s="46" t="str">
        <x:f>IF(COUNT(H1443,J1443)=0,"",AVERAGE(H1443,J1443))</x:f>
      </x:c>
      <x:c r="M1443" s="46" t="str">
        <x:f>IF(OR(K1443="",L1443=""),"",L1443-K1443)</x:f>
      </x:c>
      <x:c r="N1443" s="46" t="str">
        <x:f>IF(OR(K1443="",A1442&lt;&gt;A1443,K1442=""),"",K1443-K1442)</x:f>
      </x:c>
      <x:c r="O1443" s="42" t="str">
        <x:v>Sem informação</x:v>
      </x:c>
      <x:c r="P1443" s="42"/>
      <x:c r="Q1443" s="42" t="str"/>
      <x:c r="R1443" s="42" t="str"/>
      <x:c r="S1443" s="42" t="str"/>
      <x:c r="T1443" s="42" t="str"/>
    </x:row>
    <x:row r="1444">
      <x:c r="A1444" s="42" t="str">
        <x:v>Henrique Menke</x:v>
      </x:c>
      <x:c r="B1444" s="42" t="n">
        <x:v>2026</x:v>
      </x:c>
      <x:c r="C1444" s="42" t="str">
        <x:v>T3</x:v>
      </x:c>
      <x:c r="D1444" s="44" t="n">
        <x:v>46295</x:v>
      </x:c>
      <x:c r="E1444" s="42" t="str">
        <x:v>Goleiro</x:v>
      </x:c>
      <x:c r="F1444" s="42" t="str">
        <x:v>SC Internacional</x:v>
      </x:c>
      <x:c r="G1444" s="46"/>
      <x:c r="H1444" s="46"/>
      <x:c r="I1444" s="46"/>
      <x:c r="J1444" s="46"/>
      <x:c r="K1444" s="46" t="str">
        <x:f>IF(COUNT(G1444,I1444)=0,"",AVERAGE(G1444,I1444))</x:f>
      </x:c>
      <x:c r="L1444" s="46" t="str">
        <x:f>IF(COUNT(H1444,J1444)=0,"",AVERAGE(H1444,J1444))</x:f>
      </x:c>
      <x:c r="M1444" s="46" t="str">
        <x:f>IF(OR(K1444="",L1444=""),"",L1444-K1444)</x:f>
      </x:c>
      <x:c r="N1444" s="46" t="str">
        <x:f>IF(OR(K1444="",A1443&lt;&gt;A1444,K1443=""),"",K1444-K1443)</x:f>
      </x:c>
      <x:c r="O1444" s="42" t="str">
        <x:v>Sem informação</x:v>
      </x:c>
      <x:c r="P1444" s="42"/>
      <x:c r="Q1444" s="42" t="str"/>
      <x:c r="R1444" s="42" t="str"/>
      <x:c r="S1444" s="42" t="str"/>
      <x:c r="T1444" s="42" t="str"/>
    </x:row>
    <x:row r="1445">
      <x:c r="A1445" s="42" t="str">
        <x:v>Henrique Menke</x:v>
      </x:c>
      <x:c r="B1445" s="42" t="n">
        <x:v>2026</x:v>
      </x:c>
      <x:c r="C1445" s="42" t="str">
        <x:v>T4</x:v>
      </x:c>
      <x:c r="D1445" s="44" t="n">
        <x:v>46387</x:v>
      </x:c>
      <x:c r="E1445" s="42" t="str">
        <x:v>Goleiro</x:v>
      </x:c>
      <x:c r="F1445" s="42" t="str">
        <x:v>SC Internacional</x:v>
      </x:c>
      <x:c r="G1445" s="46"/>
      <x:c r="H1445" s="46"/>
      <x:c r="I1445" s="46"/>
      <x:c r="J1445" s="46"/>
      <x:c r="K1445" s="46" t="str">
        <x:f>IF(COUNT(G1445,I1445)=0,"",AVERAGE(G1445,I1445))</x:f>
      </x:c>
      <x:c r="L1445" s="46" t="str">
        <x:f>IF(COUNT(H1445,J1445)=0,"",AVERAGE(H1445,J1445))</x:f>
      </x:c>
      <x:c r="M1445" s="46" t="str">
        <x:f>IF(OR(K1445="",L1445=""),"",L1445-K1445)</x:f>
      </x:c>
      <x:c r="N1445" s="46" t="str">
        <x:f>IF(OR(K1445="",A1444&lt;&gt;A1445,K1444=""),"",K1445-K1444)</x:f>
      </x:c>
      <x:c r="O1445" s="42" t="str">
        <x:v>Sem informação</x:v>
      </x:c>
      <x:c r="P1445" s="42"/>
      <x:c r="Q1445" s="42" t="str"/>
      <x:c r="R1445" s="42" t="str"/>
      <x:c r="S1445" s="42" t="str"/>
      <x:c r="T1445" s="42" t="str"/>
    </x:row>
    <x:row r="1446">
      <x:c r="A1446" s="42" t="str">
        <x:v>Henrique Menke</x:v>
      </x:c>
      <x:c r="B1446" s="42" t="n">
        <x:v>2027</x:v>
      </x:c>
      <x:c r="C1446" s="42" t="str">
        <x:v>T1</x:v>
      </x:c>
      <x:c r="D1446" s="44" t="n">
        <x:v>46477</x:v>
      </x:c>
      <x:c r="E1446" s="42" t="str">
        <x:v>Goleiro</x:v>
      </x:c>
      <x:c r="F1446" s="42" t="str">
        <x:v>SC Internacional</x:v>
      </x:c>
      <x:c r="G1446" s="46"/>
      <x:c r="H1446" s="46"/>
      <x:c r="I1446" s="46"/>
      <x:c r="J1446" s="46"/>
      <x:c r="K1446" s="46" t="str">
        <x:f>IF(COUNT(G1446,I1446)=0,"",AVERAGE(G1446,I1446))</x:f>
      </x:c>
      <x:c r="L1446" s="46" t="str">
        <x:f>IF(COUNT(H1446,J1446)=0,"",AVERAGE(H1446,J1446))</x:f>
      </x:c>
      <x:c r="M1446" s="46" t="str">
        <x:f>IF(OR(K1446="",L1446=""),"",L1446-K1446)</x:f>
      </x:c>
      <x:c r="N1446" s="46" t="str">
        <x:f>IF(OR(K1446="",A1445&lt;&gt;A1446,K1445=""),"",K1446-K1445)</x:f>
      </x:c>
      <x:c r="O1446" s="42" t="str">
        <x:v>Sem informação</x:v>
      </x:c>
      <x:c r="P1446" s="42"/>
      <x:c r="Q1446" s="42" t="str"/>
      <x:c r="R1446" s="42" t="str"/>
      <x:c r="S1446" s="42" t="str"/>
      <x:c r="T1446" s="42" t="str"/>
    </x:row>
    <x:row r="1447">
      <x:c r="A1447" s="42" t="str">
        <x:v>Henrique Menke</x:v>
      </x:c>
      <x:c r="B1447" s="42" t="n">
        <x:v>2027</x:v>
      </x:c>
      <x:c r="C1447" s="42" t="str">
        <x:v>T2</x:v>
      </x:c>
      <x:c r="D1447" s="44" t="n">
        <x:v>46568</x:v>
      </x:c>
      <x:c r="E1447" s="42" t="str">
        <x:v>Goleiro</x:v>
      </x:c>
      <x:c r="F1447" s="42" t="str">
        <x:v>SC Internacional</x:v>
      </x:c>
      <x:c r="G1447" s="46"/>
      <x:c r="H1447" s="46"/>
      <x:c r="I1447" s="46"/>
      <x:c r="J1447" s="46"/>
      <x:c r="K1447" s="46" t="str">
        <x:f>IF(COUNT(G1447,I1447)=0,"",AVERAGE(G1447,I1447))</x:f>
      </x:c>
      <x:c r="L1447" s="46" t="str">
        <x:f>IF(COUNT(H1447,J1447)=0,"",AVERAGE(H1447,J1447))</x:f>
      </x:c>
      <x:c r="M1447" s="46" t="str">
        <x:f>IF(OR(K1447="",L1447=""),"",L1447-K1447)</x:f>
      </x:c>
      <x:c r="N1447" s="46" t="str">
        <x:f>IF(OR(K1447="",A1446&lt;&gt;A1447,K1446=""),"",K1447-K1446)</x:f>
      </x:c>
      <x:c r="O1447" s="42" t="str">
        <x:v>Sem informação</x:v>
      </x:c>
      <x:c r="P1447" s="42"/>
      <x:c r="Q1447" s="42" t="str"/>
      <x:c r="R1447" s="42" t="str"/>
      <x:c r="S1447" s="42" t="str"/>
      <x:c r="T1447" s="42" t="str"/>
    </x:row>
    <x:row r="1448">
      <x:c r="A1448" s="42" t="str">
        <x:v>Henrique Menke</x:v>
      </x:c>
      <x:c r="B1448" s="42" t="n">
        <x:v>2027</x:v>
      </x:c>
      <x:c r="C1448" s="42" t="str">
        <x:v>T3</x:v>
      </x:c>
      <x:c r="D1448" s="44" t="n">
        <x:v>46660</x:v>
      </x:c>
      <x:c r="E1448" s="42" t="str">
        <x:v>Goleiro</x:v>
      </x:c>
      <x:c r="F1448" s="42" t="str">
        <x:v>SC Internacional</x:v>
      </x:c>
      <x:c r="G1448" s="46"/>
      <x:c r="H1448" s="46"/>
      <x:c r="I1448" s="46"/>
      <x:c r="J1448" s="46"/>
      <x:c r="K1448" s="46" t="str">
        <x:f>IF(COUNT(G1448,I1448)=0,"",AVERAGE(G1448,I1448))</x:f>
      </x:c>
      <x:c r="L1448" s="46" t="str">
        <x:f>IF(COUNT(H1448,J1448)=0,"",AVERAGE(H1448,J1448))</x:f>
      </x:c>
      <x:c r="M1448" s="46" t="str">
        <x:f>IF(OR(K1448="",L1448=""),"",L1448-K1448)</x:f>
      </x:c>
      <x:c r="N1448" s="46" t="str">
        <x:f>IF(OR(K1448="",A1447&lt;&gt;A1448,K1447=""),"",K1448-K1447)</x:f>
      </x:c>
      <x:c r="O1448" s="42" t="str">
        <x:v>Sem informação</x:v>
      </x:c>
      <x:c r="P1448" s="42"/>
      <x:c r="Q1448" s="42" t="str"/>
      <x:c r="R1448" s="42" t="str"/>
      <x:c r="S1448" s="42" t="str"/>
      <x:c r="T1448" s="42" t="str"/>
    </x:row>
    <x:row r="1449">
      <x:c r="A1449" s="42" t="str">
        <x:v>Henrique Menke</x:v>
      </x:c>
      <x:c r="B1449" s="42" t="n">
        <x:v>2027</x:v>
      </x:c>
      <x:c r="C1449" s="42" t="str">
        <x:v>T4</x:v>
      </x:c>
      <x:c r="D1449" s="44" t="n">
        <x:v>46752</x:v>
      </x:c>
      <x:c r="E1449" s="42" t="str">
        <x:v>Goleiro</x:v>
      </x:c>
      <x:c r="F1449" s="42" t="str">
        <x:v>SC Internacional</x:v>
      </x:c>
      <x:c r="G1449" s="46"/>
      <x:c r="H1449" s="46"/>
      <x:c r="I1449" s="46"/>
      <x:c r="J1449" s="46"/>
      <x:c r="K1449" s="46" t="str">
        <x:f>IF(COUNT(G1449,I1449)=0,"",AVERAGE(G1449,I1449))</x:f>
      </x:c>
      <x:c r="L1449" s="46" t="str">
        <x:f>IF(COUNT(H1449,J1449)=0,"",AVERAGE(H1449,J1449))</x:f>
      </x:c>
      <x:c r="M1449" s="46" t="str">
        <x:f>IF(OR(K1449="",L1449=""),"",L1449-K1449)</x:f>
      </x:c>
      <x:c r="N1449" s="46" t="str">
        <x:f>IF(OR(K1449="",A1448&lt;&gt;A1449,K1448=""),"",K1449-K1448)</x:f>
      </x:c>
      <x:c r="O1449" s="42" t="str">
        <x:v>Sem informação</x:v>
      </x:c>
      <x:c r="P1449" s="42"/>
      <x:c r="Q1449" s="42" t="str"/>
      <x:c r="R1449" s="42" t="str"/>
      <x:c r="S1449" s="42" t="str"/>
      <x:c r="T1449" s="42" t="str"/>
    </x:row>
    <x:row r="1450">
      <x:c r="A1450" s="42" t="str">
        <x:v>Henrique Menke</x:v>
      </x:c>
      <x:c r="B1450" s="42" t="n">
        <x:v>2028</x:v>
      </x:c>
      <x:c r="C1450" s="42" t="str">
        <x:v>T1</x:v>
      </x:c>
      <x:c r="D1450" s="44" t="n">
        <x:v>46843</x:v>
      </x:c>
      <x:c r="E1450" s="42" t="str">
        <x:v>Goleiro</x:v>
      </x:c>
      <x:c r="F1450" s="42" t="str">
        <x:v>SC Internacional</x:v>
      </x:c>
      <x:c r="G1450" s="46"/>
      <x:c r="H1450" s="46"/>
      <x:c r="I1450" s="46"/>
      <x:c r="J1450" s="46"/>
      <x:c r="K1450" s="46" t="str">
        <x:f>IF(COUNT(G1450,I1450)=0,"",AVERAGE(G1450,I1450))</x:f>
      </x:c>
      <x:c r="L1450" s="46" t="str">
        <x:f>IF(COUNT(H1450,J1450)=0,"",AVERAGE(H1450,J1450))</x:f>
      </x:c>
      <x:c r="M1450" s="46" t="str">
        <x:f>IF(OR(K1450="",L1450=""),"",L1450-K1450)</x:f>
      </x:c>
      <x:c r="N1450" s="46" t="str">
        <x:f>IF(OR(K1450="",A1449&lt;&gt;A1450,K1449=""),"",K1450-K1449)</x:f>
      </x:c>
      <x:c r="O1450" s="42" t="str">
        <x:v>Sem informação</x:v>
      </x:c>
      <x:c r="P1450" s="42"/>
      <x:c r="Q1450" s="42" t="str"/>
      <x:c r="R1450" s="42" t="str"/>
      <x:c r="S1450" s="42" t="str"/>
      <x:c r="T1450" s="42" t="str"/>
    </x:row>
    <x:row r="1451">
      <x:c r="A1451" s="42" t="str">
        <x:v>Henrique Menke</x:v>
      </x:c>
      <x:c r="B1451" s="42" t="n">
        <x:v>2028</x:v>
      </x:c>
      <x:c r="C1451" s="42" t="str">
        <x:v>T2</x:v>
      </x:c>
      <x:c r="D1451" s="44" t="n">
        <x:v>46934</x:v>
      </x:c>
      <x:c r="E1451" s="42" t="str">
        <x:v>Goleiro</x:v>
      </x:c>
      <x:c r="F1451" s="42" t="str">
        <x:v>SC Internacional</x:v>
      </x:c>
      <x:c r="G1451" s="46"/>
      <x:c r="H1451" s="46"/>
      <x:c r="I1451" s="46"/>
      <x:c r="J1451" s="46"/>
      <x:c r="K1451" s="46" t="str">
        <x:f>IF(COUNT(G1451,I1451)=0,"",AVERAGE(G1451,I1451))</x:f>
      </x:c>
      <x:c r="L1451" s="46" t="str">
        <x:f>IF(COUNT(H1451,J1451)=0,"",AVERAGE(H1451,J1451))</x:f>
      </x:c>
      <x:c r="M1451" s="46" t="str">
        <x:f>IF(OR(K1451="",L1451=""),"",L1451-K1451)</x:f>
      </x:c>
      <x:c r="N1451" s="46" t="str">
        <x:f>IF(OR(K1451="",A1450&lt;&gt;A1451,K1450=""),"",K1451-K1450)</x:f>
      </x:c>
      <x:c r="O1451" s="42" t="str">
        <x:v>Sem informação</x:v>
      </x:c>
      <x:c r="P1451" s="42"/>
      <x:c r="Q1451" s="42" t="str"/>
      <x:c r="R1451" s="42" t="str"/>
      <x:c r="S1451" s="42" t="str"/>
      <x:c r="T1451" s="42" t="str"/>
    </x:row>
    <x:row r="1452">
      <x:c r="A1452" s="42" t="str">
        <x:v>Henrique Menke</x:v>
      </x:c>
      <x:c r="B1452" s="42" t="n">
        <x:v>2028</x:v>
      </x:c>
      <x:c r="C1452" s="42" t="str">
        <x:v>T3</x:v>
      </x:c>
      <x:c r="D1452" s="44" t="n">
        <x:v>47026</x:v>
      </x:c>
      <x:c r="E1452" s="42" t="str">
        <x:v>Goleiro</x:v>
      </x:c>
      <x:c r="F1452" s="42" t="str">
        <x:v>SC Internacional</x:v>
      </x:c>
      <x:c r="G1452" s="46"/>
      <x:c r="H1452" s="46"/>
      <x:c r="I1452" s="46"/>
      <x:c r="J1452" s="46"/>
      <x:c r="K1452" s="46" t="str">
        <x:f>IF(COUNT(G1452,I1452)=0,"",AVERAGE(G1452,I1452))</x:f>
      </x:c>
      <x:c r="L1452" s="46" t="str">
        <x:f>IF(COUNT(H1452,J1452)=0,"",AVERAGE(H1452,J1452))</x:f>
      </x:c>
      <x:c r="M1452" s="46" t="str">
        <x:f>IF(OR(K1452="",L1452=""),"",L1452-K1452)</x:f>
      </x:c>
      <x:c r="N1452" s="46" t="str">
        <x:f>IF(OR(K1452="",A1451&lt;&gt;A1452,K1451=""),"",K1452-K1451)</x:f>
      </x:c>
      <x:c r="O1452" s="42" t="str">
        <x:v>Sem informação</x:v>
      </x:c>
      <x:c r="P1452" s="42"/>
      <x:c r="Q1452" s="42" t="str"/>
      <x:c r="R1452" s="42" t="str"/>
      <x:c r="S1452" s="42" t="str"/>
      <x:c r="T1452" s="42" t="str"/>
    </x:row>
    <x:row r="1453">
      <x:c r="A1453" s="42" t="str">
        <x:v>Henrique Menke</x:v>
      </x:c>
      <x:c r="B1453" s="42" t="n">
        <x:v>2028</x:v>
      </x:c>
      <x:c r="C1453" s="42" t="str">
        <x:v>T4</x:v>
      </x:c>
      <x:c r="D1453" s="44" t="n">
        <x:v>47118</x:v>
      </x:c>
      <x:c r="E1453" s="42" t="str">
        <x:v>Goleiro</x:v>
      </x:c>
      <x:c r="F1453" s="42" t="str">
        <x:v>SC Internacional</x:v>
      </x:c>
      <x:c r="G1453" s="46"/>
      <x:c r="H1453" s="46"/>
      <x:c r="I1453" s="46"/>
      <x:c r="J1453" s="46"/>
      <x:c r="K1453" s="46" t="str">
        <x:f>IF(COUNT(G1453,I1453)=0,"",AVERAGE(G1453,I1453))</x:f>
      </x:c>
      <x:c r="L1453" s="46" t="str">
        <x:f>IF(COUNT(H1453,J1453)=0,"",AVERAGE(H1453,J1453))</x:f>
      </x:c>
      <x:c r="M1453" s="46" t="str">
        <x:f>IF(OR(K1453="",L1453=""),"",L1453-K1453)</x:f>
      </x:c>
      <x:c r="N1453" s="46" t="str">
        <x:f>IF(OR(K1453="",A1452&lt;&gt;A1453,K1452=""),"",K1453-K1452)</x:f>
      </x:c>
      <x:c r="O1453" s="42" t="str">
        <x:v>Sem informação</x:v>
      </x:c>
      <x:c r="P1453" s="42"/>
      <x:c r="Q1453" s="42" t="str"/>
      <x:c r="R1453" s="42" t="str"/>
      <x:c r="S1453" s="42" t="str"/>
      <x:c r="T1453" s="42" t="str"/>
    </x:row>
    <x:row r="1454">
      <x:c r="A1454" s="42" t="str">
        <x:v>Henrique Menke</x:v>
      </x:c>
      <x:c r="B1454" s="42" t="n">
        <x:v>2029</x:v>
      </x:c>
      <x:c r="C1454" s="42" t="str">
        <x:v>T1</x:v>
      </x:c>
      <x:c r="D1454" s="44" t="n">
        <x:v>47208</x:v>
      </x:c>
      <x:c r="E1454" s="42" t="str">
        <x:v>Goleiro</x:v>
      </x:c>
      <x:c r="F1454" s="42" t="str">
        <x:v>SC Internacional</x:v>
      </x:c>
      <x:c r="G1454" s="46"/>
      <x:c r="H1454" s="46"/>
      <x:c r="I1454" s="46"/>
      <x:c r="J1454" s="46"/>
      <x:c r="K1454" s="46" t="str">
        <x:f>IF(COUNT(G1454,I1454)=0,"",AVERAGE(G1454,I1454))</x:f>
      </x:c>
      <x:c r="L1454" s="46" t="str">
        <x:f>IF(COUNT(H1454,J1454)=0,"",AVERAGE(H1454,J1454))</x:f>
      </x:c>
      <x:c r="M1454" s="46" t="str">
        <x:f>IF(OR(K1454="",L1454=""),"",L1454-K1454)</x:f>
      </x:c>
      <x:c r="N1454" s="46" t="str">
        <x:f>IF(OR(K1454="",A1453&lt;&gt;A1454,K1453=""),"",K1454-K1453)</x:f>
      </x:c>
      <x:c r="O1454" s="42" t="str">
        <x:v>Sem informação</x:v>
      </x:c>
      <x:c r="P1454" s="42"/>
      <x:c r="Q1454" s="42" t="str"/>
      <x:c r="R1454" s="42" t="str"/>
      <x:c r="S1454" s="42" t="str"/>
      <x:c r="T1454" s="42" t="str"/>
    </x:row>
    <x:row r="1455">
      <x:c r="A1455" s="42" t="str">
        <x:v>Henrique Menke</x:v>
      </x:c>
      <x:c r="B1455" s="42" t="n">
        <x:v>2029</x:v>
      </x:c>
      <x:c r="C1455" s="42" t="str">
        <x:v>T2</x:v>
      </x:c>
      <x:c r="D1455" s="44" t="n">
        <x:v>47299</x:v>
      </x:c>
      <x:c r="E1455" s="42" t="str">
        <x:v>Goleiro</x:v>
      </x:c>
      <x:c r="F1455" s="42" t="str">
        <x:v>SC Internacional</x:v>
      </x:c>
      <x:c r="G1455" s="46"/>
      <x:c r="H1455" s="46"/>
      <x:c r="I1455" s="46"/>
      <x:c r="J1455" s="46"/>
      <x:c r="K1455" s="46" t="str">
        <x:f>IF(COUNT(G1455,I1455)=0,"",AVERAGE(G1455,I1455))</x:f>
      </x:c>
      <x:c r="L1455" s="46" t="str">
        <x:f>IF(COUNT(H1455,J1455)=0,"",AVERAGE(H1455,J1455))</x:f>
      </x:c>
      <x:c r="M1455" s="46" t="str">
        <x:f>IF(OR(K1455="",L1455=""),"",L1455-K1455)</x:f>
      </x:c>
      <x:c r="N1455" s="46" t="str">
        <x:f>IF(OR(K1455="",A1454&lt;&gt;A1455,K1454=""),"",K1455-K1454)</x:f>
      </x:c>
      <x:c r="O1455" s="42" t="str">
        <x:v>Sem informação</x:v>
      </x:c>
      <x:c r="P1455" s="42"/>
      <x:c r="Q1455" s="42" t="str"/>
      <x:c r="R1455" s="42" t="str"/>
      <x:c r="S1455" s="42" t="str"/>
      <x:c r="T1455" s="42" t="str"/>
    </x:row>
    <x:row r="1456">
      <x:c r="A1456" s="42" t="str">
        <x:v>Henrique Menke</x:v>
      </x:c>
      <x:c r="B1456" s="42" t="n">
        <x:v>2029</x:v>
      </x:c>
      <x:c r="C1456" s="42" t="str">
        <x:v>T3</x:v>
      </x:c>
      <x:c r="D1456" s="44" t="n">
        <x:v>47391</x:v>
      </x:c>
      <x:c r="E1456" s="42" t="str">
        <x:v>Goleiro</x:v>
      </x:c>
      <x:c r="F1456" s="42" t="str">
        <x:v>SC Internacional</x:v>
      </x:c>
      <x:c r="G1456" s="46"/>
      <x:c r="H1456" s="46"/>
      <x:c r="I1456" s="46"/>
      <x:c r="J1456" s="46"/>
      <x:c r="K1456" s="46" t="str">
        <x:f>IF(COUNT(G1456,I1456)=0,"",AVERAGE(G1456,I1456))</x:f>
      </x:c>
      <x:c r="L1456" s="46" t="str">
        <x:f>IF(COUNT(H1456,J1456)=0,"",AVERAGE(H1456,J1456))</x:f>
      </x:c>
      <x:c r="M1456" s="46" t="str">
        <x:f>IF(OR(K1456="",L1456=""),"",L1456-K1456)</x:f>
      </x:c>
      <x:c r="N1456" s="46" t="str">
        <x:f>IF(OR(K1456="",A1455&lt;&gt;A1456,K1455=""),"",K1456-K1455)</x:f>
      </x:c>
      <x:c r="O1456" s="42" t="str">
        <x:v>Sem informação</x:v>
      </x:c>
      <x:c r="P1456" s="42"/>
      <x:c r="Q1456" s="42" t="str"/>
      <x:c r="R1456" s="42" t="str"/>
      <x:c r="S1456" s="42" t="str"/>
      <x:c r="T1456" s="42" t="str"/>
    </x:row>
    <x:row r="1457">
      <x:c r="A1457" s="42" t="str">
        <x:v>Henrique Menke</x:v>
      </x:c>
      <x:c r="B1457" s="42" t="n">
        <x:v>2029</x:v>
      </x:c>
      <x:c r="C1457" s="42" t="str">
        <x:v>T4</x:v>
      </x:c>
      <x:c r="D1457" s="44" t="n">
        <x:v>47483</x:v>
      </x:c>
      <x:c r="E1457" s="42" t="str">
        <x:v>Goleiro</x:v>
      </x:c>
      <x:c r="F1457" s="42" t="str">
        <x:v>SC Internacional</x:v>
      </x:c>
      <x:c r="G1457" s="46"/>
      <x:c r="H1457" s="46"/>
      <x:c r="I1457" s="46"/>
      <x:c r="J1457" s="46"/>
      <x:c r="K1457" s="46" t="str">
        <x:f>IF(COUNT(G1457,I1457)=0,"",AVERAGE(G1457,I1457))</x:f>
      </x:c>
      <x:c r="L1457" s="46" t="str">
        <x:f>IF(COUNT(H1457,J1457)=0,"",AVERAGE(H1457,J1457))</x:f>
      </x:c>
      <x:c r="M1457" s="46" t="str">
        <x:f>IF(OR(K1457="",L1457=""),"",L1457-K1457)</x:f>
      </x:c>
      <x:c r="N1457" s="46" t="str">
        <x:f>IF(OR(K1457="",A1456&lt;&gt;A1457,K1456=""),"",K1457-K1456)</x:f>
      </x:c>
      <x:c r="O1457" s="42" t="str">
        <x:v>Sem informação</x:v>
      </x:c>
      <x:c r="P1457" s="42"/>
      <x:c r="Q1457" s="42" t="str"/>
      <x:c r="R1457" s="42" t="str"/>
      <x:c r="S1457" s="42" t="str"/>
      <x:c r="T1457" s="42" t="str"/>
    </x:row>
    <x:row r="1458">
      <x:c r="A1458" s="42" t="str">
        <x:v>Henrique Menke</x:v>
      </x:c>
      <x:c r="B1458" s="42" t="n">
        <x:v>2030</x:v>
      </x:c>
      <x:c r="C1458" s="42" t="str">
        <x:v>T1</x:v>
      </x:c>
      <x:c r="D1458" s="44" t="n">
        <x:v>47573</x:v>
      </x:c>
      <x:c r="E1458" s="42" t="str">
        <x:v>Goleiro</x:v>
      </x:c>
      <x:c r="F1458" s="42" t="str">
        <x:v>SC Internacional</x:v>
      </x:c>
      <x:c r="G1458" s="46"/>
      <x:c r="H1458" s="46"/>
      <x:c r="I1458" s="46"/>
      <x:c r="J1458" s="46"/>
      <x:c r="K1458" s="46" t="str">
        <x:f>IF(COUNT(G1458,I1458)=0,"",AVERAGE(G1458,I1458))</x:f>
      </x:c>
      <x:c r="L1458" s="46" t="str">
        <x:f>IF(COUNT(H1458,J1458)=0,"",AVERAGE(H1458,J1458))</x:f>
      </x:c>
      <x:c r="M1458" s="46" t="str">
        <x:f>IF(OR(K1458="",L1458=""),"",L1458-K1458)</x:f>
      </x:c>
      <x:c r="N1458" s="46" t="str">
        <x:f>IF(OR(K1458="",A1457&lt;&gt;A1458,K1457=""),"",K1458-K1457)</x:f>
      </x:c>
      <x:c r="O1458" s="42" t="str">
        <x:v>Sem informação</x:v>
      </x:c>
      <x:c r="P1458" s="42"/>
      <x:c r="Q1458" s="42" t="str"/>
      <x:c r="R1458" s="42" t="str"/>
      <x:c r="S1458" s="42" t="str"/>
      <x:c r="T1458" s="42" t="str"/>
    </x:row>
    <x:row r="1459">
      <x:c r="A1459" s="42" t="str">
        <x:v>Henrique Menke</x:v>
      </x:c>
      <x:c r="B1459" s="42" t="n">
        <x:v>2030</x:v>
      </x:c>
      <x:c r="C1459" s="42" t="str">
        <x:v>T2</x:v>
      </x:c>
      <x:c r="D1459" s="44" t="n">
        <x:v>47664</x:v>
      </x:c>
      <x:c r="E1459" s="42" t="str">
        <x:v>Goleiro</x:v>
      </x:c>
      <x:c r="F1459" s="42" t="str">
        <x:v>SC Internacional</x:v>
      </x:c>
      <x:c r="G1459" s="46"/>
      <x:c r="H1459" s="46"/>
      <x:c r="I1459" s="46"/>
      <x:c r="J1459" s="46"/>
      <x:c r="K1459" s="46" t="str">
        <x:f>IF(COUNT(G1459,I1459)=0,"",AVERAGE(G1459,I1459))</x:f>
      </x:c>
      <x:c r="L1459" s="46" t="str">
        <x:f>IF(COUNT(H1459,J1459)=0,"",AVERAGE(H1459,J1459))</x:f>
      </x:c>
      <x:c r="M1459" s="46" t="str">
        <x:f>IF(OR(K1459="",L1459=""),"",L1459-K1459)</x:f>
      </x:c>
      <x:c r="N1459" s="46" t="str">
        <x:f>IF(OR(K1459="",A1458&lt;&gt;A1459,K1458=""),"",K1459-K1458)</x:f>
      </x:c>
      <x:c r="O1459" s="42" t="str">
        <x:v>Sem informação</x:v>
      </x:c>
      <x:c r="P1459" s="42"/>
      <x:c r="Q1459" s="42" t="str"/>
      <x:c r="R1459" s="42" t="str"/>
      <x:c r="S1459" s="42" t="str"/>
      <x:c r="T1459" s="42" t="str"/>
    </x:row>
    <x:row r="1460">
      <x:c r="A1460" s="42" t="str">
        <x:v>Henrique Menke</x:v>
      </x:c>
      <x:c r="B1460" s="42" t="n">
        <x:v>2030</x:v>
      </x:c>
      <x:c r="C1460" s="42" t="str">
        <x:v>T3</x:v>
      </x:c>
      <x:c r="D1460" s="44" t="n">
        <x:v>47756</x:v>
      </x:c>
      <x:c r="E1460" s="42" t="str">
        <x:v>Goleiro</x:v>
      </x:c>
      <x:c r="F1460" s="42" t="str">
        <x:v>SC Internacional</x:v>
      </x:c>
      <x:c r="G1460" s="46"/>
      <x:c r="H1460" s="46"/>
      <x:c r="I1460" s="46"/>
      <x:c r="J1460" s="46"/>
      <x:c r="K1460" s="46" t="str">
        <x:f>IF(COUNT(G1460,I1460)=0,"",AVERAGE(G1460,I1460))</x:f>
      </x:c>
      <x:c r="L1460" s="46" t="str">
        <x:f>IF(COUNT(H1460,J1460)=0,"",AVERAGE(H1460,J1460))</x:f>
      </x:c>
      <x:c r="M1460" s="46" t="str">
        <x:f>IF(OR(K1460="",L1460=""),"",L1460-K1460)</x:f>
      </x:c>
      <x:c r="N1460" s="46" t="str">
        <x:f>IF(OR(K1460="",A1459&lt;&gt;A1460,K1459=""),"",K1460-K1459)</x:f>
      </x:c>
      <x:c r="O1460" s="42" t="str">
        <x:v>Sem informação</x:v>
      </x:c>
      <x:c r="P1460" s="42"/>
      <x:c r="Q1460" s="42" t="str"/>
      <x:c r="R1460" s="42" t="str"/>
      <x:c r="S1460" s="42" t="str"/>
      <x:c r="T1460" s="42" t="str"/>
    </x:row>
    <x:row r="1461">
      <x:c r="A1461" s="42" t="str">
        <x:v>Henrique Menke</x:v>
      </x:c>
      <x:c r="B1461" s="42" t="n">
        <x:v>2030</x:v>
      </x:c>
      <x:c r="C1461" s="42" t="str">
        <x:v>T4</x:v>
      </x:c>
      <x:c r="D1461" s="44" t="n">
        <x:v>47848</x:v>
      </x:c>
      <x:c r="E1461" s="42" t="str">
        <x:v>Goleiro</x:v>
      </x:c>
      <x:c r="F1461" s="42" t="str">
        <x:v>SC Internacional</x:v>
      </x:c>
      <x:c r="G1461" s="46"/>
      <x:c r="H1461" s="46"/>
      <x:c r="I1461" s="46"/>
      <x:c r="J1461" s="46"/>
      <x:c r="K1461" s="46" t="str">
        <x:f>IF(COUNT(G1461,I1461)=0,"",AVERAGE(G1461,I1461))</x:f>
      </x:c>
      <x:c r="L1461" s="46" t="str">
        <x:f>IF(COUNT(H1461,J1461)=0,"",AVERAGE(H1461,J1461))</x:f>
      </x:c>
      <x:c r="M1461" s="46" t="str">
        <x:f>IF(OR(K1461="",L1461=""),"",L1461-K1461)</x:f>
      </x:c>
      <x:c r="N1461" s="46" t="str">
        <x:f>IF(OR(K1461="",A1460&lt;&gt;A1461,K1460=""),"",K1461-K1460)</x:f>
      </x:c>
      <x:c r="O1461" s="42" t="str">
        <x:v>Sem informação</x:v>
      </x:c>
      <x:c r="P1461" s="42"/>
      <x:c r="Q1461" s="42" t="str"/>
      <x:c r="R1461" s="42" t="str"/>
      <x:c r="S1461" s="42" t="str"/>
      <x:c r="T1461" s="42" t="str"/>
    </x:row>
    <x:row r="1462">
      <x:c r="A1462" s="42" t="str">
        <x:v>Vitor Reis</x:v>
      </x:c>
      <x:c r="B1462" s="42" t="n">
        <x:v>2026</x:v>
      </x:c>
      <x:c r="C1462" s="42" t="str">
        <x:v>T1</x:v>
      </x:c>
      <x:c r="D1462" s="44" t="n">
        <x:v>46112</x:v>
      </x:c>
      <x:c r="E1462" s="42" t="str">
        <x:v>Zagueiro</x:v>
      </x:c>
      <x:c r="F1462" s="42" t="str">
        <x:v>Manchester City FC</x:v>
      </x:c>
      <x:c r="G1462" s="46"/>
      <x:c r="H1462" s="46"/>
      <x:c r="I1462" s="46"/>
      <x:c r="J1462" s="46"/>
      <x:c r="K1462" s="46" t="str">
        <x:f>IF(COUNT(G1462,I1462)=0,"",AVERAGE(G1462,I1462))</x:f>
      </x:c>
      <x:c r="L1462" s="46" t="str">
        <x:f>IF(COUNT(H1462,J1462)=0,"",AVERAGE(H1462,J1462))</x:f>
      </x:c>
      <x:c r="M1462" s="46" t="str">
        <x:f>IF(OR(K1462="",L1462=""),"",L1462-K1462)</x:f>
      </x:c>
      <x:c r="N1462" s="46" t="str">
        <x:f>IF(OR(K1462="",A1461&lt;&gt;A1462,K1461=""),"",K1462-K1461)</x:f>
      </x:c>
      <x:c r="O1462" s="42" t="str">
        <x:v>Sem informação</x:v>
      </x:c>
      <x:c r="P1462" s="42"/>
      <x:c r="Q1462" s="42" t="str"/>
      <x:c r="R1462" s="42" t="str"/>
      <x:c r="S1462" s="42" t="str"/>
      <x:c r="T1462" s="42" t="str"/>
    </x:row>
    <x:row r="1463">
      <x:c r="A1463" s="42" t="str">
        <x:v>Vitor Reis</x:v>
      </x:c>
      <x:c r="B1463" s="42" t="n">
        <x:v>2026</x:v>
      </x:c>
      <x:c r="C1463" s="42" t="str">
        <x:v>T2</x:v>
      </x:c>
      <x:c r="D1463" s="44" t="n">
        <x:v>46203</x:v>
      </x:c>
      <x:c r="E1463" s="42" t="str">
        <x:v>Zagueiro</x:v>
      </x:c>
      <x:c r="F1463" s="42" t="str">
        <x:v>Manchester City FC</x:v>
      </x:c>
      <x:c r="G1463" s="46"/>
      <x:c r="H1463" s="46"/>
      <x:c r="I1463" s="46"/>
      <x:c r="J1463" s="46"/>
      <x:c r="K1463" s="46" t="str">
        <x:f>IF(COUNT(G1463,I1463)=0,"",AVERAGE(G1463,I1463))</x:f>
      </x:c>
      <x:c r="L1463" s="46" t="str">
        <x:f>IF(COUNT(H1463,J1463)=0,"",AVERAGE(H1463,J1463))</x:f>
      </x:c>
      <x:c r="M1463" s="46" t="str">
        <x:f>IF(OR(K1463="",L1463=""),"",L1463-K1463)</x:f>
      </x:c>
      <x:c r="N1463" s="46" t="str">
        <x:f>IF(OR(K1463="",A1462&lt;&gt;A1463,K1462=""),"",K1463-K1462)</x:f>
      </x:c>
      <x:c r="O1463" s="42" t="str">
        <x:v>Sem informação</x:v>
      </x:c>
      <x:c r="P1463" s="42"/>
      <x:c r="Q1463" s="42" t="str"/>
      <x:c r="R1463" s="42" t="str"/>
      <x:c r="S1463" s="42" t="str"/>
      <x:c r="T1463" s="42" t="str"/>
    </x:row>
    <x:row r="1464">
      <x:c r="A1464" s="42" t="str">
        <x:v>Vitor Reis</x:v>
      </x:c>
      <x:c r="B1464" s="42" t="n">
        <x:v>2026</x:v>
      </x:c>
      <x:c r="C1464" s="42" t="str">
        <x:v>T3</x:v>
      </x:c>
      <x:c r="D1464" s="44" t="n">
        <x:v>46295</x:v>
      </x:c>
      <x:c r="E1464" s="42" t="str">
        <x:v>Zagueiro</x:v>
      </x:c>
      <x:c r="F1464" s="42" t="str">
        <x:v>Manchester City FC</x:v>
      </x:c>
      <x:c r="G1464" s="46"/>
      <x:c r="H1464" s="46"/>
      <x:c r="I1464" s="46"/>
      <x:c r="J1464" s="46"/>
      <x:c r="K1464" s="46" t="str">
        <x:f>IF(COUNT(G1464,I1464)=0,"",AVERAGE(G1464,I1464))</x:f>
      </x:c>
      <x:c r="L1464" s="46" t="str">
        <x:f>IF(COUNT(H1464,J1464)=0,"",AVERAGE(H1464,J1464))</x:f>
      </x:c>
      <x:c r="M1464" s="46" t="str">
        <x:f>IF(OR(K1464="",L1464=""),"",L1464-K1464)</x:f>
      </x:c>
      <x:c r="N1464" s="46" t="str">
        <x:f>IF(OR(K1464="",A1463&lt;&gt;A1464,K1463=""),"",K1464-K1463)</x:f>
      </x:c>
      <x:c r="O1464" s="42" t="str">
        <x:v>Sem informação</x:v>
      </x:c>
      <x:c r="P1464" s="42"/>
      <x:c r="Q1464" s="42" t="str"/>
      <x:c r="R1464" s="42" t="str"/>
      <x:c r="S1464" s="42" t="str"/>
      <x:c r="T1464" s="42" t="str"/>
    </x:row>
    <x:row r="1465">
      <x:c r="A1465" s="42" t="str">
        <x:v>Vitor Reis</x:v>
      </x:c>
      <x:c r="B1465" s="42" t="n">
        <x:v>2026</x:v>
      </x:c>
      <x:c r="C1465" s="42" t="str">
        <x:v>T4</x:v>
      </x:c>
      <x:c r="D1465" s="44" t="n">
        <x:v>46387</x:v>
      </x:c>
      <x:c r="E1465" s="42" t="str">
        <x:v>Zagueiro</x:v>
      </x:c>
      <x:c r="F1465" s="42" t="str">
        <x:v>Manchester City FC</x:v>
      </x:c>
      <x:c r="G1465" s="46"/>
      <x:c r="H1465" s="46"/>
      <x:c r="I1465" s="46"/>
      <x:c r="J1465" s="46"/>
      <x:c r="K1465" s="46" t="str">
        <x:f>IF(COUNT(G1465,I1465)=0,"",AVERAGE(G1465,I1465))</x:f>
      </x:c>
      <x:c r="L1465" s="46" t="str">
        <x:f>IF(COUNT(H1465,J1465)=0,"",AVERAGE(H1465,J1465))</x:f>
      </x:c>
      <x:c r="M1465" s="46" t="str">
        <x:f>IF(OR(K1465="",L1465=""),"",L1465-K1465)</x:f>
      </x:c>
      <x:c r="N1465" s="46" t="str">
        <x:f>IF(OR(K1465="",A1464&lt;&gt;A1465,K1464=""),"",K1465-K1464)</x:f>
      </x:c>
      <x:c r="O1465" s="42" t="str">
        <x:v>Sem informação</x:v>
      </x:c>
      <x:c r="P1465" s="42"/>
      <x:c r="Q1465" s="42" t="str"/>
      <x:c r="R1465" s="42" t="str"/>
      <x:c r="S1465" s="42" t="str"/>
      <x:c r="T1465" s="42" t="str"/>
    </x:row>
    <x:row r="1466">
      <x:c r="A1466" s="42" t="str">
        <x:v>Vitor Reis</x:v>
      </x:c>
      <x:c r="B1466" s="42" t="n">
        <x:v>2027</x:v>
      </x:c>
      <x:c r="C1466" s="42" t="str">
        <x:v>T1</x:v>
      </x:c>
      <x:c r="D1466" s="44" t="n">
        <x:v>46477</x:v>
      </x:c>
      <x:c r="E1466" s="42" t="str">
        <x:v>Zagueiro</x:v>
      </x:c>
      <x:c r="F1466" s="42" t="str">
        <x:v>Manchester City FC</x:v>
      </x:c>
      <x:c r="G1466" s="46"/>
      <x:c r="H1466" s="46"/>
      <x:c r="I1466" s="46"/>
      <x:c r="J1466" s="46"/>
      <x:c r="K1466" s="46" t="str">
        <x:f>IF(COUNT(G1466,I1466)=0,"",AVERAGE(G1466,I1466))</x:f>
      </x:c>
      <x:c r="L1466" s="46" t="str">
        <x:f>IF(COUNT(H1466,J1466)=0,"",AVERAGE(H1466,J1466))</x:f>
      </x:c>
      <x:c r="M1466" s="46" t="str">
        <x:f>IF(OR(K1466="",L1466=""),"",L1466-K1466)</x:f>
      </x:c>
      <x:c r="N1466" s="46" t="str">
        <x:f>IF(OR(K1466="",A1465&lt;&gt;A1466,K1465=""),"",K1466-K1465)</x:f>
      </x:c>
      <x:c r="O1466" s="42" t="str">
        <x:v>Sem informação</x:v>
      </x:c>
      <x:c r="P1466" s="42"/>
      <x:c r="Q1466" s="42" t="str"/>
      <x:c r="R1466" s="42" t="str"/>
      <x:c r="S1466" s="42" t="str"/>
      <x:c r="T1466" s="42" t="str"/>
    </x:row>
    <x:row r="1467">
      <x:c r="A1467" s="42" t="str">
        <x:v>Vitor Reis</x:v>
      </x:c>
      <x:c r="B1467" s="42" t="n">
        <x:v>2027</x:v>
      </x:c>
      <x:c r="C1467" s="42" t="str">
        <x:v>T2</x:v>
      </x:c>
      <x:c r="D1467" s="44" t="n">
        <x:v>46568</x:v>
      </x:c>
      <x:c r="E1467" s="42" t="str">
        <x:v>Zagueiro</x:v>
      </x:c>
      <x:c r="F1467" s="42" t="str">
        <x:v>Manchester City FC</x:v>
      </x:c>
      <x:c r="G1467" s="46"/>
      <x:c r="H1467" s="46"/>
      <x:c r="I1467" s="46"/>
      <x:c r="J1467" s="46"/>
      <x:c r="K1467" s="46" t="str">
        <x:f>IF(COUNT(G1467,I1467)=0,"",AVERAGE(G1467,I1467))</x:f>
      </x:c>
      <x:c r="L1467" s="46" t="str">
        <x:f>IF(COUNT(H1467,J1467)=0,"",AVERAGE(H1467,J1467))</x:f>
      </x:c>
      <x:c r="M1467" s="46" t="str">
        <x:f>IF(OR(K1467="",L1467=""),"",L1467-K1467)</x:f>
      </x:c>
      <x:c r="N1467" s="46" t="str">
        <x:f>IF(OR(K1467="",A1466&lt;&gt;A1467,K1466=""),"",K1467-K1466)</x:f>
      </x:c>
      <x:c r="O1467" s="42" t="str">
        <x:v>Sem informação</x:v>
      </x:c>
      <x:c r="P1467" s="42"/>
      <x:c r="Q1467" s="42" t="str"/>
      <x:c r="R1467" s="42" t="str"/>
      <x:c r="S1467" s="42" t="str"/>
      <x:c r="T1467" s="42" t="str"/>
    </x:row>
    <x:row r="1468">
      <x:c r="A1468" s="42" t="str">
        <x:v>Vitor Reis</x:v>
      </x:c>
      <x:c r="B1468" s="42" t="n">
        <x:v>2027</x:v>
      </x:c>
      <x:c r="C1468" s="42" t="str">
        <x:v>T3</x:v>
      </x:c>
      <x:c r="D1468" s="44" t="n">
        <x:v>46660</x:v>
      </x:c>
      <x:c r="E1468" s="42" t="str">
        <x:v>Zagueiro</x:v>
      </x:c>
      <x:c r="F1468" s="42" t="str">
        <x:v>Manchester City FC</x:v>
      </x:c>
      <x:c r="G1468" s="46"/>
      <x:c r="H1468" s="46"/>
      <x:c r="I1468" s="46"/>
      <x:c r="J1468" s="46"/>
      <x:c r="K1468" s="46" t="str">
        <x:f>IF(COUNT(G1468,I1468)=0,"",AVERAGE(G1468,I1468))</x:f>
      </x:c>
      <x:c r="L1468" s="46" t="str">
        <x:f>IF(COUNT(H1468,J1468)=0,"",AVERAGE(H1468,J1468))</x:f>
      </x:c>
      <x:c r="M1468" s="46" t="str">
        <x:f>IF(OR(K1468="",L1468=""),"",L1468-K1468)</x:f>
      </x:c>
      <x:c r="N1468" s="46" t="str">
        <x:f>IF(OR(K1468="",A1467&lt;&gt;A1468,K1467=""),"",K1468-K1467)</x:f>
      </x:c>
      <x:c r="O1468" s="42" t="str">
        <x:v>Sem informação</x:v>
      </x:c>
      <x:c r="P1468" s="42"/>
      <x:c r="Q1468" s="42" t="str"/>
      <x:c r="R1468" s="42" t="str"/>
      <x:c r="S1468" s="42" t="str"/>
      <x:c r="T1468" s="42" t="str"/>
    </x:row>
    <x:row r="1469">
      <x:c r="A1469" s="42" t="str">
        <x:v>Vitor Reis</x:v>
      </x:c>
      <x:c r="B1469" s="42" t="n">
        <x:v>2027</x:v>
      </x:c>
      <x:c r="C1469" s="42" t="str">
        <x:v>T4</x:v>
      </x:c>
      <x:c r="D1469" s="44" t="n">
        <x:v>46752</x:v>
      </x:c>
      <x:c r="E1469" s="42" t="str">
        <x:v>Zagueiro</x:v>
      </x:c>
      <x:c r="F1469" s="42" t="str">
        <x:v>Manchester City FC</x:v>
      </x:c>
      <x:c r="G1469" s="46"/>
      <x:c r="H1469" s="46"/>
      <x:c r="I1469" s="46"/>
      <x:c r="J1469" s="46"/>
      <x:c r="K1469" s="46" t="str">
        <x:f>IF(COUNT(G1469,I1469)=0,"",AVERAGE(G1469,I1469))</x:f>
      </x:c>
      <x:c r="L1469" s="46" t="str">
        <x:f>IF(COUNT(H1469,J1469)=0,"",AVERAGE(H1469,J1469))</x:f>
      </x:c>
      <x:c r="M1469" s="46" t="str">
        <x:f>IF(OR(K1469="",L1469=""),"",L1469-K1469)</x:f>
      </x:c>
      <x:c r="N1469" s="46" t="str">
        <x:f>IF(OR(K1469="",A1468&lt;&gt;A1469,K1468=""),"",K1469-K1468)</x:f>
      </x:c>
      <x:c r="O1469" s="42" t="str">
        <x:v>Sem informação</x:v>
      </x:c>
      <x:c r="P1469" s="42"/>
      <x:c r="Q1469" s="42" t="str"/>
      <x:c r="R1469" s="42" t="str"/>
      <x:c r="S1469" s="42" t="str"/>
      <x:c r="T1469" s="42" t="str"/>
    </x:row>
    <x:row r="1470">
      <x:c r="A1470" s="42" t="str">
        <x:v>Vitor Reis</x:v>
      </x:c>
      <x:c r="B1470" s="42" t="n">
        <x:v>2028</x:v>
      </x:c>
      <x:c r="C1470" s="42" t="str">
        <x:v>T1</x:v>
      </x:c>
      <x:c r="D1470" s="44" t="n">
        <x:v>46843</x:v>
      </x:c>
      <x:c r="E1470" s="42" t="str">
        <x:v>Zagueiro</x:v>
      </x:c>
      <x:c r="F1470" s="42" t="str">
        <x:v>Manchester City FC</x:v>
      </x:c>
      <x:c r="G1470" s="46"/>
      <x:c r="H1470" s="46"/>
      <x:c r="I1470" s="46"/>
      <x:c r="J1470" s="46"/>
      <x:c r="K1470" s="46" t="str">
        <x:f>IF(COUNT(G1470,I1470)=0,"",AVERAGE(G1470,I1470))</x:f>
      </x:c>
      <x:c r="L1470" s="46" t="str">
        <x:f>IF(COUNT(H1470,J1470)=0,"",AVERAGE(H1470,J1470))</x:f>
      </x:c>
      <x:c r="M1470" s="46" t="str">
        <x:f>IF(OR(K1470="",L1470=""),"",L1470-K1470)</x:f>
      </x:c>
      <x:c r="N1470" s="46" t="str">
        <x:f>IF(OR(K1470="",A1469&lt;&gt;A1470,K1469=""),"",K1470-K1469)</x:f>
      </x:c>
      <x:c r="O1470" s="42" t="str">
        <x:v>Sem informação</x:v>
      </x:c>
      <x:c r="P1470" s="42"/>
      <x:c r="Q1470" s="42" t="str"/>
      <x:c r="R1470" s="42" t="str"/>
      <x:c r="S1470" s="42" t="str"/>
      <x:c r="T1470" s="42" t="str"/>
    </x:row>
    <x:row r="1471">
      <x:c r="A1471" s="42" t="str">
        <x:v>Vitor Reis</x:v>
      </x:c>
      <x:c r="B1471" s="42" t="n">
        <x:v>2028</x:v>
      </x:c>
      <x:c r="C1471" s="42" t="str">
        <x:v>T2</x:v>
      </x:c>
      <x:c r="D1471" s="44" t="n">
        <x:v>46934</x:v>
      </x:c>
      <x:c r="E1471" s="42" t="str">
        <x:v>Zagueiro</x:v>
      </x:c>
      <x:c r="F1471" s="42" t="str">
        <x:v>Manchester City FC</x:v>
      </x:c>
      <x:c r="G1471" s="46"/>
      <x:c r="H1471" s="46"/>
      <x:c r="I1471" s="46"/>
      <x:c r="J1471" s="46"/>
      <x:c r="K1471" s="46" t="str">
        <x:f>IF(COUNT(G1471,I1471)=0,"",AVERAGE(G1471,I1471))</x:f>
      </x:c>
      <x:c r="L1471" s="46" t="str">
        <x:f>IF(COUNT(H1471,J1471)=0,"",AVERAGE(H1471,J1471))</x:f>
      </x:c>
      <x:c r="M1471" s="46" t="str">
        <x:f>IF(OR(K1471="",L1471=""),"",L1471-K1471)</x:f>
      </x:c>
      <x:c r="N1471" s="46" t="str">
        <x:f>IF(OR(K1471="",A1470&lt;&gt;A1471,K1470=""),"",K1471-K1470)</x:f>
      </x:c>
      <x:c r="O1471" s="42" t="str">
        <x:v>Sem informação</x:v>
      </x:c>
      <x:c r="P1471" s="42"/>
      <x:c r="Q1471" s="42" t="str"/>
      <x:c r="R1471" s="42" t="str"/>
      <x:c r="S1471" s="42" t="str"/>
      <x:c r="T1471" s="42" t="str"/>
    </x:row>
    <x:row r="1472">
      <x:c r="A1472" s="42" t="str">
        <x:v>Vitor Reis</x:v>
      </x:c>
      <x:c r="B1472" s="42" t="n">
        <x:v>2028</x:v>
      </x:c>
      <x:c r="C1472" s="42" t="str">
        <x:v>T3</x:v>
      </x:c>
      <x:c r="D1472" s="44" t="n">
        <x:v>47026</x:v>
      </x:c>
      <x:c r="E1472" s="42" t="str">
        <x:v>Zagueiro</x:v>
      </x:c>
      <x:c r="F1472" s="42" t="str">
        <x:v>Manchester City FC</x:v>
      </x:c>
      <x:c r="G1472" s="46"/>
      <x:c r="H1472" s="46"/>
      <x:c r="I1472" s="46"/>
      <x:c r="J1472" s="46"/>
      <x:c r="K1472" s="46" t="str">
        <x:f>IF(COUNT(G1472,I1472)=0,"",AVERAGE(G1472,I1472))</x:f>
      </x:c>
      <x:c r="L1472" s="46" t="str">
        <x:f>IF(COUNT(H1472,J1472)=0,"",AVERAGE(H1472,J1472))</x:f>
      </x:c>
      <x:c r="M1472" s="46" t="str">
        <x:f>IF(OR(K1472="",L1472=""),"",L1472-K1472)</x:f>
      </x:c>
      <x:c r="N1472" s="46" t="str">
        <x:f>IF(OR(K1472="",A1471&lt;&gt;A1472,K1471=""),"",K1472-K1471)</x:f>
      </x:c>
      <x:c r="O1472" s="42" t="str">
        <x:v>Sem informação</x:v>
      </x:c>
      <x:c r="P1472" s="42"/>
      <x:c r="Q1472" s="42" t="str"/>
      <x:c r="R1472" s="42" t="str"/>
      <x:c r="S1472" s="42" t="str"/>
      <x:c r="T1472" s="42" t="str"/>
    </x:row>
    <x:row r="1473">
      <x:c r="A1473" s="42" t="str">
        <x:v>Vitor Reis</x:v>
      </x:c>
      <x:c r="B1473" s="42" t="n">
        <x:v>2028</x:v>
      </x:c>
      <x:c r="C1473" s="42" t="str">
        <x:v>T4</x:v>
      </x:c>
      <x:c r="D1473" s="44" t="n">
        <x:v>47118</x:v>
      </x:c>
      <x:c r="E1473" s="42" t="str">
        <x:v>Zagueiro</x:v>
      </x:c>
      <x:c r="F1473" s="42" t="str">
        <x:v>Manchester City FC</x:v>
      </x:c>
      <x:c r="G1473" s="46"/>
      <x:c r="H1473" s="46"/>
      <x:c r="I1473" s="46"/>
      <x:c r="J1473" s="46"/>
      <x:c r="K1473" s="46" t="str">
        <x:f>IF(COUNT(G1473,I1473)=0,"",AVERAGE(G1473,I1473))</x:f>
      </x:c>
      <x:c r="L1473" s="46" t="str">
        <x:f>IF(COUNT(H1473,J1473)=0,"",AVERAGE(H1473,J1473))</x:f>
      </x:c>
      <x:c r="M1473" s="46" t="str">
        <x:f>IF(OR(K1473="",L1473=""),"",L1473-K1473)</x:f>
      </x:c>
      <x:c r="N1473" s="46" t="str">
        <x:f>IF(OR(K1473="",A1472&lt;&gt;A1473,K1472=""),"",K1473-K1472)</x:f>
      </x:c>
      <x:c r="O1473" s="42" t="str">
        <x:v>Sem informação</x:v>
      </x:c>
      <x:c r="P1473" s="42"/>
      <x:c r="Q1473" s="42" t="str"/>
      <x:c r="R1473" s="42" t="str"/>
      <x:c r="S1473" s="42" t="str"/>
      <x:c r="T1473" s="42" t="str"/>
    </x:row>
    <x:row r="1474">
      <x:c r="A1474" s="42" t="str">
        <x:v>Vitor Reis</x:v>
      </x:c>
      <x:c r="B1474" s="42" t="n">
        <x:v>2029</x:v>
      </x:c>
      <x:c r="C1474" s="42" t="str">
        <x:v>T1</x:v>
      </x:c>
      <x:c r="D1474" s="44" t="n">
        <x:v>47208</x:v>
      </x:c>
      <x:c r="E1474" s="42" t="str">
        <x:v>Zagueiro</x:v>
      </x:c>
      <x:c r="F1474" s="42" t="str">
        <x:v>Manchester City FC</x:v>
      </x:c>
      <x:c r="G1474" s="46"/>
      <x:c r="H1474" s="46"/>
      <x:c r="I1474" s="46"/>
      <x:c r="J1474" s="46"/>
      <x:c r="K1474" s="46" t="str">
        <x:f>IF(COUNT(G1474,I1474)=0,"",AVERAGE(G1474,I1474))</x:f>
      </x:c>
      <x:c r="L1474" s="46" t="str">
        <x:f>IF(COUNT(H1474,J1474)=0,"",AVERAGE(H1474,J1474))</x:f>
      </x:c>
      <x:c r="M1474" s="46" t="str">
        <x:f>IF(OR(K1474="",L1474=""),"",L1474-K1474)</x:f>
      </x:c>
      <x:c r="N1474" s="46" t="str">
        <x:f>IF(OR(K1474="",A1473&lt;&gt;A1474,K1473=""),"",K1474-K1473)</x:f>
      </x:c>
      <x:c r="O1474" s="42" t="str">
        <x:v>Sem informação</x:v>
      </x:c>
      <x:c r="P1474" s="42"/>
      <x:c r="Q1474" s="42" t="str"/>
      <x:c r="R1474" s="42" t="str"/>
      <x:c r="S1474" s="42" t="str"/>
      <x:c r="T1474" s="42" t="str"/>
    </x:row>
    <x:row r="1475">
      <x:c r="A1475" s="42" t="str">
        <x:v>Vitor Reis</x:v>
      </x:c>
      <x:c r="B1475" s="42" t="n">
        <x:v>2029</x:v>
      </x:c>
      <x:c r="C1475" s="42" t="str">
        <x:v>T2</x:v>
      </x:c>
      <x:c r="D1475" s="44" t="n">
        <x:v>47299</x:v>
      </x:c>
      <x:c r="E1475" s="42" t="str">
        <x:v>Zagueiro</x:v>
      </x:c>
      <x:c r="F1475" s="42" t="str">
        <x:v>Manchester City FC</x:v>
      </x:c>
      <x:c r="G1475" s="46"/>
      <x:c r="H1475" s="46"/>
      <x:c r="I1475" s="46"/>
      <x:c r="J1475" s="46"/>
      <x:c r="K1475" s="46" t="str">
        <x:f>IF(COUNT(G1475,I1475)=0,"",AVERAGE(G1475,I1475))</x:f>
      </x:c>
      <x:c r="L1475" s="46" t="str">
        <x:f>IF(COUNT(H1475,J1475)=0,"",AVERAGE(H1475,J1475))</x:f>
      </x:c>
      <x:c r="M1475" s="46" t="str">
        <x:f>IF(OR(K1475="",L1475=""),"",L1475-K1475)</x:f>
      </x:c>
      <x:c r="N1475" s="46" t="str">
        <x:f>IF(OR(K1475="",A1474&lt;&gt;A1475,K1474=""),"",K1475-K1474)</x:f>
      </x:c>
      <x:c r="O1475" s="42" t="str">
        <x:v>Sem informação</x:v>
      </x:c>
      <x:c r="P1475" s="42"/>
      <x:c r="Q1475" s="42" t="str"/>
      <x:c r="R1475" s="42" t="str"/>
      <x:c r="S1475" s="42" t="str"/>
      <x:c r="T1475" s="42" t="str"/>
    </x:row>
    <x:row r="1476">
      <x:c r="A1476" s="42" t="str">
        <x:v>Vitor Reis</x:v>
      </x:c>
      <x:c r="B1476" s="42" t="n">
        <x:v>2029</x:v>
      </x:c>
      <x:c r="C1476" s="42" t="str">
        <x:v>T3</x:v>
      </x:c>
      <x:c r="D1476" s="44" t="n">
        <x:v>47391</x:v>
      </x:c>
      <x:c r="E1476" s="42" t="str">
        <x:v>Zagueiro</x:v>
      </x:c>
      <x:c r="F1476" s="42" t="str">
        <x:v>Manchester City FC</x:v>
      </x:c>
      <x:c r="G1476" s="46"/>
      <x:c r="H1476" s="46"/>
      <x:c r="I1476" s="46"/>
      <x:c r="J1476" s="46"/>
      <x:c r="K1476" s="46" t="str">
        <x:f>IF(COUNT(G1476,I1476)=0,"",AVERAGE(G1476,I1476))</x:f>
      </x:c>
      <x:c r="L1476" s="46" t="str">
        <x:f>IF(COUNT(H1476,J1476)=0,"",AVERAGE(H1476,J1476))</x:f>
      </x:c>
      <x:c r="M1476" s="46" t="str">
        <x:f>IF(OR(K1476="",L1476=""),"",L1476-K1476)</x:f>
      </x:c>
      <x:c r="N1476" s="46" t="str">
        <x:f>IF(OR(K1476="",A1475&lt;&gt;A1476,K1475=""),"",K1476-K1475)</x:f>
      </x:c>
      <x:c r="O1476" s="42" t="str">
        <x:v>Sem informação</x:v>
      </x:c>
      <x:c r="P1476" s="42"/>
      <x:c r="Q1476" s="42" t="str"/>
      <x:c r="R1476" s="42" t="str"/>
      <x:c r="S1476" s="42" t="str"/>
      <x:c r="T1476" s="42" t="str"/>
    </x:row>
    <x:row r="1477">
      <x:c r="A1477" s="42" t="str">
        <x:v>Vitor Reis</x:v>
      </x:c>
      <x:c r="B1477" s="42" t="n">
        <x:v>2029</x:v>
      </x:c>
      <x:c r="C1477" s="42" t="str">
        <x:v>T4</x:v>
      </x:c>
      <x:c r="D1477" s="44" t="n">
        <x:v>47483</x:v>
      </x:c>
      <x:c r="E1477" s="42" t="str">
        <x:v>Zagueiro</x:v>
      </x:c>
      <x:c r="F1477" s="42" t="str">
        <x:v>Manchester City FC</x:v>
      </x:c>
      <x:c r="G1477" s="46"/>
      <x:c r="H1477" s="46"/>
      <x:c r="I1477" s="46"/>
      <x:c r="J1477" s="46"/>
      <x:c r="K1477" s="46" t="str">
        <x:f>IF(COUNT(G1477,I1477)=0,"",AVERAGE(G1477,I1477))</x:f>
      </x:c>
      <x:c r="L1477" s="46" t="str">
        <x:f>IF(COUNT(H1477,J1477)=0,"",AVERAGE(H1477,J1477))</x:f>
      </x:c>
      <x:c r="M1477" s="46" t="str">
        <x:f>IF(OR(K1477="",L1477=""),"",L1477-K1477)</x:f>
      </x:c>
      <x:c r="N1477" s="46" t="str">
        <x:f>IF(OR(K1477="",A1476&lt;&gt;A1477,K1476=""),"",K1477-K1476)</x:f>
      </x:c>
      <x:c r="O1477" s="42" t="str">
        <x:v>Sem informação</x:v>
      </x:c>
      <x:c r="P1477" s="42"/>
      <x:c r="Q1477" s="42" t="str"/>
      <x:c r="R1477" s="42" t="str"/>
      <x:c r="S1477" s="42" t="str"/>
      <x:c r="T1477" s="42" t="str"/>
    </x:row>
    <x:row r="1478">
      <x:c r="A1478" s="42" t="str">
        <x:v>Vitor Reis</x:v>
      </x:c>
      <x:c r="B1478" s="42" t="n">
        <x:v>2030</x:v>
      </x:c>
      <x:c r="C1478" s="42" t="str">
        <x:v>T1</x:v>
      </x:c>
      <x:c r="D1478" s="44" t="n">
        <x:v>47573</x:v>
      </x:c>
      <x:c r="E1478" s="42" t="str">
        <x:v>Zagueiro</x:v>
      </x:c>
      <x:c r="F1478" s="42" t="str">
        <x:v>Manchester City FC</x:v>
      </x:c>
      <x:c r="G1478" s="46"/>
      <x:c r="H1478" s="46"/>
      <x:c r="I1478" s="46"/>
      <x:c r="J1478" s="46"/>
      <x:c r="K1478" s="46" t="str">
        <x:f>IF(COUNT(G1478,I1478)=0,"",AVERAGE(G1478,I1478))</x:f>
      </x:c>
      <x:c r="L1478" s="46" t="str">
        <x:f>IF(COUNT(H1478,J1478)=0,"",AVERAGE(H1478,J1478))</x:f>
      </x:c>
      <x:c r="M1478" s="46" t="str">
        <x:f>IF(OR(K1478="",L1478=""),"",L1478-K1478)</x:f>
      </x:c>
      <x:c r="N1478" s="46" t="str">
        <x:f>IF(OR(K1478="",A1477&lt;&gt;A1478,K1477=""),"",K1478-K1477)</x:f>
      </x:c>
      <x:c r="O1478" s="42" t="str">
        <x:v>Sem informação</x:v>
      </x:c>
      <x:c r="P1478" s="42"/>
      <x:c r="Q1478" s="42" t="str"/>
      <x:c r="R1478" s="42" t="str"/>
      <x:c r="S1478" s="42" t="str"/>
      <x:c r="T1478" s="42" t="str"/>
    </x:row>
    <x:row r="1479">
      <x:c r="A1479" s="42" t="str">
        <x:v>Vitor Reis</x:v>
      </x:c>
      <x:c r="B1479" s="42" t="n">
        <x:v>2030</x:v>
      </x:c>
      <x:c r="C1479" s="42" t="str">
        <x:v>T2</x:v>
      </x:c>
      <x:c r="D1479" s="44" t="n">
        <x:v>47664</x:v>
      </x:c>
      <x:c r="E1479" s="42" t="str">
        <x:v>Zagueiro</x:v>
      </x:c>
      <x:c r="F1479" s="42" t="str">
        <x:v>Manchester City FC</x:v>
      </x:c>
      <x:c r="G1479" s="46"/>
      <x:c r="H1479" s="46"/>
      <x:c r="I1479" s="46"/>
      <x:c r="J1479" s="46"/>
      <x:c r="K1479" s="46" t="str">
        <x:f>IF(COUNT(G1479,I1479)=0,"",AVERAGE(G1479,I1479))</x:f>
      </x:c>
      <x:c r="L1479" s="46" t="str">
        <x:f>IF(COUNT(H1479,J1479)=0,"",AVERAGE(H1479,J1479))</x:f>
      </x:c>
      <x:c r="M1479" s="46" t="str">
        <x:f>IF(OR(K1479="",L1479=""),"",L1479-K1479)</x:f>
      </x:c>
      <x:c r="N1479" s="46" t="str">
        <x:f>IF(OR(K1479="",A1478&lt;&gt;A1479,K1478=""),"",K1479-K1478)</x:f>
      </x:c>
      <x:c r="O1479" s="42" t="str">
        <x:v>Sem informação</x:v>
      </x:c>
      <x:c r="P1479" s="42"/>
      <x:c r="Q1479" s="42" t="str"/>
      <x:c r="R1479" s="42" t="str"/>
      <x:c r="S1479" s="42" t="str"/>
      <x:c r="T1479" s="42" t="str"/>
    </x:row>
    <x:row r="1480">
      <x:c r="A1480" s="42" t="str">
        <x:v>Vitor Reis</x:v>
      </x:c>
      <x:c r="B1480" s="42" t="n">
        <x:v>2030</x:v>
      </x:c>
      <x:c r="C1480" s="42" t="str">
        <x:v>T3</x:v>
      </x:c>
      <x:c r="D1480" s="44" t="n">
        <x:v>47756</x:v>
      </x:c>
      <x:c r="E1480" s="42" t="str">
        <x:v>Zagueiro</x:v>
      </x:c>
      <x:c r="F1480" s="42" t="str">
        <x:v>Manchester City FC</x:v>
      </x:c>
      <x:c r="G1480" s="46"/>
      <x:c r="H1480" s="46"/>
      <x:c r="I1480" s="46"/>
      <x:c r="J1480" s="46"/>
      <x:c r="K1480" s="46" t="str">
        <x:f>IF(COUNT(G1480,I1480)=0,"",AVERAGE(G1480,I1480))</x:f>
      </x:c>
      <x:c r="L1480" s="46" t="str">
        <x:f>IF(COUNT(H1480,J1480)=0,"",AVERAGE(H1480,J1480))</x:f>
      </x:c>
      <x:c r="M1480" s="46" t="str">
        <x:f>IF(OR(K1480="",L1480=""),"",L1480-K1480)</x:f>
      </x:c>
      <x:c r="N1480" s="46" t="str">
        <x:f>IF(OR(K1480="",A1479&lt;&gt;A1480,K1479=""),"",K1480-K1479)</x:f>
      </x:c>
      <x:c r="O1480" s="42" t="str">
        <x:v>Sem informação</x:v>
      </x:c>
      <x:c r="P1480" s="42"/>
      <x:c r="Q1480" s="42" t="str"/>
      <x:c r="R1480" s="42" t="str"/>
      <x:c r="S1480" s="42" t="str"/>
      <x:c r="T1480" s="42" t="str"/>
    </x:row>
    <x:row r="1481">
      <x:c r="A1481" s="42" t="str">
        <x:v>Vitor Reis</x:v>
      </x:c>
      <x:c r="B1481" s="42" t="n">
        <x:v>2030</x:v>
      </x:c>
      <x:c r="C1481" s="42" t="str">
        <x:v>T4</x:v>
      </x:c>
      <x:c r="D1481" s="44" t="n">
        <x:v>47848</x:v>
      </x:c>
      <x:c r="E1481" s="42" t="str">
        <x:v>Zagueiro</x:v>
      </x:c>
      <x:c r="F1481" s="42" t="str">
        <x:v>Manchester City FC</x:v>
      </x:c>
      <x:c r="G1481" s="46"/>
      <x:c r="H1481" s="46"/>
      <x:c r="I1481" s="46"/>
      <x:c r="J1481" s="46"/>
      <x:c r="K1481" s="46" t="str">
        <x:f>IF(COUNT(G1481,I1481)=0,"",AVERAGE(G1481,I1481))</x:f>
      </x:c>
      <x:c r="L1481" s="46" t="str">
        <x:f>IF(COUNT(H1481,J1481)=0,"",AVERAGE(H1481,J1481))</x:f>
      </x:c>
      <x:c r="M1481" s="46" t="str">
        <x:f>IF(OR(K1481="",L1481=""),"",L1481-K1481)</x:f>
      </x:c>
      <x:c r="N1481" s="46" t="str">
        <x:f>IF(OR(K1481="",A1480&lt;&gt;A1481,K1480=""),"",K1481-K1480)</x:f>
      </x:c>
      <x:c r="O1481" s="42" t="str">
        <x:v>Sem informação</x:v>
      </x:c>
      <x:c r="P1481" s="42"/>
      <x:c r="Q1481" s="42" t="str"/>
      <x:c r="R1481" s="42" t="str"/>
      <x:c r="S1481" s="42" t="str"/>
      <x:c r="T1481" s="42" t="str"/>
    </x:row>
    <x:row r="1482">
      <x:c r="A1482" s="42" t="str">
        <x:v>Igor Felisberto</x:v>
      </x:c>
      <x:c r="B1482" s="42" t="n">
        <x:v>2026</x:v>
      </x:c>
      <x:c r="C1482" s="42" t="str">
        <x:v>T1</x:v>
      </x:c>
      <x:c r="D1482" s="44" t="n">
        <x:v>46112</x:v>
      </x:c>
      <x:c r="E1482" s="42" t="str">
        <x:v>Lateral-direito</x:v>
      </x:c>
      <x:c r="F1482" s="42" t="str">
        <x:v>São Paulo FC Sub-20</x:v>
      </x:c>
      <x:c r="G1482" s="46"/>
      <x:c r="H1482" s="46"/>
      <x:c r="I1482" s="46"/>
      <x:c r="J1482" s="46"/>
      <x:c r="K1482" s="46" t="str">
        <x:f>IF(COUNT(G1482,I1482)=0,"",AVERAGE(G1482,I1482))</x:f>
      </x:c>
      <x:c r="L1482" s="46" t="str">
        <x:f>IF(COUNT(H1482,J1482)=0,"",AVERAGE(H1482,J1482))</x:f>
      </x:c>
      <x:c r="M1482" s="46" t="str">
        <x:f>IF(OR(K1482="",L1482=""),"",L1482-K1482)</x:f>
      </x:c>
      <x:c r="N1482" s="46" t="str">
        <x:f>IF(OR(K1482="",A1481&lt;&gt;A1482,K1481=""),"",K1482-K1481)</x:f>
      </x:c>
      <x:c r="O1482" s="42" t="str">
        <x:v>Sem informação</x:v>
      </x:c>
      <x:c r="P1482" s="42"/>
      <x:c r="Q1482" s="42" t="str"/>
      <x:c r="R1482" s="42" t="str"/>
      <x:c r="S1482" s="42" t="str"/>
      <x:c r="T1482" s="42" t="str"/>
    </x:row>
    <x:row r="1483">
      <x:c r="A1483" s="42" t="str">
        <x:v>Igor Felisberto</x:v>
      </x:c>
      <x:c r="B1483" s="42" t="n">
        <x:v>2026</x:v>
      </x:c>
      <x:c r="C1483" s="42" t="str">
        <x:v>T2</x:v>
      </x:c>
      <x:c r="D1483" s="44" t="n">
        <x:v>46203</x:v>
      </x:c>
      <x:c r="E1483" s="42" t="str">
        <x:v>Lateral-direito</x:v>
      </x:c>
      <x:c r="F1483" s="42" t="str">
        <x:v>São Paulo FC Sub-20</x:v>
      </x:c>
      <x:c r="G1483" s="46"/>
      <x:c r="H1483" s="46"/>
      <x:c r="I1483" s="46"/>
      <x:c r="J1483" s="46"/>
      <x:c r="K1483" s="46" t="str">
        <x:f>IF(COUNT(G1483,I1483)=0,"",AVERAGE(G1483,I1483))</x:f>
      </x:c>
      <x:c r="L1483" s="46" t="str">
        <x:f>IF(COUNT(H1483,J1483)=0,"",AVERAGE(H1483,J1483))</x:f>
      </x:c>
      <x:c r="M1483" s="46" t="str">
        <x:f>IF(OR(K1483="",L1483=""),"",L1483-K1483)</x:f>
      </x:c>
      <x:c r="N1483" s="46" t="str">
        <x:f>IF(OR(K1483="",A1482&lt;&gt;A1483,K1482=""),"",K1483-K1482)</x:f>
      </x:c>
      <x:c r="O1483" s="42" t="str">
        <x:v>Sem informação</x:v>
      </x:c>
      <x:c r="P1483" s="42"/>
      <x:c r="Q1483" s="42" t="str"/>
      <x:c r="R1483" s="42" t="str"/>
      <x:c r="S1483" s="42" t="str"/>
      <x:c r="T1483" s="42" t="str"/>
    </x:row>
    <x:row r="1484">
      <x:c r="A1484" s="42" t="str">
        <x:v>Igor Felisberto</x:v>
      </x:c>
      <x:c r="B1484" s="42" t="n">
        <x:v>2026</x:v>
      </x:c>
      <x:c r="C1484" s="42" t="str">
        <x:v>T3</x:v>
      </x:c>
      <x:c r="D1484" s="44" t="n">
        <x:v>46295</x:v>
      </x:c>
      <x:c r="E1484" s="42" t="str">
        <x:v>Lateral-direito</x:v>
      </x:c>
      <x:c r="F1484" s="42" t="str">
        <x:v>São Paulo FC Sub-20</x:v>
      </x:c>
      <x:c r="G1484" s="46"/>
      <x:c r="H1484" s="46"/>
      <x:c r="I1484" s="46"/>
      <x:c r="J1484" s="46"/>
      <x:c r="K1484" s="46" t="str">
        <x:f>IF(COUNT(G1484,I1484)=0,"",AVERAGE(G1484,I1484))</x:f>
      </x:c>
      <x:c r="L1484" s="46" t="str">
        <x:f>IF(COUNT(H1484,J1484)=0,"",AVERAGE(H1484,J1484))</x:f>
      </x:c>
      <x:c r="M1484" s="46" t="str">
        <x:f>IF(OR(K1484="",L1484=""),"",L1484-K1484)</x:f>
      </x:c>
      <x:c r="N1484" s="46" t="str">
        <x:f>IF(OR(K1484="",A1483&lt;&gt;A1484,K1483=""),"",K1484-K1483)</x:f>
      </x:c>
      <x:c r="O1484" s="42" t="str">
        <x:v>Sem informação</x:v>
      </x:c>
      <x:c r="P1484" s="42"/>
      <x:c r="Q1484" s="42" t="str"/>
      <x:c r="R1484" s="42" t="str"/>
      <x:c r="S1484" s="42" t="str"/>
      <x:c r="T1484" s="42" t="str"/>
    </x:row>
    <x:row r="1485">
      <x:c r="A1485" s="42" t="str">
        <x:v>Igor Felisberto</x:v>
      </x:c>
      <x:c r="B1485" s="42" t="n">
        <x:v>2026</x:v>
      </x:c>
      <x:c r="C1485" s="42" t="str">
        <x:v>T4</x:v>
      </x:c>
      <x:c r="D1485" s="44" t="n">
        <x:v>46387</x:v>
      </x:c>
      <x:c r="E1485" s="42" t="str">
        <x:v>Lateral-direito</x:v>
      </x:c>
      <x:c r="F1485" s="42" t="str">
        <x:v>São Paulo FC Sub-20</x:v>
      </x:c>
      <x:c r="G1485" s="46"/>
      <x:c r="H1485" s="46"/>
      <x:c r="I1485" s="46"/>
      <x:c r="J1485" s="46"/>
      <x:c r="K1485" s="46" t="str">
        <x:f>IF(COUNT(G1485,I1485)=0,"",AVERAGE(G1485,I1485))</x:f>
      </x:c>
      <x:c r="L1485" s="46" t="str">
        <x:f>IF(COUNT(H1485,J1485)=0,"",AVERAGE(H1485,J1485))</x:f>
      </x:c>
      <x:c r="M1485" s="46" t="str">
        <x:f>IF(OR(K1485="",L1485=""),"",L1485-K1485)</x:f>
      </x:c>
      <x:c r="N1485" s="46" t="str">
        <x:f>IF(OR(K1485="",A1484&lt;&gt;A1485,K1484=""),"",K1485-K1484)</x:f>
      </x:c>
      <x:c r="O1485" s="42" t="str">
        <x:v>Sem informação</x:v>
      </x:c>
      <x:c r="P1485" s="42"/>
      <x:c r="Q1485" s="42" t="str"/>
      <x:c r="R1485" s="42" t="str"/>
      <x:c r="S1485" s="42" t="str"/>
      <x:c r="T1485" s="42" t="str"/>
    </x:row>
    <x:row r="1486">
      <x:c r="A1486" s="42" t="str">
        <x:v>Igor Felisberto</x:v>
      </x:c>
      <x:c r="B1486" s="42" t="n">
        <x:v>2027</x:v>
      </x:c>
      <x:c r="C1486" s="42" t="str">
        <x:v>T1</x:v>
      </x:c>
      <x:c r="D1486" s="44" t="n">
        <x:v>46477</x:v>
      </x:c>
      <x:c r="E1486" s="42" t="str">
        <x:v>Lateral-direito</x:v>
      </x:c>
      <x:c r="F1486" s="42" t="str">
        <x:v>São Paulo FC Sub-20</x:v>
      </x:c>
      <x:c r="G1486" s="46"/>
      <x:c r="H1486" s="46"/>
      <x:c r="I1486" s="46"/>
      <x:c r="J1486" s="46"/>
      <x:c r="K1486" s="46" t="str">
        <x:f>IF(COUNT(G1486,I1486)=0,"",AVERAGE(G1486,I1486))</x:f>
      </x:c>
      <x:c r="L1486" s="46" t="str">
        <x:f>IF(COUNT(H1486,J1486)=0,"",AVERAGE(H1486,J1486))</x:f>
      </x:c>
      <x:c r="M1486" s="46" t="str">
        <x:f>IF(OR(K1486="",L1486=""),"",L1486-K1486)</x:f>
      </x:c>
      <x:c r="N1486" s="46" t="str">
        <x:f>IF(OR(K1486="",A1485&lt;&gt;A1486,K1485=""),"",K1486-K1485)</x:f>
      </x:c>
      <x:c r="O1486" s="42" t="str">
        <x:v>Sem informação</x:v>
      </x:c>
      <x:c r="P1486" s="42"/>
      <x:c r="Q1486" s="42" t="str"/>
      <x:c r="R1486" s="42" t="str"/>
      <x:c r="S1486" s="42" t="str"/>
      <x:c r="T1486" s="42" t="str"/>
    </x:row>
    <x:row r="1487">
      <x:c r="A1487" s="42" t="str">
        <x:v>Igor Felisberto</x:v>
      </x:c>
      <x:c r="B1487" s="42" t="n">
        <x:v>2027</x:v>
      </x:c>
      <x:c r="C1487" s="42" t="str">
        <x:v>T2</x:v>
      </x:c>
      <x:c r="D1487" s="44" t="n">
        <x:v>46568</x:v>
      </x:c>
      <x:c r="E1487" s="42" t="str">
        <x:v>Lateral-direito</x:v>
      </x:c>
      <x:c r="F1487" s="42" t="str">
        <x:v>São Paulo FC Sub-20</x:v>
      </x:c>
      <x:c r="G1487" s="46"/>
      <x:c r="H1487" s="46"/>
      <x:c r="I1487" s="46"/>
      <x:c r="J1487" s="46"/>
      <x:c r="K1487" s="46" t="str">
        <x:f>IF(COUNT(G1487,I1487)=0,"",AVERAGE(G1487,I1487))</x:f>
      </x:c>
      <x:c r="L1487" s="46" t="str">
        <x:f>IF(COUNT(H1487,J1487)=0,"",AVERAGE(H1487,J1487))</x:f>
      </x:c>
      <x:c r="M1487" s="46" t="str">
        <x:f>IF(OR(K1487="",L1487=""),"",L1487-K1487)</x:f>
      </x:c>
      <x:c r="N1487" s="46" t="str">
        <x:f>IF(OR(K1487="",A1486&lt;&gt;A1487,K1486=""),"",K1487-K1486)</x:f>
      </x:c>
      <x:c r="O1487" s="42" t="str">
        <x:v>Sem informação</x:v>
      </x:c>
      <x:c r="P1487" s="42"/>
      <x:c r="Q1487" s="42" t="str"/>
      <x:c r="R1487" s="42" t="str"/>
      <x:c r="S1487" s="42" t="str"/>
      <x:c r="T1487" s="42" t="str"/>
    </x:row>
    <x:row r="1488">
      <x:c r="A1488" s="42" t="str">
        <x:v>Igor Felisberto</x:v>
      </x:c>
      <x:c r="B1488" s="42" t="n">
        <x:v>2027</x:v>
      </x:c>
      <x:c r="C1488" s="42" t="str">
        <x:v>T3</x:v>
      </x:c>
      <x:c r="D1488" s="44" t="n">
        <x:v>46660</x:v>
      </x:c>
      <x:c r="E1488" s="42" t="str">
        <x:v>Lateral-direito</x:v>
      </x:c>
      <x:c r="F1488" s="42" t="str">
        <x:v>São Paulo FC Sub-20</x:v>
      </x:c>
      <x:c r="G1488" s="46"/>
      <x:c r="H1488" s="46"/>
      <x:c r="I1488" s="46"/>
      <x:c r="J1488" s="46"/>
      <x:c r="K1488" s="46" t="str">
        <x:f>IF(COUNT(G1488,I1488)=0,"",AVERAGE(G1488,I1488))</x:f>
      </x:c>
      <x:c r="L1488" s="46" t="str">
        <x:f>IF(COUNT(H1488,J1488)=0,"",AVERAGE(H1488,J1488))</x:f>
      </x:c>
      <x:c r="M1488" s="46" t="str">
        <x:f>IF(OR(K1488="",L1488=""),"",L1488-K1488)</x:f>
      </x:c>
      <x:c r="N1488" s="46" t="str">
        <x:f>IF(OR(K1488="",A1487&lt;&gt;A1488,K1487=""),"",K1488-K1487)</x:f>
      </x:c>
      <x:c r="O1488" s="42" t="str">
        <x:v>Sem informação</x:v>
      </x:c>
      <x:c r="P1488" s="42"/>
      <x:c r="Q1488" s="42" t="str"/>
      <x:c r="R1488" s="42" t="str"/>
      <x:c r="S1488" s="42" t="str"/>
      <x:c r="T1488" s="42" t="str"/>
    </x:row>
    <x:row r="1489">
      <x:c r="A1489" s="42" t="str">
        <x:v>Igor Felisberto</x:v>
      </x:c>
      <x:c r="B1489" s="42" t="n">
        <x:v>2027</x:v>
      </x:c>
      <x:c r="C1489" s="42" t="str">
        <x:v>T4</x:v>
      </x:c>
      <x:c r="D1489" s="44" t="n">
        <x:v>46752</x:v>
      </x:c>
      <x:c r="E1489" s="42" t="str">
        <x:v>Lateral-direito</x:v>
      </x:c>
      <x:c r="F1489" s="42" t="str">
        <x:v>São Paulo FC Sub-20</x:v>
      </x:c>
      <x:c r="G1489" s="46"/>
      <x:c r="H1489" s="46"/>
      <x:c r="I1489" s="46"/>
      <x:c r="J1489" s="46"/>
      <x:c r="K1489" s="46" t="str">
        <x:f>IF(COUNT(G1489,I1489)=0,"",AVERAGE(G1489,I1489))</x:f>
      </x:c>
      <x:c r="L1489" s="46" t="str">
        <x:f>IF(COUNT(H1489,J1489)=0,"",AVERAGE(H1489,J1489))</x:f>
      </x:c>
      <x:c r="M1489" s="46" t="str">
        <x:f>IF(OR(K1489="",L1489=""),"",L1489-K1489)</x:f>
      </x:c>
      <x:c r="N1489" s="46" t="str">
        <x:f>IF(OR(K1489="",A1488&lt;&gt;A1489,K1488=""),"",K1489-K1488)</x:f>
      </x:c>
      <x:c r="O1489" s="42" t="str">
        <x:v>Sem informação</x:v>
      </x:c>
      <x:c r="P1489" s="42"/>
      <x:c r="Q1489" s="42" t="str"/>
      <x:c r="R1489" s="42" t="str"/>
      <x:c r="S1489" s="42" t="str"/>
      <x:c r="T1489" s="42" t="str"/>
    </x:row>
    <x:row r="1490">
      <x:c r="A1490" s="42" t="str">
        <x:v>Igor Felisberto</x:v>
      </x:c>
      <x:c r="B1490" s="42" t="n">
        <x:v>2028</x:v>
      </x:c>
      <x:c r="C1490" s="42" t="str">
        <x:v>T1</x:v>
      </x:c>
      <x:c r="D1490" s="44" t="n">
        <x:v>46843</x:v>
      </x:c>
      <x:c r="E1490" s="42" t="str">
        <x:v>Lateral-direito</x:v>
      </x:c>
      <x:c r="F1490" s="42" t="str">
        <x:v>São Paulo FC Sub-20</x:v>
      </x:c>
      <x:c r="G1490" s="46"/>
      <x:c r="H1490" s="46"/>
      <x:c r="I1490" s="46"/>
      <x:c r="J1490" s="46"/>
      <x:c r="K1490" s="46" t="str">
        <x:f>IF(COUNT(G1490,I1490)=0,"",AVERAGE(G1490,I1490))</x:f>
      </x:c>
      <x:c r="L1490" s="46" t="str">
        <x:f>IF(COUNT(H1490,J1490)=0,"",AVERAGE(H1490,J1490))</x:f>
      </x:c>
      <x:c r="M1490" s="46" t="str">
        <x:f>IF(OR(K1490="",L1490=""),"",L1490-K1490)</x:f>
      </x:c>
      <x:c r="N1490" s="46" t="str">
        <x:f>IF(OR(K1490="",A1489&lt;&gt;A1490,K1489=""),"",K1490-K1489)</x:f>
      </x:c>
      <x:c r="O1490" s="42" t="str">
        <x:v>Sem informação</x:v>
      </x:c>
      <x:c r="P1490" s="42"/>
      <x:c r="Q1490" s="42" t="str"/>
      <x:c r="R1490" s="42" t="str"/>
      <x:c r="S1490" s="42" t="str"/>
      <x:c r="T1490" s="42" t="str"/>
    </x:row>
    <x:row r="1491">
      <x:c r="A1491" s="42" t="str">
        <x:v>Igor Felisberto</x:v>
      </x:c>
      <x:c r="B1491" s="42" t="n">
        <x:v>2028</x:v>
      </x:c>
      <x:c r="C1491" s="42" t="str">
        <x:v>T2</x:v>
      </x:c>
      <x:c r="D1491" s="44" t="n">
        <x:v>46934</x:v>
      </x:c>
      <x:c r="E1491" s="42" t="str">
        <x:v>Lateral-direito</x:v>
      </x:c>
      <x:c r="F1491" s="42" t="str">
        <x:v>São Paulo FC Sub-20</x:v>
      </x:c>
      <x:c r="G1491" s="46"/>
      <x:c r="H1491" s="46"/>
      <x:c r="I1491" s="46"/>
      <x:c r="J1491" s="46"/>
      <x:c r="K1491" s="46" t="str">
        <x:f>IF(COUNT(G1491,I1491)=0,"",AVERAGE(G1491,I1491))</x:f>
      </x:c>
      <x:c r="L1491" s="46" t="str">
        <x:f>IF(COUNT(H1491,J1491)=0,"",AVERAGE(H1491,J1491))</x:f>
      </x:c>
      <x:c r="M1491" s="46" t="str">
        <x:f>IF(OR(K1491="",L1491=""),"",L1491-K1491)</x:f>
      </x:c>
      <x:c r="N1491" s="46" t="str">
        <x:f>IF(OR(K1491="",A1490&lt;&gt;A1491,K1490=""),"",K1491-K1490)</x:f>
      </x:c>
      <x:c r="O1491" s="42" t="str">
        <x:v>Sem informação</x:v>
      </x:c>
      <x:c r="P1491" s="42"/>
      <x:c r="Q1491" s="42" t="str"/>
      <x:c r="R1491" s="42" t="str"/>
      <x:c r="S1491" s="42" t="str"/>
      <x:c r="T1491" s="42" t="str"/>
    </x:row>
    <x:row r="1492">
      <x:c r="A1492" s="42" t="str">
        <x:v>Igor Felisberto</x:v>
      </x:c>
      <x:c r="B1492" s="42" t="n">
        <x:v>2028</x:v>
      </x:c>
      <x:c r="C1492" s="42" t="str">
        <x:v>T3</x:v>
      </x:c>
      <x:c r="D1492" s="44" t="n">
        <x:v>47026</x:v>
      </x:c>
      <x:c r="E1492" s="42" t="str">
        <x:v>Lateral-direito</x:v>
      </x:c>
      <x:c r="F1492" s="42" t="str">
        <x:v>São Paulo FC Sub-20</x:v>
      </x:c>
      <x:c r="G1492" s="46"/>
      <x:c r="H1492" s="46"/>
      <x:c r="I1492" s="46"/>
      <x:c r="J1492" s="46"/>
      <x:c r="K1492" s="46" t="str">
        <x:f>IF(COUNT(G1492,I1492)=0,"",AVERAGE(G1492,I1492))</x:f>
      </x:c>
      <x:c r="L1492" s="46" t="str">
        <x:f>IF(COUNT(H1492,J1492)=0,"",AVERAGE(H1492,J1492))</x:f>
      </x:c>
      <x:c r="M1492" s="46" t="str">
        <x:f>IF(OR(K1492="",L1492=""),"",L1492-K1492)</x:f>
      </x:c>
      <x:c r="N1492" s="46" t="str">
        <x:f>IF(OR(K1492="",A1491&lt;&gt;A1492,K1491=""),"",K1492-K1491)</x:f>
      </x:c>
      <x:c r="O1492" s="42" t="str">
        <x:v>Sem informação</x:v>
      </x:c>
      <x:c r="P1492" s="42"/>
      <x:c r="Q1492" s="42" t="str"/>
      <x:c r="R1492" s="42" t="str"/>
      <x:c r="S1492" s="42" t="str"/>
      <x:c r="T1492" s="42" t="str"/>
    </x:row>
    <x:row r="1493">
      <x:c r="A1493" s="42" t="str">
        <x:v>Igor Felisberto</x:v>
      </x:c>
      <x:c r="B1493" s="42" t="n">
        <x:v>2028</x:v>
      </x:c>
      <x:c r="C1493" s="42" t="str">
        <x:v>T4</x:v>
      </x:c>
      <x:c r="D1493" s="44" t="n">
        <x:v>47118</x:v>
      </x:c>
      <x:c r="E1493" s="42" t="str">
        <x:v>Lateral-direito</x:v>
      </x:c>
      <x:c r="F1493" s="42" t="str">
        <x:v>São Paulo FC Sub-20</x:v>
      </x:c>
      <x:c r="G1493" s="46"/>
      <x:c r="H1493" s="46"/>
      <x:c r="I1493" s="46"/>
      <x:c r="J1493" s="46"/>
      <x:c r="K1493" s="46" t="str">
        <x:f>IF(COUNT(G1493,I1493)=0,"",AVERAGE(G1493,I1493))</x:f>
      </x:c>
      <x:c r="L1493" s="46" t="str">
        <x:f>IF(COUNT(H1493,J1493)=0,"",AVERAGE(H1493,J1493))</x:f>
      </x:c>
      <x:c r="M1493" s="46" t="str">
        <x:f>IF(OR(K1493="",L1493=""),"",L1493-K1493)</x:f>
      </x:c>
      <x:c r="N1493" s="46" t="str">
        <x:f>IF(OR(K1493="",A1492&lt;&gt;A1493,K1492=""),"",K1493-K1492)</x:f>
      </x:c>
      <x:c r="O1493" s="42" t="str">
        <x:v>Sem informação</x:v>
      </x:c>
      <x:c r="P1493" s="42"/>
      <x:c r="Q1493" s="42" t="str"/>
      <x:c r="R1493" s="42" t="str"/>
      <x:c r="S1493" s="42" t="str"/>
      <x:c r="T1493" s="42" t="str"/>
    </x:row>
    <x:row r="1494">
      <x:c r="A1494" s="42" t="str">
        <x:v>Igor Felisberto</x:v>
      </x:c>
      <x:c r="B1494" s="42" t="n">
        <x:v>2029</x:v>
      </x:c>
      <x:c r="C1494" s="42" t="str">
        <x:v>T1</x:v>
      </x:c>
      <x:c r="D1494" s="44" t="n">
        <x:v>47208</x:v>
      </x:c>
      <x:c r="E1494" s="42" t="str">
        <x:v>Lateral-direito</x:v>
      </x:c>
      <x:c r="F1494" s="42" t="str">
        <x:v>São Paulo FC Sub-20</x:v>
      </x:c>
      <x:c r="G1494" s="46"/>
      <x:c r="H1494" s="46"/>
      <x:c r="I1494" s="46"/>
      <x:c r="J1494" s="46"/>
      <x:c r="K1494" s="46" t="str">
        <x:f>IF(COUNT(G1494,I1494)=0,"",AVERAGE(G1494,I1494))</x:f>
      </x:c>
      <x:c r="L1494" s="46" t="str">
        <x:f>IF(COUNT(H1494,J1494)=0,"",AVERAGE(H1494,J1494))</x:f>
      </x:c>
      <x:c r="M1494" s="46" t="str">
        <x:f>IF(OR(K1494="",L1494=""),"",L1494-K1494)</x:f>
      </x:c>
      <x:c r="N1494" s="46" t="str">
        <x:f>IF(OR(K1494="",A1493&lt;&gt;A1494,K1493=""),"",K1494-K1493)</x:f>
      </x:c>
      <x:c r="O1494" s="42" t="str">
        <x:v>Sem informação</x:v>
      </x:c>
      <x:c r="P1494" s="42"/>
      <x:c r="Q1494" s="42" t="str"/>
      <x:c r="R1494" s="42" t="str"/>
      <x:c r="S1494" s="42" t="str"/>
      <x:c r="T1494" s="42" t="str"/>
    </x:row>
    <x:row r="1495">
      <x:c r="A1495" s="42" t="str">
        <x:v>Igor Felisberto</x:v>
      </x:c>
      <x:c r="B1495" s="42" t="n">
        <x:v>2029</x:v>
      </x:c>
      <x:c r="C1495" s="42" t="str">
        <x:v>T2</x:v>
      </x:c>
      <x:c r="D1495" s="44" t="n">
        <x:v>47299</x:v>
      </x:c>
      <x:c r="E1495" s="42" t="str">
        <x:v>Lateral-direito</x:v>
      </x:c>
      <x:c r="F1495" s="42" t="str">
        <x:v>São Paulo FC Sub-20</x:v>
      </x:c>
      <x:c r="G1495" s="46"/>
      <x:c r="H1495" s="46"/>
      <x:c r="I1495" s="46"/>
      <x:c r="J1495" s="46"/>
      <x:c r="K1495" s="46" t="str">
        <x:f>IF(COUNT(G1495,I1495)=0,"",AVERAGE(G1495,I1495))</x:f>
      </x:c>
      <x:c r="L1495" s="46" t="str">
        <x:f>IF(COUNT(H1495,J1495)=0,"",AVERAGE(H1495,J1495))</x:f>
      </x:c>
      <x:c r="M1495" s="46" t="str">
        <x:f>IF(OR(K1495="",L1495=""),"",L1495-K1495)</x:f>
      </x:c>
      <x:c r="N1495" s="46" t="str">
        <x:f>IF(OR(K1495="",A1494&lt;&gt;A1495,K1494=""),"",K1495-K1494)</x:f>
      </x:c>
      <x:c r="O1495" s="42" t="str">
        <x:v>Sem informação</x:v>
      </x:c>
      <x:c r="P1495" s="42"/>
      <x:c r="Q1495" s="42" t="str"/>
      <x:c r="R1495" s="42" t="str"/>
      <x:c r="S1495" s="42" t="str"/>
      <x:c r="T1495" s="42" t="str"/>
    </x:row>
    <x:row r="1496">
      <x:c r="A1496" s="42" t="str">
        <x:v>Igor Felisberto</x:v>
      </x:c>
      <x:c r="B1496" s="42" t="n">
        <x:v>2029</x:v>
      </x:c>
      <x:c r="C1496" s="42" t="str">
        <x:v>T3</x:v>
      </x:c>
      <x:c r="D1496" s="44" t="n">
        <x:v>47391</x:v>
      </x:c>
      <x:c r="E1496" s="42" t="str">
        <x:v>Lateral-direito</x:v>
      </x:c>
      <x:c r="F1496" s="42" t="str">
        <x:v>São Paulo FC Sub-20</x:v>
      </x:c>
      <x:c r="G1496" s="46"/>
      <x:c r="H1496" s="46"/>
      <x:c r="I1496" s="46"/>
      <x:c r="J1496" s="46"/>
      <x:c r="K1496" s="46" t="str">
        <x:f>IF(COUNT(G1496,I1496)=0,"",AVERAGE(G1496,I1496))</x:f>
      </x:c>
      <x:c r="L1496" s="46" t="str">
        <x:f>IF(COUNT(H1496,J1496)=0,"",AVERAGE(H1496,J1496))</x:f>
      </x:c>
      <x:c r="M1496" s="46" t="str">
        <x:f>IF(OR(K1496="",L1496=""),"",L1496-K1496)</x:f>
      </x:c>
      <x:c r="N1496" s="46" t="str">
        <x:f>IF(OR(K1496="",A1495&lt;&gt;A1496,K1495=""),"",K1496-K1495)</x:f>
      </x:c>
      <x:c r="O1496" s="42" t="str">
        <x:v>Sem informação</x:v>
      </x:c>
      <x:c r="P1496" s="42"/>
      <x:c r="Q1496" s="42" t="str"/>
      <x:c r="R1496" s="42" t="str"/>
      <x:c r="S1496" s="42" t="str"/>
      <x:c r="T1496" s="42" t="str"/>
    </x:row>
    <x:row r="1497">
      <x:c r="A1497" s="42" t="str">
        <x:v>Igor Felisberto</x:v>
      </x:c>
      <x:c r="B1497" s="42" t="n">
        <x:v>2029</x:v>
      </x:c>
      <x:c r="C1497" s="42" t="str">
        <x:v>T4</x:v>
      </x:c>
      <x:c r="D1497" s="44" t="n">
        <x:v>47483</x:v>
      </x:c>
      <x:c r="E1497" s="42" t="str">
        <x:v>Lateral-direito</x:v>
      </x:c>
      <x:c r="F1497" s="42" t="str">
        <x:v>São Paulo FC Sub-20</x:v>
      </x:c>
      <x:c r="G1497" s="46"/>
      <x:c r="H1497" s="46"/>
      <x:c r="I1497" s="46"/>
      <x:c r="J1497" s="46"/>
      <x:c r="K1497" s="46" t="str">
        <x:f>IF(COUNT(G1497,I1497)=0,"",AVERAGE(G1497,I1497))</x:f>
      </x:c>
      <x:c r="L1497" s="46" t="str">
        <x:f>IF(COUNT(H1497,J1497)=0,"",AVERAGE(H1497,J1497))</x:f>
      </x:c>
      <x:c r="M1497" s="46" t="str">
        <x:f>IF(OR(K1497="",L1497=""),"",L1497-K1497)</x:f>
      </x:c>
      <x:c r="N1497" s="46" t="str">
        <x:f>IF(OR(K1497="",A1496&lt;&gt;A1497,K1496=""),"",K1497-K1496)</x:f>
      </x:c>
      <x:c r="O1497" s="42" t="str">
        <x:v>Sem informação</x:v>
      </x:c>
      <x:c r="P1497" s="42"/>
      <x:c r="Q1497" s="42" t="str"/>
      <x:c r="R1497" s="42" t="str"/>
      <x:c r="S1497" s="42" t="str"/>
      <x:c r="T1497" s="42" t="str"/>
    </x:row>
    <x:row r="1498">
      <x:c r="A1498" s="42" t="str">
        <x:v>Igor Felisberto</x:v>
      </x:c>
      <x:c r="B1498" s="42" t="n">
        <x:v>2030</x:v>
      </x:c>
      <x:c r="C1498" s="42" t="str">
        <x:v>T1</x:v>
      </x:c>
      <x:c r="D1498" s="44" t="n">
        <x:v>47573</x:v>
      </x:c>
      <x:c r="E1498" s="42" t="str">
        <x:v>Lateral-direito</x:v>
      </x:c>
      <x:c r="F1498" s="42" t="str">
        <x:v>São Paulo FC Sub-20</x:v>
      </x:c>
      <x:c r="G1498" s="46"/>
      <x:c r="H1498" s="46"/>
      <x:c r="I1498" s="46"/>
      <x:c r="J1498" s="46"/>
      <x:c r="K1498" s="46" t="str">
        <x:f>IF(COUNT(G1498,I1498)=0,"",AVERAGE(G1498,I1498))</x:f>
      </x:c>
      <x:c r="L1498" s="46" t="str">
        <x:f>IF(COUNT(H1498,J1498)=0,"",AVERAGE(H1498,J1498))</x:f>
      </x:c>
      <x:c r="M1498" s="46" t="str">
        <x:f>IF(OR(K1498="",L1498=""),"",L1498-K1498)</x:f>
      </x:c>
      <x:c r="N1498" s="46" t="str">
        <x:f>IF(OR(K1498="",A1497&lt;&gt;A1498,K1497=""),"",K1498-K1497)</x:f>
      </x:c>
      <x:c r="O1498" s="42" t="str">
        <x:v>Sem informação</x:v>
      </x:c>
      <x:c r="P1498" s="42"/>
      <x:c r="Q1498" s="42" t="str"/>
      <x:c r="R1498" s="42" t="str"/>
      <x:c r="S1498" s="42" t="str"/>
      <x:c r="T1498" s="42" t="str"/>
    </x:row>
    <x:row r="1499">
      <x:c r="A1499" s="42" t="str">
        <x:v>Igor Felisberto</x:v>
      </x:c>
      <x:c r="B1499" s="42" t="n">
        <x:v>2030</x:v>
      </x:c>
      <x:c r="C1499" s="42" t="str">
        <x:v>T2</x:v>
      </x:c>
      <x:c r="D1499" s="44" t="n">
        <x:v>47664</x:v>
      </x:c>
      <x:c r="E1499" s="42" t="str">
        <x:v>Lateral-direito</x:v>
      </x:c>
      <x:c r="F1499" s="42" t="str">
        <x:v>São Paulo FC Sub-20</x:v>
      </x:c>
      <x:c r="G1499" s="46"/>
      <x:c r="H1499" s="46"/>
      <x:c r="I1499" s="46"/>
      <x:c r="J1499" s="46"/>
      <x:c r="K1499" s="46" t="str">
        <x:f>IF(COUNT(G1499,I1499)=0,"",AVERAGE(G1499,I1499))</x:f>
      </x:c>
      <x:c r="L1499" s="46" t="str">
        <x:f>IF(COUNT(H1499,J1499)=0,"",AVERAGE(H1499,J1499))</x:f>
      </x:c>
      <x:c r="M1499" s="46" t="str">
        <x:f>IF(OR(K1499="",L1499=""),"",L1499-K1499)</x:f>
      </x:c>
      <x:c r="N1499" s="46" t="str">
        <x:f>IF(OR(K1499="",A1498&lt;&gt;A1499,K1498=""),"",K1499-K1498)</x:f>
      </x:c>
      <x:c r="O1499" s="42" t="str">
        <x:v>Sem informação</x:v>
      </x:c>
      <x:c r="P1499" s="42"/>
      <x:c r="Q1499" s="42" t="str"/>
      <x:c r="R1499" s="42" t="str"/>
      <x:c r="S1499" s="42" t="str"/>
      <x:c r="T1499" s="42" t="str"/>
    </x:row>
    <x:row r="1500">
      <x:c r="A1500" s="42" t="str">
        <x:v>Igor Felisberto</x:v>
      </x:c>
      <x:c r="B1500" s="42" t="n">
        <x:v>2030</x:v>
      </x:c>
      <x:c r="C1500" s="42" t="str">
        <x:v>T3</x:v>
      </x:c>
      <x:c r="D1500" s="44" t="n">
        <x:v>47756</x:v>
      </x:c>
      <x:c r="E1500" s="42" t="str">
        <x:v>Lateral-direito</x:v>
      </x:c>
      <x:c r="F1500" s="42" t="str">
        <x:v>São Paulo FC Sub-20</x:v>
      </x:c>
      <x:c r="G1500" s="46"/>
      <x:c r="H1500" s="46"/>
      <x:c r="I1500" s="46"/>
      <x:c r="J1500" s="46"/>
      <x:c r="K1500" s="46" t="str">
        <x:f>IF(COUNT(G1500,I1500)=0,"",AVERAGE(G1500,I1500))</x:f>
      </x:c>
      <x:c r="L1500" s="46" t="str">
        <x:f>IF(COUNT(H1500,J1500)=0,"",AVERAGE(H1500,J1500))</x:f>
      </x:c>
      <x:c r="M1500" s="46" t="str">
        <x:f>IF(OR(K1500="",L1500=""),"",L1500-K1500)</x:f>
      </x:c>
      <x:c r="N1500" s="46" t="str">
        <x:f>IF(OR(K1500="",A1499&lt;&gt;A1500,K1499=""),"",K1500-K1499)</x:f>
      </x:c>
      <x:c r="O1500" s="42" t="str">
        <x:v>Sem informação</x:v>
      </x:c>
      <x:c r="P1500" s="42"/>
      <x:c r="Q1500" s="42" t="str"/>
      <x:c r="R1500" s="42" t="str"/>
      <x:c r="S1500" s="42" t="str"/>
      <x:c r="T1500" s="42" t="str"/>
    </x:row>
    <x:row r="1501">
      <x:c r="A1501" s="42" t="str">
        <x:v>Igor Felisberto</x:v>
      </x:c>
      <x:c r="B1501" s="42" t="n">
        <x:v>2030</x:v>
      </x:c>
      <x:c r="C1501" s="42" t="str">
        <x:v>T4</x:v>
      </x:c>
      <x:c r="D1501" s="44" t="n">
        <x:v>47848</x:v>
      </x:c>
      <x:c r="E1501" s="42" t="str">
        <x:v>Lateral-direito</x:v>
      </x:c>
      <x:c r="F1501" s="42" t="str">
        <x:v>São Paulo FC Sub-20</x:v>
      </x:c>
      <x:c r="G1501" s="46"/>
      <x:c r="H1501" s="46"/>
      <x:c r="I1501" s="46"/>
      <x:c r="J1501" s="46"/>
      <x:c r="K1501" s="46" t="str">
        <x:f>IF(COUNT(G1501,I1501)=0,"",AVERAGE(G1501,I1501))</x:f>
      </x:c>
      <x:c r="L1501" s="46" t="str">
        <x:f>IF(COUNT(H1501,J1501)=0,"",AVERAGE(H1501,J1501))</x:f>
      </x:c>
      <x:c r="M1501" s="46" t="str">
        <x:f>IF(OR(K1501="",L1501=""),"",L1501-K1501)</x:f>
      </x:c>
      <x:c r="N1501" s="46" t="str">
        <x:f>IF(OR(K1501="",A1500&lt;&gt;A1501,K1500=""),"",K1501-K1500)</x:f>
      </x:c>
      <x:c r="O1501" s="42" t="str">
        <x:v>Sem informação</x:v>
      </x:c>
      <x:c r="P1501" s="42"/>
      <x:c r="Q1501" s="42" t="str"/>
      <x:c r="R1501" s="42" t="str"/>
      <x:c r="S1501" s="42" t="str"/>
      <x:c r="T1501" s="42" t="str"/>
    </x:row>
    <x:row r="1502">
      <x:c r="A1502" s="42" t="str">
        <x:v>Zé Lucas</x:v>
      </x:c>
      <x:c r="B1502" s="42" t="n">
        <x:v>2026</x:v>
      </x:c>
      <x:c r="C1502" s="42" t="str">
        <x:v>T1</x:v>
      </x:c>
      <x:c r="D1502" s="44" t="n">
        <x:v>46112</x:v>
      </x:c>
      <x:c r="E1502" s="42" t="str">
        <x:v>Volante</x:v>
      </x:c>
      <x:c r="F1502" s="42" t="str">
        <x:v>SC Recife</x:v>
      </x:c>
      <x:c r="G1502" s="46"/>
      <x:c r="H1502" s="46"/>
      <x:c r="I1502" s="46"/>
      <x:c r="J1502" s="46"/>
      <x:c r="K1502" s="46" t="str">
        <x:f>IF(COUNT(G1502,I1502)=0,"",AVERAGE(G1502,I1502))</x:f>
      </x:c>
      <x:c r="L1502" s="46" t="str">
        <x:f>IF(COUNT(H1502,J1502)=0,"",AVERAGE(H1502,J1502))</x:f>
      </x:c>
      <x:c r="M1502" s="46" t="str">
        <x:f>IF(OR(K1502="",L1502=""),"",L1502-K1502)</x:f>
      </x:c>
      <x:c r="N1502" s="46" t="str">
        <x:f>IF(OR(K1502="",A1501&lt;&gt;A1502,K1501=""),"",K1502-K1501)</x:f>
      </x:c>
      <x:c r="O1502" s="42" t="str">
        <x:v>Sem informação</x:v>
      </x:c>
      <x:c r="P1502" s="42"/>
      <x:c r="Q1502" s="42" t="str"/>
      <x:c r="R1502" s="42" t="str"/>
      <x:c r="S1502" s="42" t="str"/>
      <x:c r="T1502" s="42" t="str"/>
    </x:row>
    <x:row r="1503">
      <x:c r="A1503" s="42" t="str">
        <x:v>Zé Lucas</x:v>
      </x:c>
      <x:c r="B1503" s="42" t="n">
        <x:v>2026</x:v>
      </x:c>
      <x:c r="C1503" s="42" t="str">
        <x:v>T2</x:v>
      </x:c>
      <x:c r="D1503" s="44" t="n">
        <x:v>46203</x:v>
      </x:c>
      <x:c r="E1503" s="42" t="str">
        <x:v>Volante</x:v>
      </x:c>
      <x:c r="F1503" s="42" t="str">
        <x:v>SC Recife</x:v>
      </x:c>
      <x:c r="G1503" s="46"/>
      <x:c r="H1503" s="46"/>
      <x:c r="I1503" s="46"/>
      <x:c r="J1503" s="46"/>
      <x:c r="K1503" s="46" t="str">
        <x:f>IF(COUNT(G1503,I1503)=0,"",AVERAGE(G1503,I1503))</x:f>
      </x:c>
      <x:c r="L1503" s="46" t="str">
        <x:f>IF(COUNT(H1503,J1503)=0,"",AVERAGE(H1503,J1503))</x:f>
      </x:c>
      <x:c r="M1503" s="46" t="str">
        <x:f>IF(OR(K1503="",L1503=""),"",L1503-K1503)</x:f>
      </x:c>
      <x:c r="N1503" s="46" t="str">
        <x:f>IF(OR(K1503="",A1502&lt;&gt;A1503,K1502=""),"",K1503-K1502)</x:f>
      </x:c>
      <x:c r="O1503" s="42" t="str">
        <x:v>Sem informação</x:v>
      </x:c>
      <x:c r="P1503" s="42"/>
      <x:c r="Q1503" s="42" t="str"/>
      <x:c r="R1503" s="42" t="str"/>
      <x:c r="S1503" s="42" t="str"/>
      <x:c r="T1503" s="42" t="str"/>
    </x:row>
    <x:row r="1504">
      <x:c r="A1504" s="42" t="str">
        <x:v>Zé Lucas</x:v>
      </x:c>
      <x:c r="B1504" s="42" t="n">
        <x:v>2026</x:v>
      </x:c>
      <x:c r="C1504" s="42" t="str">
        <x:v>T3</x:v>
      </x:c>
      <x:c r="D1504" s="44" t="n">
        <x:v>46295</x:v>
      </x:c>
      <x:c r="E1504" s="42" t="str">
        <x:v>Volante</x:v>
      </x:c>
      <x:c r="F1504" s="42" t="str">
        <x:v>SC Recife</x:v>
      </x:c>
      <x:c r="G1504" s="46"/>
      <x:c r="H1504" s="46"/>
      <x:c r="I1504" s="46"/>
      <x:c r="J1504" s="46"/>
      <x:c r="K1504" s="46" t="str">
        <x:f>IF(COUNT(G1504,I1504)=0,"",AVERAGE(G1504,I1504))</x:f>
      </x:c>
      <x:c r="L1504" s="46" t="str">
        <x:f>IF(COUNT(H1504,J1504)=0,"",AVERAGE(H1504,J1504))</x:f>
      </x:c>
      <x:c r="M1504" s="46" t="str">
        <x:f>IF(OR(K1504="",L1504=""),"",L1504-K1504)</x:f>
      </x:c>
      <x:c r="N1504" s="46" t="str">
        <x:f>IF(OR(K1504="",A1503&lt;&gt;A1504,K1503=""),"",K1504-K1503)</x:f>
      </x:c>
      <x:c r="O1504" s="42" t="str">
        <x:v>Sem informação</x:v>
      </x:c>
      <x:c r="P1504" s="42"/>
      <x:c r="Q1504" s="42" t="str"/>
      <x:c r="R1504" s="42" t="str"/>
      <x:c r="S1504" s="42" t="str"/>
      <x:c r="T1504" s="42" t="str"/>
    </x:row>
    <x:row r="1505">
      <x:c r="A1505" s="42" t="str">
        <x:v>Zé Lucas</x:v>
      </x:c>
      <x:c r="B1505" s="42" t="n">
        <x:v>2026</x:v>
      </x:c>
      <x:c r="C1505" s="42" t="str">
        <x:v>T4</x:v>
      </x:c>
      <x:c r="D1505" s="44" t="n">
        <x:v>46387</x:v>
      </x:c>
      <x:c r="E1505" s="42" t="str">
        <x:v>Volante</x:v>
      </x:c>
      <x:c r="F1505" s="42" t="str">
        <x:v>SC Recife</x:v>
      </x:c>
      <x:c r="G1505" s="46"/>
      <x:c r="H1505" s="46"/>
      <x:c r="I1505" s="46"/>
      <x:c r="J1505" s="46"/>
      <x:c r="K1505" s="46" t="str">
        <x:f>IF(COUNT(G1505,I1505)=0,"",AVERAGE(G1505,I1505))</x:f>
      </x:c>
      <x:c r="L1505" s="46" t="str">
        <x:f>IF(COUNT(H1505,J1505)=0,"",AVERAGE(H1505,J1505))</x:f>
      </x:c>
      <x:c r="M1505" s="46" t="str">
        <x:f>IF(OR(K1505="",L1505=""),"",L1505-K1505)</x:f>
      </x:c>
      <x:c r="N1505" s="46" t="str">
        <x:f>IF(OR(K1505="",A1504&lt;&gt;A1505,K1504=""),"",K1505-K1504)</x:f>
      </x:c>
      <x:c r="O1505" s="42" t="str">
        <x:v>Sem informação</x:v>
      </x:c>
      <x:c r="P1505" s="42"/>
      <x:c r="Q1505" s="42" t="str"/>
      <x:c r="R1505" s="42" t="str"/>
      <x:c r="S1505" s="42" t="str"/>
      <x:c r="T1505" s="42" t="str"/>
    </x:row>
    <x:row r="1506">
      <x:c r="A1506" s="42" t="str">
        <x:v>Zé Lucas</x:v>
      </x:c>
      <x:c r="B1506" s="42" t="n">
        <x:v>2027</x:v>
      </x:c>
      <x:c r="C1506" s="42" t="str">
        <x:v>T1</x:v>
      </x:c>
      <x:c r="D1506" s="44" t="n">
        <x:v>46477</x:v>
      </x:c>
      <x:c r="E1506" s="42" t="str">
        <x:v>Volante</x:v>
      </x:c>
      <x:c r="F1506" s="42" t="str">
        <x:v>SC Recife</x:v>
      </x:c>
      <x:c r="G1506" s="46"/>
      <x:c r="H1506" s="46"/>
      <x:c r="I1506" s="46"/>
      <x:c r="J1506" s="46"/>
      <x:c r="K1506" s="46" t="str">
        <x:f>IF(COUNT(G1506,I1506)=0,"",AVERAGE(G1506,I1506))</x:f>
      </x:c>
      <x:c r="L1506" s="46" t="str">
        <x:f>IF(COUNT(H1506,J1506)=0,"",AVERAGE(H1506,J1506))</x:f>
      </x:c>
      <x:c r="M1506" s="46" t="str">
        <x:f>IF(OR(K1506="",L1506=""),"",L1506-K1506)</x:f>
      </x:c>
      <x:c r="N1506" s="46" t="str">
        <x:f>IF(OR(K1506="",A1505&lt;&gt;A1506,K1505=""),"",K1506-K1505)</x:f>
      </x:c>
      <x:c r="O1506" s="42" t="str">
        <x:v>Sem informação</x:v>
      </x:c>
      <x:c r="P1506" s="42"/>
      <x:c r="Q1506" s="42" t="str"/>
      <x:c r="R1506" s="42" t="str"/>
      <x:c r="S1506" s="42" t="str"/>
      <x:c r="T1506" s="42" t="str"/>
    </x:row>
    <x:row r="1507">
      <x:c r="A1507" s="42" t="str">
        <x:v>Zé Lucas</x:v>
      </x:c>
      <x:c r="B1507" s="42" t="n">
        <x:v>2027</x:v>
      </x:c>
      <x:c r="C1507" s="42" t="str">
        <x:v>T2</x:v>
      </x:c>
      <x:c r="D1507" s="44" t="n">
        <x:v>46568</x:v>
      </x:c>
      <x:c r="E1507" s="42" t="str">
        <x:v>Volante</x:v>
      </x:c>
      <x:c r="F1507" s="42" t="str">
        <x:v>SC Recife</x:v>
      </x:c>
      <x:c r="G1507" s="46"/>
      <x:c r="H1507" s="46"/>
      <x:c r="I1507" s="46"/>
      <x:c r="J1507" s="46"/>
      <x:c r="K1507" s="46" t="str">
        <x:f>IF(COUNT(G1507,I1507)=0,"",AVERAGE(G1507,I1507))</x:f>
      </x:c>
      <x:c r="L1507" s="46" t="str">
        <x:f>IF(COUNT(H1507,J1507)=0,"",AVERAGE(H1507,J1507))</x:f>
      </x:c>
      <x:c r="M1507" s="46" t="str">
        <x:f>IF(OR(K1507="",L1507=""),"",L1507-K1507)</x:f>
      </x:c>
      <x:c r="N1507" s="46" t="str">
        <x:f>IF(OR(K1507="",A1506&lt;&gt;A1507,K1506=""),"",K1507-K1506)</x:f>
      </x:c>
      <x:c r="O1507" s="42" t="str">
        <x:v>Sem informação</x:v>
      </x:c>
      <x:c r="P1507" s="42"/>
      <x:c r="Q1507" s="42" t="str"/>
      <x:c r="R1507" s="42" t="str"/>
      <x:c r="S1507" s="42" t="str"/>
      <x:c r="T1507" s="42" t="str"/>
    </x:row>
    <x:row r="1508">
      <x:c r="A1508" s="42" t="str">
        <x:v>Zé Lucas</x:v>
      </x:c>
      <x:c r="B1508" s="42" t="n">
        <x:v>2027</x:v>
      </x:c>
      <x:c r="C1508" s="42" t="str">
        <x:v>T3</x:v>
      </x:c>
      <x:c r="D1508" s="44" t="n">
        <x:v>46660</x:v>
      </x:c>
      <x:c r="E1508" s="42" t="str">
        <x:v>Volante</x:v>
      </x:c>
      <x:c r="F1508" s="42" t="str">
        <x:v>SC Recife</x:v>
      </x:c>
      <x:c r="G1508" s="46"/>
      <x:c r="H1508" s="46"/>
      <x:c r="I1508" s="46"/>
      <x:c r="J1508" s="46"/>
      <x:c r="K1508" s="46" t="str">
        <x:f>IF(COUNT(G1508,I1508)=0,"",AVERAGE(G1508,I1508))</x:f>
      </x:c>
      <x:c r="L1508" s="46" t="str">
        <x:f>IF(COUNT(H1508,J1508)=0,"",AVERAGE(H1508,J1508))</x:f>
      </x:c>
      <x:c r="M1508" s="46" t="str">
        <x:f>IF(OR(K1508="",L1508=""),"",L1508-K1508)</x:f>
      </x:c>
      <x:c r="N1508" s="46" t="str">
        <x:f>IF(OR(K1508="",A1507&lt;&gt;A1508,K1507=""),"",K1508-K1507)</x:f>
      </x:c>
      <x:c r="O1508" s="42" t="str">
        <x:v>Sem informação</x:v>
      </x:c>
      <x:c r="P1508" s="42"/>
      <x:c r="Q1508" s="42" t="str"/>
      <x:c r="R1508" s="42" t="str"/>
      <x:c r="S1508" s="42" t="str"/>
      <x:c r="T1508" s="42" t="str"/>
    </x:row>
    <x:row r="1509">
      <x:c r="A1509" s="42" t="str">
        <x:v>Zé Lucas</x:v>
      </x:c>
      <x:c r="B1509" s="42" t="n">
        <x:v>2027</x:v>
      </x:c>
      <x:c r="C1509" s="42" t="str">
        <x:v>T4</x:v>
      </x:c>
      <x:c r="D1509" s="44" t="n">
        <x:v>46752</x:v>
      </x:c>
      <x:c r="E1509" s="42" t="str">
        <x:v>Volante</x:v>
      </x:c>
      <x:c r="F1509" s="42" t="str">
        <x:v>SC Recife</x:v>
      </x:c>
      <x:c r="G1509" s="46"/>
      <x:c r="H1509" s="46"/>
      <x:c r="I1509" s="46"/>
      <x:c r="J1509" s="46"/>
      <x:c r="K1509" s="46" t="str">
        <x:f>IF(COUNT(G1509,I1509)=0,"",AVERAGE(G1509,I1509))</x:f>
      </x:c>
      <x:c r="L1509" s="46" t="str">
        <x:f>IF(COUNT(H1509,J1509)=0,"",AVERAGE(H1509,J1509))</x:f>
      </x:c>
      <x:c r="M1509" s="46" t="str">
        <x:f>IF(OR(K1509="",L1509=""),"",L1509-K1509)</x:f>
      </x:c>
      <x:c r="N1509" s="46" t="str">
        <x:f>IF(OR(K1509="",A1508&lt;&gt;A1509,K1508=""),"",K1509-K1508)</x:f>
      </x:c>
      <x:c r="O1509" s="42" t="str">
        <x:v>Sem informação</x:v>
      </x:c>
      <x:c r="P1509" s="42"/>
      <x:c r="Q1509" s="42" t="str"/>
      <x:c r="R1509" s="42" t="str"/>
      <x:c r="S1509" s="42" t="str"/>
      <x:c r="T1509" s="42" t="str"/>
    </x:row>
    <x:row r="1510">
      <x:c r="A1510" s="42" t="str">
        <x:v>Zé Lucas</x:v>
      </x:c>
      <x:c r="B1510" s="42" t="n">
        <x:v>2028</x:v>
      </x:c>
      <x:c r="C1510" s="42" t="str">
        <x:v>T1</x:v>
      </x:c>
      <x:c r="D1510" s="44" t="n">
        <x:v>46843</x:v>
      </x:c>
      <x:c r="E1510" s="42" t="str">
        <x:v>Volante</x:v>
      </x:c>
      <x:c r="F1510" s="42" t="str">
        <x:v>SC Recife</x:v>
      </x:c>
      <x:c r="G1510" s="46"/>
      <x:c r="H1510" s="46"/>
      <x:c r="I1510" s="46"/>
      <x:c r="J1510" s="46"/>
      <x:c r="K1510" s="46" t="str">
        <x:f>IF(COUNT(G1510,I1510)=0,"",AVERAGE(G1510,I1510))</x:f>
      </x:c>
      <x:c r="L1510" s="46" t="str">
        <x:f>IF(COUNT(H1510,J1510)=0,"",AVERAGE(H1510,J1510))</x:f>
      </x:c>
      <x:c r="M1510" s="46" t="str">
        <x:f>IF(OR(K1510="",L1510=""),"",L1510-K1510)</x:f>
      </x:c>
      <x:c r="N1510" s="46" t="str">
        <x:f>IF(OR(K1510="",A1509&lt;&gt;A1510,K1509=""),"",K1510-K1509)</x:f>
      </x:c>
      <x:c r="O1510" s="42" t="str">
        <x:v>Sem informação</x:v>
      </x:c>
      <x:c r="P1510" s="42"/>
      <x:c r="Q1510" s="42" t="str"/>
      <x:c r="R1510" s="42" t="str"/>
      <x:c r="S1510" s="42" t="str"/>
      <x:c r="T1510" s="42" t="str"/>
    </x:row>
    <x:row r="1511">
      <x:c r="A1511" s="42" t="str">
        <x:v>Zé Lucas</x:v>
      </x:c>
      <x:c r="B1511" s="42" t="n">
        <x:v>2028</x:v>
      </x:c>
      <x:c r="C1511" s="42" t="str">
        <x:v>T2</x:v>
      </x:c>
      <x:c r="D1511" s="44" t="n">
        <x:v>46934</x:v>
      </x:c>
      <x:c r="E1511" s="42" t="str">
        <x:v>Volante</x:v>
      </x:c>
      <x:c r="F1511" s="42" t="str">
        <x:v>SC Recife</x:v>
      </x:c>
      <x:c r="G1511" s="46"/>
      <x:c r="H1511" s="46"/>
      <x:c r="I1511" s="46"/>
      <x:c r="J1511" s="46"/>
      <x:c r="K1511" s="46" t="str">
        <x:f>IF(COUNT(G1511,I1511)=0,"",AVERAGE(G1511,I1511))</x:f>
      </x:c>
      <x:c r="L1511" s="46" t="str">
        <x:f>IF(COUNT(H1511,J1511)=0,"",AVERAGE(H1511,J1511))</x:f>
      </x:c>
      <x:c r="M1511" s="46" t="str">
        <x:f>IF(OR(K1511="",L1511=""),"",L1511-K1511)</x:f>
      </x:c>
      <x:c r="N1511" s="46" t="str">
        <x:f>IF(OR(K1511="",A1510&lt;&gt;A1511,K1510=""),"",K1511-K1510)</x:f>
      </x:c>
      <x:c r="O1511" s="42" t="str">
        <x:v>Sem informação</x:v>
      </x:c>
      <x:c r="P1511" s="42"/>
      <x:c r="Q1511" s="42" t="str"/>
      <x:c r="R1511" s="42" t="str"/>
      <x:c r="S1511" s="42" t="str"/>
      <x:c r="T1511" s="42" t="str"/>
    </x:row>
    <x:row r="1512">
      <x:c r="A1512" s="42" t="str">
        <x:v>Zé Lucas</x:v>
      </x:c>
      <x:c r="B1512" s="42" t="n">
        <x:v>2028</x:v>
      </x:c>
      <x:c r="C1512" s="42" t="str">
        <x:v>T3</x:v>
      </x:c>
      <x:c r="D1512" s="44" t="n">
        <x:v>47026</x:v>
      </x:c>
      <x:c r="E1512" s="42" t="str">
        <x:v>Volante</x:v>
      </x:c>
      <x:c r="F1512" s="42" t="str">
        <x:v>SC Recife</x:v>
      </x:c>
      <x:c r="G1512" s="46"/>
      <x:c r="H1512" s="46"/>
      <x:c r="I1512" s="46"/>
      <x:c r="J1512" s="46"/>
      <x:c r="K1512" s="46" t="str">
        <x:f>IF(COUNT(G1512,I1512)=0,"",AVERAGE(G1512,I1512))</x:f>
      </x:c>
      <x:c r="L1512" s="46" t="str">
        <x:f>IF(COUNT(H1512,J1512)=0,"",AVERAGE(H1512,J1512))</x:f>
      </x:c>
      <x:c r="M1512" s="46" t="str">
        <x:f>IF(OR(K1512="",L1512=""),"",L1512-K1512)</x:f>
      </x:c>
      <x:c r="N1512" s="46" t="str">
        <x:f>IF(OR(K1512="",A1511&lt;&gt;A1512,K1511=""),"",K1512-K1511)</x:f>
      </x:c>
      <x:c r="O1512" s="42" t="str">
        <x:v>Sem informação</x:v>
      </x:c>
      <x:c r="P1512" s="42"/>
      <x:c r="Q1512" s="42" t="str"/>
      <x:c r="R1512" s="42" t="str"/>
      <x:c r="S1512" s="42" t="str"/>
      <x:c r="T1512" s="42" t="str"/>
    </x:row>
    <x:row r="1513">
      <x:c r="A1513" s="42" t="str">
        <x:v>Zé Lucas</x:v>
      </x:c>
      <x:c r="B1513" s="42" t="n">
        <x:v>2028</x:v>
      </x:c>
      <x:c r="C1513" s="42" t="str">
        <x:v>T4</x:v>
      </x:c>
      <x:c r="D1513" s="44" t="n">
        <x:v>47118</x:v>
      </x:c>
      <x:c r="E1513" s="42" t="str">
        <x:v>Volante</x:v>
      </x:c>
      <x:c r="F1513" s="42" t="str">
        <x:v>SC Recife</x:v>
      </x:c>
      <x:c r="G1513" s="46"/>
      <x:c r="H1513" s="46"/>
      <x:c r="I1513" s="46"/>
      <x:c r="J1513" s="46"/>
      <x:c r="K1513" s="46" t="str">
        <x:f>IF(COUNT(G1513,I1513)=0,"",AVERAGE(G1513,I1513))</x:f>
      </x:c>
      <x:c r="L1513" s="46" t="str">
        <x:f>IF(COUNT(H1513,J1513)=0,"",AVERAGE(H1513,J1513))</x:f>
      </x:c>
      <x:c r="M1513" s="46" t="str">
        <x:f>IF(OR(K1513="",L1513=""),"",L1513-K1513)</x:f>
      </x:c>
      <x:c r="N1513" s="46" t="str">
        <x:f>IF(OR(K1513="",A1512&lt;&gt;A1513,K1512=""),"",K1513-K1512)</x:f>
      </x:c>
      <x:c r="O1513" s="42" t="str">
        <x:v>Sem informação</x:v>
      </x:c>
      <x:c r="P1513" s="42"/>
      <x:c r="Q1513" s="42" t="str"/>
      <x:c r="R1513" s="42" t="str"/>
      <x:c r="S1513" s="42" t="str"/>
      <x:c r="T1513" s="42" t="str"/>
    </x:row>
    <x:row r="1514">
      <x:c r="A1514" s="42" t="str">
        <x:v>Zé Lucas</x:v>
      </x:c>
      <x:c r="B1514" s="42" t="n">
        <x:v>2029</x:v>
      </x:c>
      <x:c r="C1514" s="42" t="str">
        <x:v>T1</x:v>
      </x:c>
      <x:c r="D1514" s="44" t="n">
        <x:v>47208</x:v>
      </x:c>
      <x:c r="E1514" s="42" t="str">
        <x:v>Volante</x:v>
      </x:c>
      <x:c r="F1514" s="42" t="str">
        <x:v>SC Recife</x:v>
      </x:c>
      <x:c r="G1514" s="46"/>
      <x:c r="H1514" s="46"/>
      <x:c r="I1514" s="46"/>
      <x:c r="J1514" s="46"/>
      <x:c r="K1514" s="46" t="str">
        <x:f>IF(COUNT(G1514,I1514)=0,"",AVERAGE(G1514,I1514))</x:f>
      </x:c>
      <x:c r="L1514" s="46" t="str">
        <x:f>IF(COUNT(H1514,J1514)=0,"",AVERAGE(H1514,J1514))</x:f>
      </x:c>
      <x:c r="M1514" s="46" t="str">
        <x:f>IF(OR(K1514="",L1514=""),"",L1514-K1514)</x:f>
      </x:c>
      <x:c r="N1514" s="46" t="str">
        <x:f>IF(OR(K1514="",A1513&lt;&gt;A1514,K1513=""),"",K1514-K1513)</x:f>
      </x:c>
      <x:c r="O1514" s="42" t="str">
        <x:v>Sem informação</x:v>
      </x:c>
      <x:c r="P1514" s="42"/>
      <x:c r="Q1514" s="42" t="str"/>
      <x:c r="R1514" s="42" t="str"/>
      <x:c r="S1514" s="42" t="str"/>
      <x:c r="T1514" s="42" t="str"/>
    </x:row>
    <x:row r="1515">
      <x:c r="A1515" s="42" t="str">
        <x:v>Zé Lucas</x:v>
      </x:c>
      <x:c r="B1515" s="42" t="n">
        <x:v>2029</x:v>
      </x:c>
      <x:c r="C1515" s="42" t="str">
        <x:v>T2</x:v>
      </x:c>
      <x:c r="D1515" s="44" t="n">
        <x:v>47299</x:v>
      </x:c>
      <x:c r="E1515" s="42" t="str">
        <x:v>Volante</x:v>
      </x:c>
      <x:c r="F1515" s="42" t="str">
        <x:v>SC Recife</x:v>
      </x:c>
      <x:c r="G1515" s="46"/>
      <x:c r="H1515" s="46"/>
      <x:c r="I1515" s="46"/>
      <x:c r="J1515" s="46"/>
      <x:c r="K1515" s="46" t="str">
        <x:f>IF(COUNT(G1515,I1515)=0,"",AVERAGE(G1515,I1515))</x:f>
      </x:c>
      <x:c r="L1515" s="46" t="str">
        <x:f>IF(COUNT(H1515,J1515)=0,"",AVERAGE(H1515,J1515))</x:f>
      </x:c>
      <x:c r="M1515" s="46" t="str">
        <x:f>IF(OR(K1515="",L1515=""),"",L1515-K1515)</x:f>
      </x:c>
      <x:c r="N1515" s="46" t="str">
        <x:f>IF(OR(K1515="",A1514&lt;&gt;A1515,K1514=""),"",K1515-K1514)</x:f>
      </x:c>
      <x:c r="O1515" s="42" t="str">
        <x:v>Sem informação</x:v>
      </x:c>
      <x:c r="P1515" s="42"/>
      <x:c r="Q1515" s="42" t="str"/>
      <x:c r="R1515" s="42" t="str"/>
      <x:c r="S1515" s="42" t="str"/>
      <x:c r="T1515" s="42" t="str"/>
    </x:row>
    <x:row r="1516">
      <x:c r="A1516" s="42" t="str">
        <x:v>Zé Lucas</x:v>
      </x:c>
      <x:c r="B1516" s="42" t="n">
        <x:v>2029</x:v>
      </x:c>
      <x:c r="C1516" s="42" t="str">
        <x:v>T3</x:v>
      </x:c>
      <x:c r="D1516" s="44" t="n">
        <x:v>47391</x:v>
      </x:c>
      <x:c r="E1516" s="42" t="str">
        <x:v>Volante</x:v>
      </x:c>
      <x:c r="F1516" s="42" t="str">
        <x:v>SC Recife</x:v>
      </x:c>
      <x:c r="G1516" s="46"/>
      <x:c r="H1516" s="46"/>
      <x:c r="I1516" s="46"/>
      <x:c r="J1516" s="46"/>
      <x:c r="K1516" s="46" t="str">
        <x:f>IF(COUNT(G1516,I1516)=0,"",AVERAGE(G1516,I1516))</x:f>
      </x:c>
      <x:c r="L1516" s="46" t="str">
        <x:f>IF(COUNT(H1516,J1516)=0,"",AVERAGE(H1516,J1516))</x:f>
      </x:c>
      <x:c r="M1516" s="46" t="str">
        <x:f>IF(OR(K1516="",L1516=""),"",L1516-K1516)</x:f>
      </x:c>
      <x:c r="N1516" s="46" t="str">
        <x:f>IF(OR(K1516="",A1515&lt;&gt;A1516,K1515=""),"",K1516-K1515)</x:f>
      </x:c>
      <x:c r="O1516" s="42" t="str">
        <x:v>Sem informação</x:v>
      </x:c>
      <x:c r="P1516" s="42"/>
      <x:c r="Q1516" s="42" t="str"/>
      <x:c r="R1516" s="42" t="str"/>
      <x:c r="S1516" s="42" t="str"/>
      <x:c r="T1516" s="42" t="str"/>
    </x:row>
    <x:row r="1517">
      <x:c r="A1517" s="42" t="str">
        <x:v>Zé Lucas</x:v>
      </x:c>
      <x:c r="B1517" s="42" t="n">
        <x:v>2029</x:v>
      </x:c>
      <x:c r="C1517" s="42" t="str">
        <x:v>T4</x:v>
      </x:c>
      <x:c r="D1517" s="44" t="n">
        <x:v>47483</x:v>
      </x:c>
      <x:c r="E1517" s="42" t="str">
        <x:v>Volante</x:v>
      </x:c>
      <x:c r="F1517" s="42" t="str">
        <x:v>SC Recife</x:v>
      </x:c>
      <x:c r="G1517" s="46"/>
      <x:c r="H1517" s="46"/>
      <x:c r="I1517" s="46"/>
      <x:c r="J1517" s="46"/>
      <x:c r="K1517" s="46" t="str">
        <x:f>IF(COUNT(G1517,I1517)=0,"",AVERAGE(G1517,I1517))</x:f>
      </x:c>
      <x:c r="L1517" s="46" t="str">
        <x:f>IF(COUNT(H1517,J1517)=0,"",AVERAGE(H1517,J1517))</x:f>
      </x:c>
      <x:c r="M1517" s="46" t="str">
        <x:f>IF(OR(K1517="",L1517=""),"",L1517-K1517)</x:f>
      </x:c>
      <x:c r="N1517" s="46" t="str">
        <x:f>IF(OR(K1517="",A1516&lt;&gt;A1517,K1516=""),"",K1517-K1516)</x:f>
      </x:c>
      <x:c r="O1517" s="42" t="str">
        <x:v>Sem informação</x:v>
      </x:c>
      <x:c r="P1517" s="42"/>
      <x:c r="Q1517" s="42" t="str"/>
      <x:c r="R1517" s="42" t="str"/>
      <x:c r="S1517" s="42" t="str"/>
      <x:c r="T1517" s="42" t="str"/>
    </x:row>
    <x:row r="1518">
      <x:c r="A1518" s="42" t="str">
        <x:v>Zé Lucas</x:v>
      </x:c>
      <x:c r="B1518" s="42" t="n">
        <x:v>2030</x:v>
      </x:c>
      <x:c r="C1518" s="42" t="str">
        <x:v>T1</x:v>
      </x:c>
      <x:c r="D1518" s="44" t="n">
        <x:v>47573</x:v>
      </x:c>
      <x:c r="E1518" s="42" t="str">
        <x:v>Volante</x:v>
      </x:c>
      <x:c r="F1518" s="42" t="str">
        <x:v>SC Recife</x:v>
      </x:c>
      <x:c r="G1518" s="46"/>
      <x:c r="H1518" s="46"/>
      <x:c r="I1518" s="46"/>
      <x:c r="J1518" s="46"/>
      <x:c r="K1518" s="46" t="str">
        <x:f>IF(COUNT(G1518,I1518)=0,"",AVERAGE(G1518,I1518))</x:f>
      </x:c>
      <x:c r="L1518" s="46" t="str">
        <x:f>IF(COUNT(H1518,J1518)=0,"",AVERAGE(H1518,J1518))</x:f>
      </x:c>
      <x:c r="M1518" s="46" t="str">
        <x:f>IF(OR(K1518="",L1518=""),"",L1518-K1518)</x:f>
      </x:c>
      <x:c r="N1518" s="46" t="str">
        <x:f>IF(OR(K1518="",A1517&lt;&gt;A1518,K1517=""),"",K1518-K1517)</x:f>
      </x:c>
      <x:c r="O1518" s="42" t="str">
        <x:v>Sem informação</x:v>
      </x:c>
      <x:c r="P1518" s="42"/>
      <x:c r="Q1518" s="42" t="str"/>
      <x:c r="R1518" s="42" t="str"/>
      <x:c r="S1518" s="42" t="str"/>
      <x:c r="T1518" s="42" t="str"/>
    </x:row>
    <x:row r="1519">
      <x:c r="A1519" s="42" t="str">
        <x:v>Zé Lucas</x:v>
      </x:c>
      <x:c r="B1519" s="42" t="n">
        <x:v>2030</x:v>
      </x:c>
      <x:c r="C1519" s="42" t="str">
        <x:v>T2</x:v>
      </x:c>
      <x:c r="D1519" s="44" t="n">
        <x:v>47664</x:v>
      </x:c>
      <x:c r="E1519" s="42" t="str">
        <x:v>Volante</x:v>
      </x:c>
      <x:c r="F1519" s="42" t="str">
        <x:v>SC Recife</x:v>
      </x:c>
      <x:c r="G1519" s="46"/>
      <x:c r="H1519" s="46"/>
      <x:c r="I1519" s="46"/>
      <x:c r="J1519" s="46"/>
      <x:c r="K1519" s="46" t="str">
        <x:f>IF(COUNT(G1519,I1519)=0,"",AVERAGE(G1519,I1519))</x:f>
      </x:c>
      <x:c r="L1519" s="46" t="str">
        <x:f>IF(COUNT(H1519,J1519)=0,"",AVERAGE(H1519,J1519))</x:f>
      </x:c>
      <x:c r="M1519" s="46" t="str">
        <x:f>IF(OR(K1519="",L1519=""),"",L1519-K1519)</x:f>
      </x:c>
      <x:c r="N1519" s="46" t="str">
        <x:f>IF(OR(K1519="",A1518&lt;&gt;A1519,K1518=""),"",K1519-K1518)</x:f>
      </x:c>
      <x:c r="O1519" s="42" t="str">
        <x:v>Sem informação</x:v>
      </x:c>
      <x:c r="P1519" s="42"/>
      <x:c r="Q1519" s="42" t="str"/>
      <x:c r="R1519" s="42" t="str"/>
      <x:c r="S1519" s="42" t="str"/>
      <x:c r="T1519" s="42" t="str"/>
    </x:row>
    <x:row r="1520">
      <x:c r="A1520" s="42" t="str">
        <x:v>Zé Lucas</x:v>
      </x:c>
      <x:c r="B1520" s="42" t="n">
        <x:v>2030</x:v>
      </x:c>
      <x:c r="C1520" s="42" t="str">
        <x:v>T3</x:v>
      </x:c>
      <x:c r="D1520" s="44" t="n">
        <x:v>47756</x:v>
      </x:c>
      <x:c r="E1520" s="42" t="str">
        <x:v>Volante</x:v>
      </x:c>
      <x:c r="F1520" s="42" t="str">
        <x:v>SC Recife</x:v>
      </x:c>
      <x:c r="G1520" s="46"/>
      <x:c r="H1520" s="46"/>
      <x:c r="I1520" s="46"/>
      <x:c r="J1520" s="46"/>
      <x:c r="K1520" s="46" t="str">
        <x:f>IF(COUNT(G1520,I1520)=0,"",AVERAGE(G1520,I1520))</x:f>
      </x:c>
      <x:c r="L1520" s="46" t="str">
        <x:f>IF(COUNT(H1520,J1520)=0,"",AVERAGE(H1520,J1520))</x:f>
      </x:c>
      <x:c r="M1520" s="46" t="str">
        <x:f>IF(OR(K1520="",L1520=""),"",L1520-K1520)</x:f>
      </x:c>
      <x:c r="N1520" s="46" t="str">
        <x:f>IF(OR(K1520="",A1519&lt;&gt;A1520,K1519=""),"",K1520-K1519)</x:f>
      </x:c>
      <x:c r="O1520" s="42" t="str">
        <x:v>Sem informação</x:v>
      </x:c>
      <x:c r="P1520" s="42"/>
      <x:c r="Q1520" s="42" t="str"/>
      <x:c r="R1520" s="42" t="str"/>
      <x:c r="S1520" s="42" t="str"/>
      <x:c r="T1520" s="42" t="str"/>
    </x:row>
    <x:row r="1521">
      <x:c r="A1521" s="42" t="str">
        <x:v>Zé Lucas</x:v>
      </x:c>
      <x:c r="B1521" s="42" t="n">
        <x:v>2030</x:v>
      </x:c>
      <x:c r="C1521" s="42" t="str">
        <x:v>T4</x:v>
      </x:c>
      <x:c r="D1521" s="44" t="n">
        <x:v>47848</x:v>
      </x:c>
      <x:c r="E1521" s="42" t="str">
        <x:v>Volante</x:v>
      </x:c>
      <x:c r="F1521" s="42" t="str">
        <x:v>SC Recife</x:v>
      </x:c>
      <x:c r="G1521" s="46"/>
      <x:c r="H1521" s="46"/>
      <x:c r="I1521" s="46"/>
      <x:c r="J1521" s="46"/>
      <x:c r="K1521" s="46" t="str">
        <x:f>IF(COUNT(G1521,I1521)=0,"",AVERAGE(G1521,I1521))</x:f>
      </x:c>
      <x:c r="L1521" s="46" t="str">
        <x:f>IF(COUNT(H1521,J1521)=0,"",AVERAGE(H1521,J1521))</x:f>
      </x:c>
      <x:c r="M1521" s="46" t="str">
        <x:f>IF(OR(K1521="",L1521=""),"",L1521-K1521)</x:f>
      </x:c>
      <x:c r="N1521" s="46" t="str">
        <x:f>IF(OR(K1521="",A1520&lt;&gt;A1521,K1520=""),"",K1521-K1520)</x:f>
      </x:c>
      <x:c r="O1521" s="42" t="str">
        <x:v>Sem informação</x:v>
      </x:c>
      <x:c r="P1521" s="42"/>
      <x:c r="Q1521" s="42" t="str"/>
      <x:c r="R1521" s="42" t="str"/>
      <x:c r="S1521" s="42" t="str"/>
      <x:c r="T1521" s="42" t="str"/>
    </x:row>
    <x:row r="1522">
      <x:c r="A1522" s="42" t="str">
        <x:v>Lucca</x:v>
      </x:c>
      <x:c r="B1522" s="42" t="n">
        <x:v>2026</x:v>
      </x:c>
      <x:c r="C1522" s="42" t="str">
        <x:v>T1</x:v>
      </x:c>
      <x:c r="D1522" s="44" t="n">
        <x:v>46112</x:v>
      </x:c>
      <x:c r="E1522" s="42" t="str">
        <x:v>Ponta-esquerda</x:v>
      </x:c>
      <x:c r="F1522" s="42" t="str">
        <x:v>São Paulo FC</x:v>
      </x:c>
      <x:c r="G1522" s="46"/>
      <x:c r="H1522" s="46"/>
      <x:c r="I1522" s="46"/>
      <x:c r="J1522" s="46"/>
      <x:c r="K1522" s="46" t="str">
        <x:f>IF(COUNT(G1522,I1522)=0,"",AVERAGE(G1522,I1522))</x:f>
      </x:c>
      <x:c r="L1522" s="46" t="str">
        <x:f>IF(COUNT(H1522,J1522)=0,"",AVERAGE(H1522,J1522))</x:f>
      </x:c>
      <x:c r="M1522" s="46" t="str">
        <x:f>IF(OR(K1522="",L1522=""),"",L1522-K1522)</x:f>
      </x:c>
      <x:c r="N1522" s="46" t="str">
        <x:f>IF(OR(K1522="",A1521&lt;&gt;A1522,K1521=""),"",K1522-K1521)</x:f>
      </x:c>
      <x:c r="O1522" s="42" t="str">
        <x:v>Sem informação</x:v>
      </x:c>
      <x:c r="P1522" s="42"/>
      <x:c r="Q1522" s="42" t="str"/>
      <x:c r="R1522" s="42" t="str"/>
      <x:c r="S1522" s="42" t="str"/>
      <x:c r="T1522" s="42" t="str"/>
    </x:row>
    <x:row r="1523">
      <x:c r="A1523" s="42" t="str">
        <x:v>Lucca</x:v>
      </x:c>
      <x:c r="B1523" s="42" t="n">
        <x:v>2026</x:v>
      </x:c>
      <x:c r="C1523" s="42" t="str">
        <x:v>T2</x:v>
      </x:c>
      <x:c r="D1523" s="44" t="n">
        <x:v>46203</x:v>
      </x:c>
      <x:c r="E1523" s="42" t="str">
        <x:v>Ponta-esquerda</x:v>
      </x:c>
      <x:c r="F1523" s="42" t="str">
        <x:v>São Paulo FC</x:v>
      </x:c>
      <x:c r="G1523" s="46"/>
      <x:c r="H1523" s="46"/>
      <x:c r="I1523" s="46"/>
      <x:c r="J1523" s="46"/>
      <x:c r="K1523" s="46" t="str">
        <x:f>IF(COUNT(G1523,I1523)=0,"",AVERAGE(G1523,I1523))</x:f>
      </x:c>
      <x:c r="L1523" s="46" t="str">
        <x:f>IF(COUNT(H1523,J1523)=0,"",AVERAGE(H1523,J1523))</x:f>
      </x:c>
      <x:c r="M1523" s="46" t="str">
        <x:f>IF(OR(K1523="",L1523=""),"",L1523-K1523)</x:f>
      </x:c>
      <x:c r="N1523" s="46" t="str">
        <x:f>IF(OR(K1523="",A1522&lt;&gt;A1523,K1522=""),"",K1523-K1522)</x:f>
      </x:c>
      <x:c r="O1523" s="42" t="str">
        <x:v>Sem informação</x:v>
      </x:c>
      <x:c r="P1523" s="42"/>
      <x:c r="Q1523" s="42" t="str"/>
      <x:c r="R1523" s="42" t="str"/>
      <x:c r="S1523" s="42" t="str"/>
      <x:c r="T1523" s="42" t="str"/>
    </x:row>
    <x:row r="1524">
      <x:c r="A1524" s="42" t="str">
        <x:v>Lucca</x:v>
      </x:c>
      <x:c r="B1524" s="42" t="n">
        <x:v>2026</x:v>
      </x:c>
      <x:c r="C1524" s="42" t="str">
        <x:v>T3</x:v>
      </x:c>
      <x:c r="D1524" s="44" t="n">
        <x:v>46295</x:v>
      </x:c>
      <x:c r="E1524" s="42" t="str">
        <x:v>Ponta-esquerda</x:v>
      </x:c>
      <x:c r="F1524" s="42" t="str">
        <x:v>São Paulo FC</x:v>
      </x:c>
      <x:c r="G1524" s="46"/>
      <x:c r="H1524" s="46"/>
      <x:c r="I1524" s="46"/>
      <x:c r="J1524" s="46"/>
      <x:c r="K1524" s="46" t="str">
        <x:f>IF(COUNT(G1524,I1524)=0,"",AVERAGE(G1524,I1524))</x:f>
      </x:c>
      <x:c r="L1524" s="46" t="str">
        <x:f>IF(COUNT(H1524,J1524)=0,"",AVERAGE(H1524,J1524))</x:f>
      </x:c>
      <x:c r="M1524" s="46" t="str">
        <x:f>IF(OR(K1524="",L1524=""),"",L1524-K1524)</x:f>
      </x:c>
      <x:c r="N1524" s="46" t="str">
        <x:f>IF(OR(K1524="",A1523&lt;&gt;A1524,K1523=""),"",K1524-K1523)</x:f>
      </x:c>
      <x:c r="O1524" s="42" t="str">
        <x:v>Sem informação</x:v>
      </x:c>
      <x:c r="P1524" s="42"/>
      <x:c r="Q1524" s="42" t="str"/>
      <x:c r="R1524" s="42" t="str"/>
      <x:c r="S1524" s="42" t="str"/>
      <x:c r="T1524" s="42" t="str"/>
    </x:row>
    <x:row r="1525">
      <x:c r="A1525" s="42" t="str">
        <x:v>Lucca</x:v>
      </x:c>
      <x:c r="B1525" s="42" t="n">
        <x:v>2026</x:v>
      </x:c>
      <x:c r="C1525" s="42" t="str">
        <x:v>T4</x:v>
      </x:c>
      <x:c r="D1525" s="44" t="n">
        <x:v>46387</x:v>
      </x:c>
      <x:c r="E1525" s="42" t="str">
        <x:v>Ponta-esquerda</x:v>
      </x:c>
      <x:c r="F1525" s="42" t="str">
        <x:v>São Paulo FC</x:v>
      </x:c>
      <x:c r="G1525" s="46"/>
      <x:c r="H1525" s="46"/>
      <x:c r="I1525" s="46"/>
      <x:c r="J1525" s="46"/>
      <x:c r="K1525" s="46" t="str">
        <x:f>IF(COUNT(G1525,I1525)=0,"",AVERAGE(G1525,I1525))</x:f>
      </x:c>
      <x:c r="L1525" s="46" t="str">
        <x:f>IF(COUNT(H1525,J1525)=0,"",AVERAGE(H1525,J1525))</x:f>
      </x:c>
      <x:c r="M1525" s="46" t="str">
        <x:f>IF(OR(K1525="",L1525=""),"",L1525-K1525)</x:f>
      </x:c>
      <x:c r="N1525" s="46" t="str">
        <x:f>IF(OR(K1525="",A1524&lt;&gt;A1525,K1524=""),"",K1525-K1524)</x:f>
      </x:c>
      <x:c r="O1525" s="42" t="str">
        <x:v>Sem informação</x:v>
      </x:c>
      <x:c r="P1525" s="42"/>
      <x:c r="Q1525" s="42" t="str"/>
      <x:c r="R1525" s="42" t="str"/>
      <x:c r="S1525" s="42" t="str"/>
      <x:c r="T1525" s="42" t="str"/>
    </x:row>
    <x:row r="1526">
      <x:c r="A1526" s="42" t="str">
        <x:v>Lucca</x:v>
      </x:c>
      <x:c r="B1526" s="42" t="n">
        <x:v>2027</x:v>
      </x:c>
      <x:c r="C1526" s="42" t="str">
        <x:v>T1</x:v>
      </x:c>
      <x:c r="D1526" s="44" t="n">
        <x:v>46477</x:v>
      </x:c>
      <x:c r="E1526" s="42" t="str">
        <x:v>Ponta-esquerda</x:v>
      </x:c>
      <x:c r="F1526" s="42" t="str">
        <x:v>São Paulo FC</x:v>
      </x:c>
      <x:c r="G1526" s="46"/>
      <x:c r="H1526" s="46"/>
      <x:c r="I1526" s="46"/>
      <x:c r="J1526" s="46"/>
      <x:c r="K1526" s="46" t="str">
        <x:f>IF(COUNT(G1526,I1526)=0,"",AVERAGE(G1526,I1526))</x:f>
      </x:c>
      <x:c r="L1526" s="46" t="str">
        <x:f>IF(COUNT(H1526,J1526)=0,"",AVERAGE(H1526,J1526))</x:f>
      </x:c>
      <x:c r="M1526" s="46" t="str">
        <x:f>IF(OR(K1526="",L1526=""),"",L1526-K1526)</x:f>
      </x:c>
      <x:c r="N1526" s="46" t="str">
        <x:f>IF(OR(K1526="",A1525&lt;&gt;A1526,K1525=""),"",K1526-K1525)</x:f>
      </x:c>
      <x:c r="O1526" s="42" t="str">
        <x:v>Sem informação</x:v>
      </x:c>
      <x:c r="P1526" s="42"/>
      <x:c r="Q1526" s="42" t="str"/>
      <x:c r="R1526" s="42" t="str"/>
      <x:c r="S1526" s="42" t="str"/>
      <x:c r="T1526" s="42" t="str"/>
    </x:row>
    <x:row r="1527">
      <x:c r="A1527" s="42" t="str">
        <x:v>Lucca</x:v>
      </x:c>
      <x:c r="B1527" s="42" t="n">
        <x:v>2027</x:v>
      </x:c>
      <x:c r="C1527" s="42" t="str">
        <x:v>T2</x:v>
      </x:c>
      <x:c r="D1527" s="44" t="n">
        <x:v>46568</x:v>
      </x:c>
      <x:c r="E1527" s="42" t="str">
        <x:v>Ponta-esquerda</x:v>
      </x:c>
      <x:c r="F1527" s="42" t="str">
        <x:v>São Paulo FC</x:v>
      </x:c>
      <x:c r="G1527" s="46"/>
      <x:c r="H1527" s="46"/>
      <x:c r="I1527" s="46"/>
      <x:c r="J1527" s="46"/>
      <x:c r="K1527" s="46" t="str">
        <x:f>IF(COUNT(G1527,I1527)=0,"",AVERAGE(G1527,I1527))</x:f>
      </x:c>
      <x:c r="L1527" s="46" t="str">
        <x:f>IF(COUNT(H1527,J1527)=0,"",AVERAGE(H1527,J1527))</x:f>
      </x:c>
      <x:c r="M1527" s="46" t="str">
        <x:f>IF(OR(K1527="",L1527=""),"",L1527-K1527)</x:f>
      </x:c>
      <x:c r="N1527" s="46" t="str">
        <x:f>IF(OR(K1527="",A1526&lt;&gt;A1527,K1526=""),"",K1527-K1526)</x:f>
      </x:c>
      <x:c r="O1527" s="42" t="str">
        <x:v>Sem informação</x:v>
      </x:c>
      <x:c r="P1527" s="42"/>
      <x:c r="Q1527" s="42" t="str"/>
      <x:c r="R1527" s="42" t="str"/>
      <x:c r="S1527" s="42" t="str"/>
      <x:c r="T1527" s="42" t="str"/>
    </x:row>
    <x:row r="1528">
      <x:c r="A1528" s="42" t="str">
        <x:v>Lucca</x:v>
      </x:c>
      <x:c r="B1528" s="42" t="n">
        <x:v>2027</x:v>
      </x:c>
      <x:c r="C1528" s="42" t="str">
        <x:v>T3</x:v>
      </x:c>
      <x:c r="D1528" s="44" t="n">
        <x:v>46660</x:v>
      </x:c>
      <x:c r="E1528" s="42" t="str">
        <x:v>Ponta-esquerda</x:v>
      </x:c>
      <x:c r="F1528" s="42" t="str">
        <x:v>São Paulo FC</x:v>
      </x:c>
      <x:c r="G1528" s="46"/>
      <x:c r="H1528" s="46"/>
      <x:c r="I1528" s="46"/>
      <x:c r="J1528" s="46"/>
      <x:c r="K1528" s="46" t="str">
        <x:f>IF(COUNT(G1528,I1528)=0,"",AVERAGE(G1528,I1528))</x:f>
      </x:c>
      <x:c r="L1528" s="46" t="str">
        <x:f>IF(COUNT(H1528,J1528)=0,"",AVERAGE(H1528,J1528))</x:f>
      </x:c>
      <x:c r="M1528" s="46" t="str">
        <x:f>IF(OR(K1528="",L1528=""),"",L1528-K1528)</x:f>
      </x:c>
      <x:c r="N1528" s="46" t="str">
        <x:f>IF(OR(K1528="",A1527&lt;&gt;A1528,K1527=""),"",K1528-K1527)</x:f>
      </x:c>
      <x:c r="O1528" s="42" t="str">
        <x:v>Sem informação</x:v>
      </x:c>
      <x:c r="P1528" s="42"/>
      <x:c r="Q1528" s="42" t="str"/>
      <x:c r="R1528" s="42" t="str"/>
      <x:c r="S1528" s="42" t="str"/>
      <x:c r="T1528" s="42" t="str"/>
    </x:row>
    <x:row r="1529">
      <x:c r="A1529" s="42" t="str">
        <x:v>Lucca</x:v>
      </x:c>
      <x:c r="B1529" s="42" t="n">
        <x:v>2027</x:v>
      </x:c>
      <x:c r="C1529" s="42" t="str">
        <x:v>T4</x:v>
      </x:c>
      <x:c r="D1529" s="44" t="n">
        <x:v>46752</x:v>
      </x:c>
      <x:c r="E1529" s="42" t="str">
        <x:v>Ponta-esquerda</x:v>
      </x:c>
      <x:c r="F1529" s="42" t="str">
        <x:v>São Paulo FC</x:v>
      </x:c>
      <x:c r="G1529" s="46"/>
      <x:c r="H1529" s="46"/>
      <x:c r="I1529" s="46"/>
      <x:c r="J1529" s="46"/>
      <x:c r="K1529" s="46" t="str">
        <x:f>IF(COUNT(G1529,I1529)=0,"",AVERAGE(G1529,I1529))</x:f>
      </x:c>
      <x:c r="L1529" s="46" t="str">
        <x:f>IF(COUNT(H1529,J1529)=0,"",AVERAGE(H1529,J1529))</x:f>
      </x:c>
      <x:c r="M1529" s="46" t="str">
        <x:f>IF(OR(K1529="",L1529=""),"",L1529-K1529)</x:f>
      </x:c>
      <x:c r="N1529" s="46" t="str">
        <x:f>IF(OR(K1529="",A1528&lt;&gt;A1529,K1528=""),"",K1529-K1528)</x:f>
      </x:c>
      <x:c r="O1529" s="42" t="str">
        <x:v>Sem informação</x:v>
      </x:c>
      <x:c r="P1529" s="42"/>
      <x:c r="Q1529" s="42" t="str"/>
      <x:c r="R1529" s="42" t="str"/>
      <x:c r="S1529" s="42" t="str"/>
      <x:c r="T1529" s="42" t="str"/>
    </x:row>
    <x:row r="1530">
      <x:c r="A1530" s="42" t="str">
        <x:v>Lucca</x:v>
      </x:c>
      <x:c r="B1530" s="42" t="n">
        <x:v>2028</x:v>
      </x:c>
      <x:c r="C1530" s="42" t="str">
        <x:v>T1</x:v>
      </x:c>
      <x:c r="D1530" s="44" t="n">
        <x:v>46843</x:v>
      </x:c>
      <x:c r="E1530" s="42" t="str">
        <x:v>Ponta-esquerda</x:v>
      </x:c>
      <x:c r="F1530" s="42" t="str">
        <x:v>São Paulo FC</x:v>
      </x:c>
      <x:c r="G1530" s="46"/>
      <x:c r="H1530" s="46"/>
      <x:c r="I1530" s="46"/>
      <x:c r="J1530" s="46"/>
      <x:c r="K1530" s="46" t="str">
        <x:f>IF(COUNT(G1530,I1530)=0,"",AVERAGE(G1530,I1530))</x:f>
      </x:c>
      <x:c r="L1530" s="46" t="str">
        <x:f>IF(COUNT(H1530,J1530)=0,"",AVERAGE(H1530,J1530))</x:f>
      </x:c>
      <x:c r="M1530" s="46" t="str">
        <x:f>IF(OR(K1530="",L1530=""),"",L1530-K1530)</x:f>
      </x:c>
      <x:c r="N1530" s="46" t="str">
        <x:f>IF(OR(K1530="",A1529&lt;&gt;A1530,K1529=""),"",K1530-K1529)</x:f>
      </x:c>
      <x:c r="O1530" s="42" t="str">
        <x:v>Sem informação</x:v>
      </x:c>
      <x:c r="P1530" s="42"/>
      <x:c r="Q1530" s="42" t="str"/>
      <x:c r="R1530" s="42" t="str"/>
      <x:c r="S1530" s="42" t="str"/>
      <x:c r="T1530" s="42" t="str"/>
    </x:row>
    <x:row r="1531">
      <x:c r="A1531" s="42" t="str">
        <x:v>Lucca</x:v>
      </x:c>
      <x:c r="B1531" s="42" t="n">
        <x:v>2028</x:v>
      </x:c>
      <x:c r="C1531" s="42" t="str">
        <x:v>T2</x:v>
      </x:c>
      <x:c r="D1531" s="44" t="n">
        <x:v>46934</x:v>
      </x:c>
      <x:c r="E1531" s="42" t="str">
        <x:v>Ponta-esquerda</x:v>
      </x:c>
      <x:c r="F1531" s="42" t="str">
        <x:v>São Paulo FC</x:v>
      </x:c>
      <x:c r="G1531" s="46"/>
      <x:c r="H1531" s="46"/>
      <x:c r="I1531" s="46"/>
      <x:c r="J1531" s="46"/>
      <x:c r="K1531" s="46" t="str">
        <x:f>IF(COUNT(G1531,I1531)=0,"",AVERAGE(G1531,I1531))</x:f>
      </x:c>
      <x:c r="L1531" s="46" t="str">
        <x:f>IF(COUNT(H1531,J1531)=0,"",AVERAGE(H1531,J1531))</x:f>
      </x:c>
      <x:c r="M1531" s="46" t="str">
        <x:f>IF(OR(K1531="",L1531=""),"",L1531-K1531)</x:f>
      </x:c>
      <x:c r="N1531" s="46" t="str">
        <x:f>IF(OR(K1531="",A1530&lt;&gt;A1531,K1530=""),"",K1531-K1530)</x:f>
      </x:c>
      <x:c r="O1531" s="42" t="str">
        <x:v>Sem informação</x:v>
      </x:c>
      <x:c r="P1531" s="42"/>
      <x:c r="Q1531" s="42" t="str"/>
      <x:c r="R1531" s="42" t="str"/>
      <x:c r="S1531" s="42" t="str"/>
      <x:c r="T1531" s="42" t="str"/>
    </x:row>
    <x:row r="1532">
      <x:c r="A1532" s="42" t="str">
        <x:v>Lucca</x:v>
      </x:c>
      <x:c r="B1532" s="42" t="n">
        <x:v>2028</x:v>
      </x:c>
      <x:c r="C1532" s="42" t="str">
        <x:v>T3</x:v>
      </x:c>
      <x:c r="D1532" s="44" t="n">
        <x:v>47026</x:v>
      </x:c>
      <x:c r="E1532" s="42" t="str">
        <x:v>Ponta-esquerda</x:v>
      </x:c>
      <x:c r="F1532" s="42" t="str">
        <x:v>São Paulo FC</x:v>
      </x:c>
      <x:c r="G1532" s="46"/>
      <x:c r="H1532" s="46"/>
      <x:c r="I1532" s="46"/>
      <x:c r="J1532" s="46"/>
      <x:c r="K1532" s="46" t="str">
        <x:f>IF(COUNT(G1532,I1532)=0,"",AVERAGE(G1532,I1532))</x:f>
      </x:c>
      <x:c r="L1532" s="46" t="str">
        <x:f>IF(COUNT(H1532,J1532)=0,"",AVERAGE(H1532,J1532))</x:f>
      </x:c>
      <x:c r="M1532" s="46" t="str">
        <x:f>IF(OR(K1532="",L1532=""),"",L1532-K1532)</x:f>
      </x:c>
      <x:c r="N1532" s="46" t="str">
        <x:f>IF(OR(K1532="",A1531&lt;&gt;A1532,K1531=""),"",K1532-K1531)</x:f>
      </x:c>
      <x:c r="O1532" s="42" t="str">
        <x:v>Sem informação</x:v>
      </x:c>
      <x:c r="P1532" s="42"/>
      <x:c r="Q1532" s="42" t="str"/>
      <x:c r="R1532" s="42" t="str"/>
      <x:c r="S1532" s="42" t="str"/>
      <x:c r="T1532" s="42" t="str"/>
    </x:row>
    <x:row r="1533">
      <x:c r="A1533" s="42" t="str">
        <x:v>Lucca</x:v>
      </x:c>
      <x:c r="B1533" s="42" t="n">
        <x:v>2028</x:v>
      </x:c>
      <x:c r="C1533" s="42" t="str">
        <x:v>T4</x:v>
      </x:c>
      <x:c r="D1533" s="44" t="n">
        <x:v>47118</x:v>
      </x:c>
      <x:c r="E1533" s="42" t="str">
        <x:v>Ponta-esquerda</x:v>
      </x:c>
      <x:c r="F1533" s="42" t="str">
        <x:v>São Paulo FC</x:v>
      </x:c>
      <x:c r="G1533" s="46"/>
      <x:c r="H1533" s="46"/>
      <x:c r="I1533" s="46"/>
      <x:c r="J1533" s="46"/>
      <x:c r="K1533" s="46" t="str">
        <x:f>IF(COUNT(G1533,I1533)=0,"",AVERAGE(G1533,I1533))</x:f>
      </x:c>
      <x:c r="L1533" s="46" t="str">
        <x:f>IF(COUNT(H1533,J1533)=0,"",AVERAGE(H1533,J1533))</x:f>
      </x:c>
      <x:c r="M1533" s="46" t="str">
        <x:f>IF(OR(K1533="",L1533=""),"",L1533-K1533)</x:f>
      </x:c>
      <x:c r="N1533" s="46" t="str">
        <x:f>IF(OR(K1533="",A1532&lt;&gt;A1533,K1532=""),"",K1533-K1532)</x:f>
      </x:c>
      <x:c r="O1533" s="42" t="str">
        <x:v>Sem informação</x:v>
      </x:c>
      <x:c r="P1533" s="42"/>
      <x:c r="Q1533" s="42" t="str"/>
      <x:c r="R1533" s="42" t="str"/>
      <x:c r="S1533" s="42" t="str"/>
      <x:c r="T1533" s="42" t="str"/>
    </x:row>
    <x:row r="1534">
      <x:c r="A1534" s="42" t="str">
        <x:v>Lucca</x:v>
      </x:c>
      <x:c r="B1534" s="42" t="n">
        <x:v>2029</x:v>
      </x:c>
      <x:c r="C1534" s="42" t="str">
        <x:v>T1</x:v>
      </x:c>
      <x:c r="D1534" s="44" t="n">
        <x:v>47208</x:v>
      </x:c>
      <x:c r="E1534" s="42" t="str">
        <x:v>Ponta-esquerda</x:v>
      </x:c>
      <x:c r="F1534" s="42" t="str">
        <x:v>São Paulo FC</x:v>
      </x:c>
      <x:c r="G1534" s="46"/>
      <x:c r="H1534" s="46"/>
      <x:c r="I1534" s="46"/>
      <x:c r="J1534" s="46"/>
      <x:c r="K1534" s="46" t="str">
        <x:f>IF(COUNT(G1534,I1534)=0,"",AVERAGE(G1534,I1534))</x:f>
      </x:c>
      <x:c r="L1534" s="46" t="str">
        <x:f>IF(COUNT(H1534,J1534)=0,"",AVERAGE(H1534,J1534))</x:f>
      </x:c>
      <x:c r="M1534" s="46" t="str">
        <x:f>IF(OR(K1534="",L1534=""),"",L1534-K1534)</x:f>
      </x:c>
      <x:c r="N1534" s="46" t="str">
        <x:f>IF(OR(K1534="",A1533&lt;&gt;A1534,K1533=""),"",K1534-K1533)</x:f>
      </x:c>
      <x:c r="O1534" s="42" t="str">
        <x:v>Sem informação</x:v>
      </x:c>
      <x:c r="P1534" s="42"/>
      <x:c r="Q1534" s="42" t="str"/>
      <x:c r="R1534" s="42" t="str"/>
      <x:c r="S1534" s="42" t="str"/>
      <x:c r="T1534" s="42" t="str"/>
    </x:row>
    <x:row r="1535">
      <x:c r="A1535" s="42" t="str">
        <x:v>Lucca</x:v>
      </x:c>
      <x:c r="B1535" s="42" t="n">
        <x:v>2029</x:v>
      </x:c>
      <x:c r="C1535" s="42" t="str">
        <x:v>T2</x:v>
      </x:c>
      <x:c r="D1535" s="44" t="n">
        <x:v>47299</x:v>
      </x:c>
      <x:c r="E1535" s="42" t="str">
        <x:v>Ponta-esquerda</x:v>
      </x:c>
      <x:c r="F1535" s="42" t="str">
        <x:v>São Paulo FC</x:v>
      </x:c>
      <x:c r="G1535" s="46"/>
      <x:c r="H1535" s="46"/>
      <x:c r="I1535" s="46"/>
      <x:c r="J1535" s="46"/>
      <x:c r="K1535" s="46" t="str">
        <x:f>IF(COUNT(G1535,I1535)=0,"",AVERAGE(G1535,I1535))</x:f>
      </x:c>
      <x:c r="L1535" s="46" t="str">
        <x:f>IF(COUNT(H1535,J1535)=0,"",AVERAGE(H1535,J1535))</x:f>
      </x:c>
      <x:c r="M1535" s="46" t="str">
        <x:f>IF(OR(K1535="",L1535=""),"",L1535-K1535)</x:f>
      </x:c>
      <x:c r="N1535" s="46" t="str">
        <x:f>IF(OR(K1535="",A1534&lt;&gt;A1535,K1534=""),"",K1535-K1534)</x:f>
      </x:c>
      <x:c r="O1535" s="42" t="str">
        <x:v>Sem informação</x:v>
      </x:c>
      <x:c r="P1535" s="42"/>
      <x:c r="Q1535" s="42" t="str"/>
      <x:c r="R1535" s="42" t="str"/>
      <x:c r="S1535" s="42" t="str"/>
      <x:c r="T1535" s="42" t="str"/>
    </x:row>
    <x:row r="1536">
      <x:c r="A1536" s="42" t="str">
        <x:v>Lucca</x:v>
      </x:c>
      <x:c r="B1536" s="42" t="n">
        <x:v>2029</x:v>
      </x:c>
      <x:c r="C1536" s="42" t="str">
        <x:v>T3</x:v>
      </x:c>
      <x:c r="D1536" s="44" t="n">
        <x:v>47391</x:v>
      </x:c>
      <x:c r="E1536" s="42" t="str">
        <x:v>Ponta-esquerda</x:v>
      </x:c>
      <x:c r="F1536" s="42" t="str">
        <x:v>São Paulo FC</x:v>
      </x:c>
      <x:c r="G1536" s="46"/>
      <x:c r="H1536" s="46"/>
      <x:c r="I1536" s="46"/>
      <x:c r="J1536" s="46"/>
      <x:c r="K1536" s="46" t="str">
        <x:f>IF(COUNT(G1536,I1536)=0,"",AVERAGE(G1536,I1536))</x:f>
      </x:c>
      <x:c r="L1536" s="46" t="str">
        <x:f>IF(COUNT(H1536,J1536)=0,"",AVERAGE(H1536,J1536))</x:f>
      </x:c>
      <x:c r="M1536" s="46" t="str">
        <x:f>IF(OR(K1536="",L1536=""),"",L1536-K1536)</x:f>
      </x:c>
      <x:c r="N1536" s="46" t="str">
        <x:f>IF(OR(K1536="",A1535&lt;&gt;A1536,K1535=""),"",K1536-K1535)</x:f>
      </x:c>
      <x:c r="O1536" s="42" t="str">
        <x:v>Sem informação</x:v>
      </x:c>
      <x:c r="P1536" s="42"/>
      <x:c r="Q1536" s="42" t="str"/>
      <x:c r="R1536" s="42" t="str"/>
      <x:c r="S1536" s="42" t="str"/>
      <x:c r="T1536" s="42" t="str"/>
    </x:row>
    <x:row r="1537">
      <x:c r="A1537" s="42" t="str">
        <x:v>Lucca</x:v>
      </x:c>
      <x:c r="B1537" s="42" t="n">
        <x:v>2029</x:v>
      </x:c>
      <x:c r="C1537" s="42" t="str">
        <x:v>T4</x:v>
      </x:c>
      <x:c r="D1537" s="44" t="n">
        <x:v>47483</x:v>
      </x:c>
      <x:c r="E1537" s="42" t="str">
        <x:v>Ponta-esquerda</x:v>
      </x:c>
      <x:c r="F1537" s="42" t="str">
        <x:v>São Paulo FC</x:v>
      </x:c>
      <x:c r="G1537" s="46"/>
      <x:c r="H1537" s="46"/>
      <x:c r="I1537" s="46"/>
      <x:c r="J1537" s="46"/>
      <x:c r="K1537" s="46" t="str">
        <x:f>IF(COUNT(G1537,I1537)=0,"",AVERAGE(G1537,I1537))</x:f>
      </x:c>
      <x:c r="L1537" s="46" t="str">
        <x:f>IF(COUNT(H1537,J1537)=0,"",AVERAGE(H1537,J1537))</x:f>
      </x:c>
      <x:c r="M1537" s="46" t="str">
        <x:f>IF(OR(K1537="",L1537=""),"",L1537-K1537)</x:f>
      </x:c>
      <x:c r="N1537" s="46" t="str">
        <x:f>IF(OR(K1537="",A1536&lt;&gt;A1537,K1536=""),"",K1537-K1536)</x:f>
      </x:c>
      <x:c r="O1537" s="42" t="str">
        <x:v>Sem informação</x:v>
      </x:c>
      <x:c r="P1537" s="42"/>
      <x:c r="Q1537" s="42" t="str"/>
      <x:c r="R1537" s="42" t="str"/>
      <x:c r="S1537" s="42" t="str"/>
      <x:c r="T1537" s="42" t="str"/>
    </x:row>
    <x:row r="1538">
      <x:c r="A1538" s="42" t="str">
        <x:v>Lucca</x:v>
      </x:c>
      <x:c r="B1538" s="42" t="n">
        <x:v>2030</x:v>
      </x:c>
      <x:c r="C1538" s="42" t="str">
        <x:v>T1</x:v>
      </x:c>
      <x:c r="D1538" s="44" t="n">
        <x:v>47573</x:v>
      </x:c>
      <x:c r="E1538" s="42" t="str">
        <x:v>Ponta-esquerda</x:v>
      </x:c>
      <x:c r="F1538" s="42" t="str">
        <x:v>São Paulo FC</x:v>
      </x:c>
      <x:c r="G1538" s="46"/>
      <x:c r="H1538" s="46"/>
      <x:c r="I1538" s="46"/>
      <x:c r="J1538" s="46"/>
      <x:c r="K1538" s="46" t="str">
        <x:f>IF(COUNT(G1538,I1538)=0,"",AVERAGE(G1538,I1538))</x:f>
      </x:c>
      <x:c r="L1538" s="46" t="str">
        <x:f>IF(COUNT(H1538,J1538)=0,"",AVERAGE(H1538,J1538))</x:f>
      </x:c>
      <x:c r="M1538" s="46" t="str">
        <x:f>IF(OR(K1538="",L1538=""),"",L1538-K1538)</x:f>
      </x:c>
      <x:c r="N1538" s="46" t="str">
        <x:f>IF(OR(K1538="",A1537&lt;&gt;A1538,K1537=""),"",K1538-K1537)</x:f>
      </x:c>
      <x:c r="O1538" s="42" t="str">
        <x:v>Sem informação</x:v>
      </x:c>
      <x:c r="P1538" s="42"/>
      <x:c r="Q1538" s="42" t="str"/>
      <x:c r="R1538" s="42" t="str"/>
      <x:c r="S1538" s="42" t="str"/>
      <x:c r="T1538" s="42" t="str"/>
    </x:row>
    <x:row r="1539">
      <x:c r="A1539" s="42" t="str">
        <x:v>Lucca</x:v>
      </x:c>
      <x:c r="B1539" s="42" t="n">
        <x:v>2030</x:v>
      </x:c>
      <x:c r="C1539" s="42" t="str">
        <x:v>T2</x:v>
      </x:c>
      <x:c r="D1539" s="44" t="n">
        <x:v>47664</x:v>
      </x:c>
      <x:c r="E1539" s="42" t="str">
        <x:v>Ponta-esquerda</x:v>
      </x:c>
      <x:c r="F1539" s="42" t="str">
        <x:v>São Paulo FC</x:v>
      </x:c>
      <x:c r="G1539" s="46"/>
      <x:c r="H1539" s="46"/>
      <x:c r="I1539" s="46"/>
      <x:c r="J1539" s="46"/>
      <x:c r="K1539" s="46" t="str">
        <x:f>IF(COUNT(G1539,I1539)=0,"",AVERAGE(G1539,I1539))</x:f>
      </x:c>
      <x:c r="L1539" s="46" t="str">
        <x:f>IF(COUNT(H1539,J1539)=0,"",AVERAGE(H1539,J1539))</x:f>
      </x:c>
      <x:c r="M1539" s="46" t="str">
        <x:f>IF(OR(K1539="",L1539=""),"",L1539-K1539)</x:f>
      </x:c>
      <x:c r="N1539" s="46" t="str">
        <x:f>IF(OR(K1539="",A1538&lt;&gt;A1539,K1538=""),"",K1539-K1538)</x:f>
      </x:c>
      <x:c r="O1539" s="42" t="str">
        <x:v>Sem informação</x:v>
      </x:c>
      <x:c r="P1539" s="42"/>
      <x:c r="Q1539" s="42" t="str"/>
      <x:c r="R1539" s="42" t="str"/>
      <x:c r="S1539" s="42" t="str"/>
      <x:c r="T1539" s="42" t="str"/>
    </x:row>
    <x:row r="1540">
      <x:c r="A1540" s="42" t="str">
        <x:v>Lucca</x:v>
      </x:c>
      <x:c r="B1540" s="42" t="n">
        <x:v>2030</x:v>
      </x:c>
      <x:c r="C1540" s="42" t="str">
        <x:v>T3</x:v>
      </x:c>
      <x:c r="D1540" s="44" t="n">
        <x:v>47756</x:v>
      </x:c>
      <x:c r="E1540" s="42" t="str">
        <x:v>Ponta-esquerda</x:v>
      </x:c>
      <x:c r="F1540" s="42" t="str">
        <x:v>São Paulo FC</x:v>
      </x:c>
      <x:c r="G1540" s="46"/>
      <x:c r="H1540" s="46"/>
      <x:c r="I1540" s="46"/>
      <x:c r="J1540" s="46"/>
      <x:c r="K1540" s="46" t="str">
        <x:f>IF(COUNT(G1540,I1540)=0,"",AVERAGE(G1540,I1540))</x:f>
      </x:c>
      <x:c r="L1540" s="46" t="str">
        <x:f>IF(COUNT(H1540,J1540)=0,"",AVERAGE(H1540,J1540))</x:f>
      </x:c>
      <x:c r="M1540" s="46" t="str">
        <x:f>IF(OR(K1540="",L1540=""),"",L1540-K1540)</x:f>
      </x:c>
      <x:c r="N1540" s="46" t="str">
        <x:f>IF(OR(K1540="",A1539&lt;&gt;A1540,K1539=""),"",K1540-K1539)</x:f>
      </x:c>
      <x:c r="O1540" s="42" t="str">
        <x:v>Sem informação</x:v>
      </x:c>
      <x:c r="P1540" s="42"/>
      <x:c r="Q1540" s="42" t="str"/>
      <x:c r="R1540" s="42" t="str"/>
      <x:c r="S1540" s="42" t="str"/>
      <x:c r="T1540" s="42" t="str"/>
    </x:row>
    <x:row r="1541">
      <x:c r="A1541" s="42" t="str">
        <x:v>Lucca</x:v>
      </x:c>
      <x:c r="B1541" s="42" t="n">
        <x:v>2030</x:v>
      </x:c>
      <x:c r="C1541" s="42" t="str">
        <x:v>T4</x:v>
      </x:c>
      <x:c r="D1541" s="44" t="n">
        <x:v>47848</x:v>
      </x:c>
      <x:c r="E1541" s="42" t="str">
        <x:v>Ponta-esquerda</x:v>
      </x:c>
      <x:c r="F1541" s="42" t="str">
        <x:v>São Paulo FC</x:v>
      </x:c>
      <x:c r="G1541" s="46"/>
      <x:c r="H1541" s="46"/>
      <x:c r="I1541" s="46"/>
      <x:c r="J1541" s="46"/>
      <x:c r="K1541" s="46" t="str">
        <x:f>IF(COUNT(G1541,I1541)=0,"",AVERAGE(G1541,I1541))</x:f>
      </x:c>
      <x:c r="L1541" s="46" t="str">
        <x:f>IF(COUNT(H1541,J1541)=0,"",AVERAGE(H1541,J1541))</x:f>
      </x:c>
      <x:c r="M1541" s="46" t="str">
        <x:f>IF(OR(K1541="",L1541=""),"",L1541-K1541)</x:f>
      </x:c>
      <x:c r="N1541" s="46" t="str">
        <x:f>IF(OR(K1541="",A1540&lt;&gt;A1541,K1540=""),"",K1541-K1540)</x:f>
      </x:c>
      <x:c r="O1541" s="42" t="str">
        <x:v>Sem informação</x:v>
      </x:c>
      <x:c r="P1541" s="42"/>
      <x:c r="Q1541" s="42" t="str"/>
      <x:c r="R1541" s="42" t="str"/>
      <x:c r="S1541" s="42" t="str"/>
      <x:c r="T1541" s="42" t="str"/>
    </x:row>
    <x:row r="1542">
      <x:c r="A1542" s="42" t="str">
        <x:v>Riquelme Fillipi</x:v>
      </x:c>
      <x:c r="B1542" s="42" t="n">
        <x:v>2026</x:v>
      </x:c>
      <x:c r="C1542" s="42" t="str">
        <x:v>T1</x:v>
      </x:c>
      <x:c r="D1542" s="44" t="n">
        <x:v>46112</x:v>
      </x:c>
      <x:c r="E1542" s="42" t="str">
        <x:v>Ponta-esquerda</x:v>
      </x:c>
      <x:c r="F1542" s="42" t="str">
        <x:v>SE Palmeiras Sub-20</x:v>
      </x:c>
      <x:c r="G1542" s="46"/>
      <x:c r="H1542" s="46"/>
      <x:c r="I1542" s="46"/>
      <x:c r="J1542" s="46"/>
      <x:c r="K1542" s="46" t="str">
        <x:f>IF(COUNT(G1542,I1542)=0,"",AVERAGE(G1542,I1542))</x:f>
      </x:c>
      <x:c r="L1542" s="46" t="str">
        <x:f>IF(COUNT(H1542,J1542)=0,"",AVERAGE(H1542,J1542))</x:f>
      </x:c>
      <x:c r="M1542" s="46" t="str">
        <x:f>IF(OR(K1542="",L1542=""),"",L1542-K1542)</x:f>
      </x:c>
      <x:c r="N1542" s="46" t="str">
        <x:f>IF(OR(K1542="",A1541&lt;&gt;A1542,K1541=""),"",K1542-K1541)</x:f>
      </x:c>
      <x:c r="O1542" s="42" t="str">
        <x:v>Sem informação</x:v>
      </x:c>
      <x:c r="P1542" s="42"/>
      <x:c r="Q1542" s="42" t="str"/>
      <x:c r="R1542" s="42" t="str"/>
      <x:c r="S1542" s="42" t="str"/>
      <x:c r="T1542" s="42" t="str"/>
    </x:row>
    <x:row r="1543">
      <x:c r="A1543" s="42" t="str">
        <x:v>Riquelme Fillipi</x:v>
      </x:c>
      <x:c r="B1543" s="42" t="n">
        <x:v>2026</x:v>
      </x:c>
      <x:c r="C1543" s="42" t="str">
        <x:v>T2</x:v>
      </x:c>
      <x:c r="D1543" s="44" t="n">
        <x:v>46203</x:v>
      </x:c>
      <x:c r="E1543" s="42" t="str">
        <x:v>Ponta-esquerda</x:v>
      </x:c>
      <x:c r="F1543" s="42" t="str">
        <x:v>SE Palmeiras Sub-20</x:v>
      </x:c>
      <x:c r="G1543" s="46"/>
      <x:c r="H1543" s="46"/>
      <x:c r="I1543" s="46"/>
      <x:c r="J1543" s="46"/>
      <x:c r="K1543" s="46" t="str">
        <x:f>IF(COUNT(G1543,I1543)=0,"",AVERAGE(G1543,I1543))</x:f>
      </x:c>
      <x:c r="L1543" s="46" t="str">
        <x:f>IF(COUNT(H1543,J1543)=0,"",AVERAGE(H1543,J1543))</x:f>
      </x:c>
      <x:c r="M1543" s="46" t="str">
        <x:f>IF(OR(K1543="",L1543=""),"",L1543-K1543)</x:f>
      </x:c>
      <x:c r="N1543" s="46" t="str">
        <x:f>IF(OR(K1543="",A1542&lt;&gt;A1543,K1542=""),"",K1543-K1542)</x:f>
      </x:c>
      <x:c r="O1543" s="42" t="str">
        <x:v>Sem informação</x:v>
      </x:c>
      <x:c r="P1543" s="42"/>
      <x:c r="Q1543" s="42" t="str"/>
      <x:c r="R1543" s="42" t="str"/>
      <x:c r="S1543" s="42" t="str"/>
      <x:c r="T1543" s="42" t="str"/>
    </x:row>
    <x:row r="1544">
      <x:c r="A1544" s="42" t="str">
        <x:v>Riquelme Fillipi</x:v>
      </x:c>
      <x:c r="B1544" s="42" t="n">
        <x:v>2026</x:v>
      </x:c>
      <x:c r="C1544" s="42" t="str">
        <x:v>T3</x:v>
      </x:c>
      <x:c r="D1544" s="44" t="n">
        <x:v>46295</x:v>
      </x:c>
      <x:c r="E1544" s="42" t="str">
        <x:v>Ponta-esquerda</x:v>
      </x:c>
      <x:c r="F1544" s="42" t="str">
        <x:v>SE Palmeiras Sub-20</x:v>
      </x:c>
      <x:c r="G1544" s="46"/>
      <x:c r="H1544" s="46"/>
      <x:c r="I1544" s="46"/>
      <x:c r="J1544" s="46"/>
      <x:c r="K1544" s="46" t="str">
        <x:f>IF(COUNT(G1544,I1544)=0,"",AVERAGE(G1544,I1544))</x:f>
      </x:c>
      <x:c r="L1544" s="46" t="str">
        <x:f>IF(COUNT(H1544,J1544)=0,"",AVERAGE(H1544,J1544))</x:f>
      </x:c>
      <x:c r="M1544" s="46" t="str">
        <x:f>IF(OR(K1544="",L1544=""),"",L1544-K1544)</x:f>
      </x:c>
      <x:c r="N1544" s="46" t="str">
        <x:f>IF(OR(K1544="",A1543&lt;&gt;A1544,K1543=""),"",K1544-K1543)</x:f>
      </x:c>
      <x:c r="O1544" s="42" t="str">
        <x:v>Sem informação</x:v>
      </x:c>
      <x:c r="P1544" s="42"/>
      <x:c r="Q1544" s="42" t="str"/>
      <x:c r="R1544" s="42" t="str"/>
      <x:c r="S1544" s="42" t="str"/>
      <x:c r="T1544" s="42" t="str"/>
    </x:row>
    <x:row r="1545">
      <x:c r="A1545" s="42" t="str">
        <x:v>Riquelme Fillipi</x:v>
      </x:c>
      <x:c r="B1545" s="42" t="n">
        <x:v>2026</x:v>
      </x:c>
      <x:c r="C1545" s="42" t="str">
        <x:v>T4</x:v>
      </x:c>
      <x:c r="D1545" s="44" t="n">
        <x:v>46387</x:v>
      </x:c>
      <x:c r="E1545" s="42" t="str">
        <x:v>Ponta-esquerda</x:v>
      </x:c>
      <x:c r="F1545" s="42" t="str">
        <x:v>SE Palmeiras Sub-20</x:v>
      </x:c>
      <x:c r="G1545" s="46"/>
      <x:c r="H1545" s="46"/>
      <x:c r="I1545" s="46"/>
      <x:c r="J1545" s="46"/>
      <x:c r="K1545" s="46" t="str">
        <x:f>IF(COUNT(G1545,I1545)=0,"",AVERAGE(G1545,I1545))</x:f>
      </x:c>
      <x:c r="L1545" s="46" t="str">
        <x:f>IF(COUNT(H1545,J1545)=0,"",AVERAGE(H1545,J1545))</x:f>
      </x:c>
      <x:c r="M1545" s="46" t="str">
        <x:f>IF(OR(K1545="",L1545=""),"",L1545-K1545)</x:f>
      </x:c>
      <x:c r="N1545" s="46" t="str">
        <x:f>IF(OR(K1545="",A1544&lt;&gt;A1545,K1544=""),"",K1545-K1544)</x:f>
      </x:c>
      <x:c r="O1545" s="42" t="str">
        <x:v>Sem informação</x:v>
      </x:c>
      <x:c r="P1545" s="42"/>
      <x:c r="Q1545" s="42" t="str"/>
      <x:c r="R1545" s="42" t="str"/>
      <x:c r="S1545" s="42" t="str"/>
      <x:c r="T1545" s="42" t="str"/>
    </x:row>
    <x:row r="1546">
      <x:c r="A1546" s="42" t="str">
        <x:v>Riquelme Fillipi</x:v>
      </x:c>
      <x:c r="B1546" s="42" t="n">
        <x:v>2027</x:v>
      </x:c>
      <x:c r="C1546" s="42" t="str">
        <x:v>T1</x:v>
      </x:c>
      <x:c r="D1546" s="44" t="n">
        <x:v>46477</x:v>
      </x:c>
      <x:c r="E1546" s="42" t="str">
        <x:v>Ponta-esquerda</x:v>
      </x:c>
      <x:c r="F1546" s="42" t="str">
        <x:v>SE Palmeiras Sub-20</x:v>
      </x:c>
      <x:c r="G1546" s="46"/>
      <x:c r="H1546" s="46"/>
      <x:c r="I1546" s="46"/>
      <x:c r="J1546" s="46"/>
      <x:c r="K1546" s="46" t="str">
        <x:f>IF(COUNT(G1546,I1546)=0,"",AVERAGE(G1546,I1546))</x:f>
      </x:c>
      <x:c r="L1546" s="46" t="str">
        <x:f>IF(COUNT(H1546,J1546)=0,"",AVERAGE(H1546,J1546))</x:f>
      </x:c>
      <x:c r="M1546" s="46" t="str">
        <x:f>IF(OR(K1546="",L1546=""),"",L1546-K1546)</x:f>
      </x:c>
      <x:c r="N1546" s="46" t="str">
        <x:f>IF(OR(K1546="",A1545&lt;&gt;A1546,K1545=""),"",K1546-K1545)</x:f>
      </x:c>
      <x:c r="O1546" s="42" t="str">
        <x:v>Sem informação</x:v>
      </x:c>
      <x:c r="P1546" s="42"/>
      <x:c r="Q1546" s="42" t="str"/>
      <x:c r="R1546" s="42" t="str"/>
      <x:c r="S1546" s="42" t="str"/>
      <x:c r="T1546" s="42" t="str"/>
    </x:row>
    <x:row r="1547">
      <x:c r="A1547" s="42" t="str">
        <x:v>Riquelme Fillipi</x:v>
      </x:c>
      <x:c r="B1547" s="42" t="n">
        <x:v>2027</x:v>
      </x:c>
      <x:c r="C1547" s="42" t="str">
        <x:v>T2</x:v>
      </x:c>
      <x:c r="D1547" s="44" t="n">
        <x:v>46568</x:v>
      </x:c>
      <x:c r="E1547" s="42" t="str">
        <x:v>Ponta-esquerda</x:v>
      </x:c>
      <x:c r="F1547" s="42" t="str">
        <x:v>SE Palmeiras Sub-20</x:v>
      </x:c>
      <x:c r="G1547" s="46"/>
      <x:c r="H1547" s="46"/>
      <x:c r="I1547" s="46"/>
      <x:c r="J1547" s="46"/>
      <x:c r="K1547" s="46" t="str">
        <x:f>IF(COUNT(G1547,I1547)=0,"",AVERAGE(G1547,I1547))</x:f>
      </x:c>
      <x:c r="L1547" s="46" t="str">
        <x:f>IF(COUNT(H1547,J1547)=0,"",AVERAGE(H1547,J1547))</x:f>
      </x:c>
      <x:c r="M1547" s="46" t="str">
        <x:f>IF(OR(K1547="",L1547=""),"",L1547-K1547)</x:f>
      </x:c>
      <x:c r="N1547" s="46" t="str">
        <x:f>IF(OR(K1547="",A1546&lt;&gt;A1547,K1546=""),"",K1547-K1546)</x:f>
      </x:c>
      <x:c r="O1547" s="42" t="str">
        <x:v>Sem informação</x:v>
      </x:c>
      <x:c r="P1547" s="42"/>
      <x:c r="Q1547" s="42" t="str"/>
      <x:c r="R1547" s="42" t="str"/>
      <x:c r="S1547" s="42" t="str"/>
      <x:c r="T1547" s="42" t="str"/>
    </x:row>
    <x:row r="1548">
      <x:c r="A1548" s="42" t="str">
        <x:v>Riquelme Fillipi</x:v>
      </x:c>
      <x:c r="B1548" s="42" t="n">
        <x:v>2027</x:v>
      </x:c>
      <x:c r="C1548" s="42" t="str">
        <x:v>T3</x:v>
      </x:c>
      <x:c r="D1548" s="44" t="n">
        <x:v>46660</x:v>
      </x:c>
      <x:c r="E1548" s="42" t="str">
        <x:v>Ponta-esquerda</x:v>
      </x:c>
      <x:c r="F1548" s="42" t="str">
        <x:v>SE Palmeiras Sub-20</x:v>
      </x:c>
      <x:c r="G1548" s="46"/>
      <x:c r="H1548" s="46"/>
      <x:c r="I1548" s="46"/>
      <x:c r="J1548" s="46"/>
      <x:c r="K1548" s="46" t="str">
        <x:f>IF(COUNT(G1548,I1548)=0,"",AVERAGE(G1548,I1548))</x:f>
      </x:c>
      <x:c r="L1548" s="46" t="str">
        <x:f>IF(COUNT(H1548,J1548)=0,"",AVERAGE(H1548,J1548))</x:f>
      </x:c>
      <x:c r="M1548" s="46" t="str">
        <x:f>IF(OR(K1548="",L1548=""),"",L1548-K1548)</x:f>
      </x:c>
      <x:c r="N1548" s="46" t="str">
        <x:f>IF(OR(K1548="",A1547&lt;&gt;A1548,K1547=""),"",K1548-K1547)</x:f>
      </x:c>
      <x:c r="O1548" s="42" t="str">
        <x:v>Sem informação</x:v>
      </x:c>
      <x:c r="P1548" s="42"/>
      <x:c r="Q1548" s="42" t="str"/>
      <x:c r="R1548" s="42" t="str"/>
      <x:c r="S1548" s="42" t="str"/>
      <x:c r="T1548" s="42" t="str"/>
    </x:row>
    <x:row r="1549">
      <x:c r="A1549" s="42" t="str">
        <x:v>Riquelme Fillipi</x:v>
      </x:c>
      <x:c r="B1549" s="42" t="n">
        <x:v>2027</x:v>
      </x:c>
      <x:c r="C1549" s="42" t="str">
        <x:v>T4</x:v>
      </x:c>
      <x:c r="D1549" s="44" t="n">
        <x:v>46752</x:v>
      </x:c>
      <x:c r="E1549" s="42" t="str">
        <x:v>Ponta-esquerda</x:v>
      </x:c>
      <x:c r="F1549" s="42" t="str">
        <x:v>SE Palmeiras Sub-20</x:v>
      </x:c>
      <x:c r="G1549" s="46"/>
      <x:c r="H1549" s="46"/>
      <x:c r="I1549" s="46"/>
      <x:c r="J1549" s="46"/>
      <x:c r="K1549" s="46" t="str">
        <x:f>IF(COUNT(G1549,I1549)=0,"",AVERAGE(G1549,I1549))</x:f>
      </x:c>
      <x:c r="L1549" s="46" t="str">
        <x:f>IF(COUNT(H1549,J1549)=0,"",AVERAGE(H1549,J1549))</x:f>
      </x:c>
      <x:c r="M1549" s="46" t="str">
        <x:f>IF(OR(K1549="",L1549=""),"",L1549-K1549)</x:f>
      </x:c>
      <x:c r="N1549" s="46" t="str">
        <x:f>IF(OR(K1549="",A1548&lt;&gt;A1549,K1548=""),"",K1549-K1548)</x:f>
      </x:c>
      <x:c r="O1549" s="42" t="str">
        <x:v>Sem informação</x:v>
      </x:c>
      <x:c r="P1549" s="42"/>
      <x:c r="Q1549" s="42" t="str"/>
      <x:c r="R1549" s="42" t="str"/>
      <x:c r="S1549" s="42" t="str"/>
      <x:c r="T1549" s="42" t="str"/>
    </x:row>
    <x:row r="1550">
      <x:c r="A1550" s="42" t="str">
        <x:v>Riquelme Fillipi</x:v>
      </x:c>
      <x:c r="B1550" s="42" t="n">
        <x:v>2028</x:v>
      </x:c>
      <x:c r="C1550" s="42" t="str">
        <x:v>T1</x:v>
      </x:c>
      <x:c r="D1550" s="44" t="n">
        <x:v>46843</x:v>
      </x:c>
      <x:c r="E1550" s="42" t="str">
        <x:v>Ponta-esquerda</x:v>
      </x:c>
      <x:c r="F1550" s="42" t="str">
        <x:v>SE Palmeiras Sub-20</x:v>
      </x:c>
      <x:c r="G1550" s="46"/>
      <x:c r="H1550" s="46"/>
      <x:c r="I1550" s="46"/>
      <x:c r="J1550" s="46"/>
      <x:c r="K1550" s="46" t="str">
        <x:f>IF(COUNT(G1550,I1550)=0,"",AVERAGE(G1550,I1550))</x:f>
      </x:c>
      <x:c r="L1550" s="46" t="str">
        <x:f>IF(COUNT(H1550,J1550)=0,"",AVERAGE(H1550,J1550))</x:f>
      </x:c>
      <x:c r="M1550" s="46" t="str">
        <x:f>IF(OR(K1550="",L1550=""),"",L1550-K1550)</x:f>
      </x:c>
      <x:c r="N1550" s="46" t="str">
        <x:f>IF(OR(K1550="",A1549&lt;&gt;A1550,K1549=""),"",K1550-K1549)</x:f>
      </x:c>
      <x:c r="O1550" s="42" t="str">
        <x:v>Sem informação</x:v>
      </x:c>
      <x:c r="P1550" s="42"/>
      <x:c r="Q1550" s="42" t="str"/>
      <x:c r="R1550" s="42" t="str"/>
      <x:c r="S1550" s="42" t="str"/>
      <x:c r="T1550" s="42" t="str"/>
    </x:row>
    <x:row r="1551">
      <x:c r="A1551" s="42" t="str">
        <x:v>Riquelme Fillipi</x:v>
      </x:c>
      <x:c r="B1551" s="42" t="n">
        <x:v>2028</x:v>
      </x:c>
      <x:c r="C1551" s="42" t="str">
        <x:v>T2</x:v>
      </x:c>
      <x:c r="D1551" s="44" t="n">
        <x:v>46934</x:v>
      </x:c>
      <x:c r="E1551" s="42" t="str">
        <x:v>Ponta-esquerda</x:v>
      </x:c>
      <x:c r="F1551" s="42" t="str">
        <x:v>SE Palmeiras Sub-20</x:v>
      </x:c>
      <x:c r="G1551" s="46"/>
      <x:c r="H1551" s="46"/>
      <x:c r="I1551" s="46"/>
      <x:c r="J1551" s="46"/>
      <x:c r="K1551" s="46" t="str">
        <x:f>IF(COUNT(G1551,I1551)=0,"",AVERAGE(G1551,I1551))</x:f>
      </x:c>
      <x:c r="L1551" s="46" t="str">
        <x:f>IF(COUNT(H1551,J1551)=0,"",AVERAGE(H1551,J1551))</x:f>
      </x:c>
      <x:c r="M1551" s="46" t="str">
        <x:f>IF(OR(K1551="",L1551=""),"",L1551-K1551)</x:f>
      </x:c>
      <x:c r="N1551" s="46" t="str">
        <x:f>IF(OR(K1551="",A1550&lt;&gt;A1551,K1550=""),"",K1551-K1550)</x:f>
      </x:c>
      <x:c r="O1551" s="42" t="str">
        <x:v>Sem informação</x:v>
      </x:c>
      <x:c r="P1551" s="42"/>
      <x:c r="Q1551" s="42" t="str"/>
      <x:c r="R1551" s="42" t="str"/>
      <x:c r="S1551" s="42" t="str"/>
      <x:c r="T1551" s="42" t="str"/>
    </x:row>
    <x:row r="1552">
      <x:c r="A1552" s="42" t="str">
        <x:v>Riquelme Fillipi</x:v>
      </x:c>
      <x:c r="B1552" s="42" t="n">
        <x:v>2028</x:v>
      </x:c>
      <x:c r="C1552" s="42" t="str">
        <x:v>T3</x:v>
      </x:c>
      <x:c r="D1552" s="44" t="n">
        <x:v>47026</x:v>
      </x:c>
      <x:c r="E1552" s="42" t="str">
        <x:v>Ponta-esquerda</x:v>
      </x:c>
      <x:c r="F1552" s="42" t="str">
        <x:v>SE Palmeiras Sub-20</x:v>
      </x:c>
      <x:c r="G1552" s="46"/>
      <x:c r="H1552" s="46"/>
      <x:c r="I1552" s="46"/>
      <x:c r="J1552" s="46"/>
      <x:c r="K1552" s="46" t="str">
        <x:f>IF(COUNT(G1552,I1552)=0,"",AVERAGE(G1552,I1552))</x:f>
      </x:c>
      <x:c r="L1552" s="46" t="str">
        <x:f>IF(COUNT(H1552,J1552)=0,"",AVERAGE(H1552,J1552))</x:f>
      </x:c>
      <x:c r="M1552" s="46" t="str">
        <x:f>IF(OR(K1552="",L1552=""),"",L1552-K1552)</x:f>
      </x:c>
      <x:c r="N1552" s="46" t="str">
        <x:f>IF(OR(K1552="",A1551&lt;&gt;A1552,K1551=""),"",K1552-K1551)</x:f>
      </x:c>
      <x:c r="O1552" s="42" t="str">
        <x:v>Sem informação</x:v>
      </x:c>
      <x:c r="P1552" s="42"/>
      <x:c r="Q1552" s="42" t="str"/>
      <x:c r="R1552" s="42" t="str"/>
      <x:c r="S1552" s="42" t="str"/>
      <x:c r="T1552" s="42" t="str"/>
    </x:row>
    <x:row r="1553">
      <x:c r="A1553" s="42" t="str">
        <x:v>Riquelme Fillipi</x:v>
      </x:c>
      <x:c r="B1553" s="42" t="n">
        <x:v>2028</x:v>
      </x:c>
      <x:c r="C1553" s="42" t="str">
        <x:v>T4</x:v>
      </x:c>
      <x:c r="D1553" s="44" t="n">
        <x:v>47118</x:v>
      </x:c>
      <x:c r="E1553" s="42" t="str">
        <x:v>Ponta-esquerda</x:v>
      </x:c>
      <x:c r="F1553" s="42" t="str">
        <x:v>SE Palmeiras Sub-20</x:v>
      </x:c>
      <x:c r="G1553" s="46"/>
      <x:c r="H1553" s="46"/>
      <x:c r="I1553" s="46"/>
      <x:c r="J1553" s="46"/>
      <x:c r="K1553" s="46" t="str">
        <x:f>IF(COUNT(G1553,I1553)=0,"",AVERAGE(G1553,I1553))</x:f>
      </x:c>
      <x:c r="L1553" s="46" t="str">
        <x:f>IF(COUNT(H1553,J1553)=0,"",AVERAGE(H1553,J1553))</x:f>
      </x:c>
      <x:c r="M1553" s="46" t="str">
        <x:f>IF(OR(K1553="",L1553=""),"",L1553-K1553)</x:f>
      </x:c>
      <x:c r="N1553" s="46" t="str">
        <x:f>IF(OR(K1553="",A1552&lt;&gt;A1553,K1552=""),"",K1553-K1552)</x:f>
      </x:c>
      <x:c r="O1553" s="42" t="str">
        <x:v>Sem informação</x:v>
      </x:c>
      <x:c r="P1553" s="42"/>
      <x:c r="Q1553" s="42" t="str"/>
      <x:c r="R1553" s="42" t="str"/>
      <x:c r="S1553" s="42" t="str"/>
      <x:c r="T1553" s="42" t="str"/>
    </x:row>
    <x:row r="1554">
      <x:c r="A1554" s="42" t="str">
        <x:v>Riquelme Fillipi</x:v>
      </x:c>
      <x:c r="B1554" s="42" t="n">
        <x:v>2029</x:v>
      </x:c>
      <x:c r="C1554" s="42" t="str">
        <x:v>T1</x:v>
      </x:c>
      <x:c r="D1554" s="44" t="n">
        <x:v>47208</x:v>
      </x:c>
      <x:c r="E1554" s="42" t="str">
        <x:v>Ponta-esquerda</x:v>
      </x:c>
      <x:c r="F1554" s="42" t="str">
        <x:v>SE Palmeiras Sub-20</x:v>
      </x:c>
      <x:c r="G1554" s="46"/>
      <x:c r="H1554" s="46"/>
      <x:c r="I1554" s="46"/>
      <x:c r="J1554" s="46"/>
      <x:c r="K1554" s="46" t="str">
        <x:f>IF(COUNT(G1554,I1554)=0,"",AVERAGE(G1554,I1554))</x:f>
      </x:c>
      <x:c r="L1554" s="46" t="str">
        <x:f>IF(COUNT(H1554,J1554)=0,"",AVERAGE(H1554,J1554))</x:f>
      </x:c>
      <x:c r="M1554" s="46" t="str">
        <x:f>IF(OR(K1554="",L1554=""),"",L1554-K1554)</x:f>
      </x:c>
      <x:c r="N1554" s="46" t="str">
        <x:f>IF(OR(K1554="",A1553&lt;&gt;A1554,K1553=""),"",K1554-K1553)</x:f>
      </x:c>
      <x:c r="O1554" s="42" t="str">
        <x:v>Sem informação</x:v>
      </x:c>
      <x:c r="P1554" s="42"/>
      <x:c r="Q1554" s="42" t="str"/>
      <x:c r="R1554" s="42" t="str"/>
      <x:c r="S1554" s="42" t="str"/>
      <x:c r="T1554" s="42" t="str"/>
    </x:row>
    <x:row r="1555">
      <x:c r="A1555" s="42" t="str">
        <x:v>Riquelme Fillipi</x:v>
      </x:c>
      <x:c r="B1555" s="42" t="n">
        <x:v>2029</x:v>
      </x:c>
      <x:c r="C1555" s="42" t="str">
        <x:v>T2</x:v>
      </x:c>
      <x:c r="D1555" s="44" t="n">
        <x:v>47299</x:v>
      </x:c>
      <x:c r="E1555" s="42" t="str">
        <x:v>Ponta-esquerda</x:v>
      </x:c>
      <x:c r="F1555" s="42" t="str">
        <x:v>SE Palmeiras Sub-20</x:v>
      </x:c>
      <x:c r="G1555" s="46"/>
      <x:c r="H1555" s="46"/>
      <x:c r="I1555" s="46"/>
      <x:c r="J1555" s="46"/>
      <x:c r="K1555" s="46" t="str">
        <x:f>IF(COUNT(G1555,I1555)=0,"",AVERAGE(G1555,I1555))</x:f>
      </x:c>
      <x:c r="L1555" s="46" t="str">
        <x:f>IF(COUNT(H1555,J1555)=0,"",AVERAGE(H1555,J1555))</x:f>
      </x:c>
      <x:c r="M1555" s="46" t="str">
        <x:f>IF(OR(K1555="",L1555=""),"",L1555-K1555)</x:f>
      </x:c>
      <x:c r="N1555" s="46" t="str">
        <x:f>IF(OR(K1555="",A1554&lt;&gt;A1555,K1554=""),"",K1555-K1554)</x:f>
      </x:c>
      <x:c r="O1555" s="42" t="str">
        <x:v>Sem informação</x:v>
      </x:c>
      <x:c r="P1555" s="42"/>
      <x:c r="Q1555" s="42" t="str"/>
      <x:c r="R1555" s="42" t="str"/>
      <x:c r="S1555" s="42" t="str"/>
      <x:c r="T1555" s="42" t="str"/>
    </x:row>
    <x:row r="1556">
      <x:c r="A1556" s="42" t="str">
        <x:v>Riquelme Fillipi</x:v>
      </x:c>
      <x:c r="B1556" s="42" t="n">
        <x:v>2029</x:v>
      </x:c>
      <x:c r="C1556" s="42" t="str">
        <x:v>T3</x:v>
      </x:c>
      <x:c r="D1556" s="44" t="n">
        <x:v>47391</x:v>
      </x:c>
      <x:c r="E1556" s="42" t="str">
        <x:v>Ponta-esquerda</x:v>
      </x:c>
      <x:c r="F1556" s="42" t="str">
        <x:v>SE Palmeiras Sub-20</x:v>
      </x:c>
      <x:c r="G1556" s="46"/>
      <x:c r="H1556" s="46"/>
      <x:c r="I1556" s="46"/>
      <x:c r="J1556" s="46"/>
      <x:c r="K1556" s="46" t="str">
        <x:f>IF(COUNT(G1556,I1556)=0,"",AVERAGE(G1556,I1556))</x:f>
      </x:c>
      <x:c r="L1556" s="46" t="str">
        <x:f>IF(COUNT(H1556,J1556)=0,"",AVERAGE(H1556,J1556))</x:f>
      </x:c>
      <x:c r="M1556" s="46" t="str">
        <x:f>IF(OR(K1556="",L1556=""),"",L1556-K1556)</x:f>
      </x:c>
      <x:c r="N1556" s="46" t="str">
        <x:f>IF(OR(K1556="",A1555&lt;&gt;A1556,K1555=""),"",K1556-K1555)</x:f>
      </x:c>
      <x:c r="O1556" s="42" t="str">
        <x:v>Sem informação</x:v>
      </x:c>
      <x:c r="P1556" s="42"/>
      <x:c r="Q1556" s="42" t="str"/>
      <x:c r="R1556" s="42" t="str"/>
      <x:c r="S1556" s="42" t="str"/>
      <x:c r="T1556" s="42" t="str"/>
    </x:row>
    <x:row r="1557">
      <x:c r="A1557" s="42" t="str">
        <x:v>Riquelme Fillipi</x:v>
      </x:c>
      <x:c r="B1557" s="42" t="n">
        <x:v>2029</x:v>
      </x:c>
      <x:c r="C1557" s="42" t="str">
        <x:v>T4</x:v>
      </x:c>
      <x:c r="D1557" s="44" t="n">
        <x:v>47483</x:v>
      </x:c>
      <x:c r="E1557" s="42" t="str">
        <x:v>Ponta-esquerda</x:v>
      </x:c>
      <x:c r="F1557" s="42" t="str">
        <x:v>SE Palmeiras Sub-20</x:v>
      </x:c>
      <x:c r="G1557" s="46"/>
      <x:c r="H1557" s="46"/>
      <x:c r="I1557" s="46"/>
      <x:c r="J1557" s="46"/>
      <x:c r="K1557" s="46" t="str">
        <x:f>IF(COUNT(G1557,I1557)=0,"",AVERAGE(G1557,I1557))</x:f>
      </x:c>
      <x:c r="L1557" s="46" t="str">
        <x:f>IF(COUNT(H1557,J1557)=0,"",AVERAGE(H1557,J1557))</x:f>
      </x:c>
      <x:c r="M1557" s="46" t="str">
        <x:f>IF(OR(K1557="",L1557=""),"",L1557-K1557)</x:f>
      </x:c>
      <x:c r="N1557" s="46" t="str">
        <x:f>IF(OR(K1557="",A1556&lt;&gt;A1557,K1556=""),"",K1557-K1556)</x:f>
      </x:c>
      <x:c r="O1557" s="42" t="str">
        <x:v>Sem informação</x:v>
      </x:c>
      <x:c r="P1557" s="42"/>
      <x:c r="Q1557" s="42" t="str"/>
      <x:c r="R1557" s="42" t="str"/>
      <x:c r="S1557" s="42" t="str"/>
      <x:c r="T1557" s="42" t="str"/>
    </x:row>
    <x:row r="1558">
      <x:c r="A1558" s="42" t="str">
        <x:v>Riquelme Fillipi</x:v>
      </x:c>
      <x:c r="B1558" s="42" t="n">
        <x:v>2030</x:v>
      </x:c>
      <x:c r="C1558" s="42" t="str">
        <x:v>T1</x:v>
      </x:c>
      <x:c r="D1558" s="44" t="n">
        <x:v>47573</x:v>
      </x:c>
      <x:c r="E1558" s="42" t="str">
        <x:v>Ponta-esquerda</x:v>
      </x:c>
      <x:c r="F1558" s="42" t="str">
        <x:v>SE Palmeiras Sub-20</x:v>
      </x:c>
      <x:c r="G1558" s="46"/>
      <x:c r="H1558" s="46"/>
      <x:c r="I1558" s="46"/>
      <x:c r="J1558" s="46"/>
      <x:c r="K1558" s="46" t="str">
        <x:f>IF(COUNT(G1558,I1558)=0,"",AVERAGE(G1558,I1558))</x:f>
      </x:c>
      <x:c r="L1558" s="46" t="str">
        <x:f>IF(COUNT(H1558,J1558)=0,"",AVERAGE(H1558,J1558))</x:f>
      </x:c>
      <x:c r="M1558" s="46" t="str">
        <x:f>IF(OR(K1558="",L1558=""),"",L1558-K1558)</x:f>
      </x:c>
      <x:c r="N1558" s="46" t="str">
        <x:f>IF(OR(K1558="",A1557&lt;&gt;A1558,K1557=""),"",K1558-K1557)</x:f>
      </x:c>
      <x:c r="O1558" s="42" t="str">
        <x:v>Sem informação</x:v>
      </x:c>
      <x:c r="P1558" s="42"/>
      <x:c r="Q1558" s="42" t="str"/>
      <x:c r="R1558" s="42" t="str"/>
      <x:c r="S1558" s="42" t="str"/>
      <x:c r="T1558" s="42" t="str"/>
    </x:row>
    <x:row r="1559">
      <x:c r="A1559" s="42" t="str">
        <x:v>Riquelme Fillipi</x:v>
      </x:c>
      <x:c r="B1559" s="42" t="n">
        <x:v>2030</x:v>
      </x:c>
      <x:c r="C1559" s="42" t="str">
        <x:v>T2</x:v>
      </x:c>
      <x:c r="D1559" s="44" t="n">
        <x:v>47664</x:v>
      </x:c>
      <x:c r="E1559" s="42" t="str">
        <x:v>Ponta-esquerda</x:v>
      </x:c>
      <x:c r="F1559" s="42" t="str">
        <x:v>SE Palmeiras Sub-20</x:v>
      </x:c>
      <x:c r="G1559" s="46"/>
      <x:c r="H1559" s="46"/>
      <x:c r="I1559" s="46"/>
      <x:c r="J1559" s="46"/>
      <x:c r="K1559" s="46" t="str">
        <x:f>IF(COUNT(G1559,I1559)=0,"",AVERAGE(G1559,I1559))</x:f>
      </x:c>
      <x:c r="L1559" s="46" t="str">
        <x:f>IF(COUNT(H1559,J1559)=0,"",AVERAGE(H1559,J1559))</x:f>
      </x:c>
      <x:c r="M1559" s="46" t="str">
        <x:f>IF(OR(K1559="",L1559=""),"",L1559-K1559)</x:f>
      </x:c>
      <x:c r="N1559" s="46" t="str">
        <x:f>IF(OR(K1559="",A1558&lt;&gt;A1559,K1558=""),"",K1559-K1558)</x:f>
      </x:c>
      <x:c r="O1559" s="42" t="str">
        <x:v>Sem informação</x:v>
      </x:c>
      <x:c r="P1559" s="42"/>
      <x:c r="Q1559" s="42" t="str"/>
      <x:c r="R1559" s="42" t="str"/>
      <x:c r="S1559" s="42" t="str"/>
      <x:c r="T1559" s="42" t="str"/>
    </x:row>
    <x:row r="1560">
      <x:c r="A1560" s="42" t="str">
        <x:v>Riquelme Fillipi</x:v>
      </x:c>
      <x:c r="B1560" s="42" t="n">
        <x:v>2030</x:v>
      </x:c>
      <x:c r="C1560" s="42" t="str">
        <x:v>T3</x:v>
      </x:c>
      <x:c r="D1560" s="44" t="n">
        <x:v>47756</x:v>
      </x:c>
      <x:c r="E1560" s="42" t="str">
        <x:v>Ponta-esquerda</x:v>
      </x:c>
      <x:c r="F1560" s="42" t="str">
        <x:v>SE Palmeiras Sub-20</x:v>
      </x:c>
      <x:c r="G1560" s="46"/>
      <x:c r="H1560" s="46"/>
      <x:c r="I1560" s="46"/>
      <x:c r="J1560" s="46"/>
      <x:c r="K1560" s="46" t="str">
        <x:f>IF(COUNT(G1560,I1560)=0,"",AVERAGE(G1560,I1560))</x:f>
      </x:c>
      <x:c r="L1560" s="46" t="str">
        <x:f>IF(COUNT(H1560,J1560)=0,"",AVERAGE(H1560,J1560))</x:f>
      </x:c>
      <x:c r="M1560" s="46" t="str">
        <x:f>IF(OR(K1560="",L1560=""),"",L1560-K1560)</x:f>
      </x:c>
      <x:c r="N1560" s="46" t="str">
        <x:f>IF(OR(K1560="",A1559&lt;&gt;A1560,K1559=""),"",K1560-K1559)</x:f>
      </x:c>
      <x:c r="O1560" s="42" t="str">
        <x:v>Sem informação</x:v>
      </x:c>
      <x:c r="P1560" s="42"/>
      <x:c r="Q1560" s="42" t="str"/>
      <x:c r="R1560" s="42" t="str"/>
      <x:c r="S1560" s="42" t="str"/>
      <x:c r="T1560" s="42" t="str"/>
    </x:row>
    <x:row r="1561">
      <x:c r="A1561" s="42" t="str">
        <x:v>Riquelme Fillipi</x:v>
      </x:c>
      <x:c r="B1561" s="42" t="n">
        <x:v>2030</x:v>
      </x:c>
      <x:c r="C1561" s="42" t="str">
        <x:v>T4</x:v>
      </x:c>
      <x:c r="D1561" s="44" t="n">
        <x:v>47848</x:v>
      </x:c>
      <x:c r="E1561" s="42" t="str">
        <x:v>Ponta-esquerda</x:v>
      </x:c>
      <x:c r="F1561" s="42" t="str">
        <x:v>SE Palmeiras Sub-20</x:v>
      </x:c>
      <x:c r="G1561" s="46"/>
      <x:c r="H1561" s="46"/>
      <x:c r="I1561" s="46"/>
      <x:c r="J1561" s="46"/>
      <x:c r="K1561" s="46" t="str">
        <x:f>IF(COUNT(G1561,I1561)=0,"",AVERAGE(G1561,I1561))</x:f>
      </x:c>
      <x:c r="L1561" s="46" t="str">
        <x:f>IF(COUNT(H1561,J1561)=0,"",AVERAGE(H1561,J1561))</x:f>
      </x:c>
      <x:c r="M1561" s="46" t="str">
        <x:f>IF(OR(K1561="",L1561=""),"",L1561-K1561)</x:f>
      </x:c>
      <x:c r="N1561" s="46" t="str">
        <x:f>IF(OR(K1561="",A1560&lt;&gt;A1561,K1560=""),"",K1561-K1560)</x:f>
      </x:c>
      <x:c r="O1561" s="42" t="str">
        <x:v>Sem informação</x:v>
      </x:c>
      <x:c r="P1561" s="42"/>
      <x:c r="Q1561" s="42" t="str"/>
      <x:c r="R1561" s="42" t="str"/>
      <x:c r="S1561" s="42" t="str"/>
      <x:c r="T1561" s="42" t="str"/>
    </x:row>
    <x:row r="1562">
      <x:c r="A1562" s="42" t="str">
        <x:v>Pedrinho</x:v>
      </x:c>
      <x:c r="B1562" s="42" t="n">
        <x:v>2026</x:v>
      </x:c>
      <x:c r="C1562" s="42" t="str">
        <x:v>T1</x:v>
      </x:c>
      <x:c r="D1562" s="44" t="n">
        <x:v>46112</x:v>
      </x:c>
      <x:c r="E1562" s="42" t="str">
        <x:v>Ponta-esquerda</x:v>
      </x:c>
      <x:c r="F1562" s="42" t="str">
        <x:v>Zenit São Petersburgo</x:v>
      </x:c>
      <x:c r="G1562" s="46"/>
      <x:c r="H1562" s="46"/>
      <x:c r="I1562" s="46"/>
      <x:c r="J1562" s="46"/>
      <x:c r="K1562" s="46" t="str">
        <x:f>IF(COUNT(G1562,I1562)=0,"",AVERAGE(G1562,I1562))</x:f>
      </x:c>
      <x:c r="L1562" s="46" t="str">
        <x:f>IF(COUNT(H1562,J1562)=0,"",AVERAGE(H1562,J1562))</x:f>
      </x:c>
      <x:c r="M1562" s="46" t="str">
        <x:f>IF(OR(K1562="",L1562=""),"",L1562-K1562)</x:f>
      </x:c>
      <x:c r="N1562" s="46" t="str">
        <x:f>IF(OR(K1562="",A1561&lt;&gt;A1562,K1561=""),"",K1562-K1561)</x:f>
      </x:c>
      <x:c r="O1562" s="42" t="str">
        <x:v>Sem informação</x:v>
      </x:c>
      <x:c r="P1562" s="42"/>
      <x:c r="Q1562" s="42" t="str"/>
      <x:c r="R1562" s="42" t="str"/>
      <x:c r="S1562" s="42" t="str"/>
      <x:c r="T1562" s="42" t="str"/>
    </x:row>
    <x:row r="1563">
      <x:c r="A1563" s="42" t="str">
        <x:v>Pedrinho</x:v>
      </x:c>
      <x:c r="B1563" s="42" t="n">
        <x:v>2026</x:v>
      </x:c>
      <x:c r="C1563" s="42" t="str">
        <x:v>T2</x:v>
      </x:c>
      <x:c r="D1563" s="44" t="n">
        <x:v>46203</x:v>
      </x:c>
      <x:c r="E1563" s="42" t="str">
        <x:v>Ponta-esquerda</x:v>
      </x:c>
      <x:c r="F1563" s="42" t="str">
        <x:v>Zenit São Petersburgo</x:v>
      </x:c>
      <x:c r="G1563" s="46"/>
      <x:c r="H1563" s="46"/>
      <x:c r="I1563" s="46"/>
      <x:c r="J1563" s="46"/>
      <x:c r="K1563" s="46" t="str">
        <x:f>IF(COUNT(G1563,I1563)=0,"",AVERAGE(G1563,I1563))</x:f>
      </x:c>
      <x:c r="L1563" s="46" t="str">
        <x:f>IF(COUNT(H1563,J1563)=0,"",AVERAGE(H1563,J1563))</x:f>
      </x:c>
      <x:c r="M1563" s="46" t="str">
        <x:f>IF(OR(K1563="",L1563=""),"",L1563-K1563)</x:f>
      </x:c>
      <x:c r="N1563" s="46" t="str">
        <x:f>IF(OR(K1563="",A1562&lt;&gt;A1563,K1562=""),"",K1563-K1562)</x:f>
      </x:c>
      <x:c r="O1563" s="42" t="str">
        <x:v>Sem informação</x:v>
      </x:c>
      <x:c r="P1563" s="42"/>
      <x:c r="Q1563" s="42" t="str"/>
      <x:c r="R1563" s="42" t="str"/>
      <x:c r="S1563" s="42" t="str"/>
      <x:c r="T1563" s="42" t="str"/>
    </x:row>
    <x:row r="1564">
      <x:c r="A1564" s="42" t="str">
        <x:v>Pedrinho</x:v>
      </x:c>
      <x:c r="B1564" s="42" t="n">
        <x:v>2026</x:v>
      </x:c>
      <x:c r="C1564" s="42" t="str">
        <x:v>T3</x:v>
      </x:c>
      <x:c r="D1564" s="44" t="n">
        <x:v>46295</x:v>
      </x:c>
      <x:c r="E1564" s="42" t="str">
        <x:v>Ponta-esquerda</x:v>
      </x:c>
      <x:c r="F1564" s="42" t="str">
        <x:v>Zenit São Petersburgo</x:v>
      </x:c>
      <x:c r="G1564" s="46"/>
      <x:c r="H1564" s="46"/>
      <x:c r="I1564" s="46"/>
      <x:c r="J1564" s="46"/>
      <x:c r="K1564" s="46" t="str">
        <x:f>IF(COUNT(G1564,I1564)=0,"",AVERAGE(G1564,I1564))</x:f>
      </x:c>
      <x:c r="L1564" s="46" t="str">
        <x:f>IF(COUNT(H1564,J1564)=0,"",AVERAGE(H1564,J1564))</x:f>
      </x:c>
      <x:c r="M1564" s="46" t="str">
        <x:f>IF(OR(K1564="",L1564=""),"",L1564-K1564)</x:f>
      </x:c>
      <x:c r="N1564" s="46" t="str">
        <x:f>IF(OR(K1564="",A1563&lt;&gt;A1564,K1563=""),"",K1564-K1563)</x:f>
      </x:c>
      <x:c r="O1564" s="42" t="str">
        <x:v>Sem informação</x:v>
      </x:c>
      <x:c r="P1564" s="42"/>
      <x:c r="Q1564" s="42" t="str"/>
      <x:c r="R1564" s="42" t="str"/>
      <x:c r="S1564" s="42" t="str"/>
      <x:c r="T1564" s="42" t="str"/>
    </x:row>
    <x:row r="1565">
      <x:c r="A1565" s="42" t="str">
        <x:v>Pedrinho</x:v>
      </x:c>
      <x:c r="B1565" s="42" t="n">
        <x:v>2026</x:v>
      </x:c>
      <x:c r="C1565" s="42" t="str">
        <x:v>T4</x:v>
      </x:c>
      <x:c r="D1565" s="44" t="n">
        <x:v>46387</x:v>
      </x:c>
      <x:c r="E1565" s="42" t="str">
        <x:v>Ponta-esquerda</x:v>
      </x:c>
      <x:c r="F1565" s="42" t="str">
        <x:v>Zenit São Petersburgo</x:v>
      </x:c>
      <x:c r="G1565" s="46"/>
      <x:c r="H1565" s="46"/>
      <x:c r="I1565" s="46"/>
      <x:c r="J1565" s="46"/>
      <x:c r="K1565" s="46" t="str">
        <x:f>IF(COUNT(G1565,I1565)=0,"",AVERAGE(G1565,I1565))</x:f>
      </x:c>
      <x:c r="L1565" s="46" t="str">
        <x:f>IF(COUNT(H1565,J1565)=0,"",AVERAGE(H1565,J1565))</x:f>
      </x:c>
      <x:c r="M1565" s="46" t="str">
        <x:f>IF(OR(K1565="",L1565=""),"",L1565-K1565)</x:f>
      </x:c>
      <x:c r="N1565" s="46" t="str">
        <x:f>IF(OR(K1565="",A1564&lt;&gt;A1565,K1564=""),"",K1565-K1564)</x:f>
      </x:c>
      <x:c r="O1565" s="42" t="str">
        <x:v>Sem informação</x:v>
      </x:c>
      <x:c r="P1565" s="42"/>
      <x:c r="Q1565" s="42" t="str"/>
      <x:c r="R1565" s="42" t="str"/>
      <x:c r="S1565" s="42" t="str"/>
      <x:c r="T1565" s="42" t="str"/>
    </x:row>
    <x:row r="1566">
      <x:c r="A1566" s="42" t="str">
        <x:v>Pedrinho</x:v>
      </x:c>
      <x:c r="B1566" s="42" t="n">
        <x:v>2027</x:v>
      </x:c>
      <x:c r="C1566" s="42" t="str">
        <x:v>T1</x:v>
      </x:c>
      <x:c r="D1566" s="44" t="n">
        <x:v>46477</x:v>
      </x:c>
      <x:c r="E1566" s="42" t="str">
        <x:v>Ponta-esquerda</x:v>
      </x:c>
      <x:c r="F1566" s="42" t="str">
        <x:v>Zenit São Petersburgo</x:v>
      </x:c>
      <x:c r="G1566" s="46"/>
      <x:c r="H1566" s="46"/>
      <x:c r="I1566" s="46"/>
      <x:c r="J1566" s="46"/>
      <x:c r="K1566" s="46" t="str">
        <x:f>IF(COUNT(G1566,I1566)=0,"",AVERAGE(G1566,I1566))</x:f>
      </x:c>
      <x:c r="L1566" s="46" t="str">
        <x:f>IF(COUNT(H1566,J1566)=0,"",AVERAGE(H1566,J1566))</x:f>
      </x:c>
      <x:c r="M1566" s="46" t="str">
        <x:f>IF(OR(K1566="",L1566=""),"",L1566-K1566)</x:f>
      </x:c>
      <x:c r="N1566" s="46" t="str">
        <x:f>IF(OR(K1566="",A1565&lt;&gt;A1566,K1565=""),"",K1566-K1565)</x:f>
      </x:c>
      <x:c r="O1566" s="42" t="str">
        <x:v>Sem informação</x:v>
      </x:c>
      <x:c r="P1566" s="42"/>
      <x:c r="Q1566" s="42" t="str"/>
      <x:c r="R1566" s="42" t="str"/>
      <x:c r="S1566" s="42" t="str"/>
      <x:c r="T1566" s="42" t="str"/>
    </x:row>
    <x:row r="1567">
      <x:c r="A1567" s="42" t="str">
        <x:v>Pedrinho</x:v>
      </x:c>
      <x:c r="B1567" s="42" t="n">
        <x:v>2027</x:v>
      </x:c>
      <x:c r="C1567" s="42" t="str">
        <x:v>T2</x:v>
      </x:c>
      <x:c r="D1567" s="44" t="n">
        <x:v>46568</x:v>
      </x:c>
      <x:c r="E1567" s="42" t="str">
        <x:v>Ponta-esquerda</x:v>
      </x:c>
      <x:c r="F1567" s="42" t="str">
        <x:v>Zenit São Petersburgo</x:v>
      </x:c>
      <x:c r="G1567" s="46"/>
      <x:c r="H1567" s="46"/>
      <x:c r="I1567" s="46"/>
      <x:c r="J1567" s="46"/>
      <x:c r="K1567" s="46" t="str">
        <x:f>IF(COUNT(G1567,I1567)=0,"",AVERAGE(G1567,I1567))</x:f>
      </x:c>
      <x:c r="L1567" s="46" t="str">
        <x:f>IF(COUNT(H1567,J1567)=0,"",AVERAGE(H1567,J1567))</x:f>
      </x:c>
      <x:c r="M1567" s="46" t="str">
        <x:f>IF(OR(K1567="",L1567=""),"",L1567-K1567)</x:f>
      </x:c>
      <x:c r="N1567" s="46" t="str">
        <x:f>IF(OR(K1567="",A1566&lt;&gt;A1567,K1566=""),"",K1567-K1566)</x:f>
      </x:c>
      <x:c r="O1567" s="42" t="str">
        <x:v>Sem informação</x:v>
      </x:c>
      <x:c r="P1567" s="42"/>
      <x:c r="Q1567" s="42" t="str"/>
      <x:c r="R1567" s="42" t="str"/>
      <x:c r="S1567" s="42" t="str"/>
      <x:c r="T1567" s="42" t="str"/>
    </x:row>
    <x:row r="1568">
      <x:c r="A1568" s="42" t="str">
        <x:v>Pedrinho</x:v>
      </x:c>
      <x:c r="B1568" s="42" t="n">
        <x:v>2027</x:v>
      </x:c>
      <x:c r="C1568" s="42" t="str">
        <x:v>T3</x:v>
      </x:c>
      <x:c r="D1568" s="44" t="n">
        <x:v>46660</x:v>
      </x:c>
      <x:c r="E1568" s="42" t="str">
        <x:v>Ponta-esquerda</x:v>
      </x:c>
      <x:c r="F1568" s="42" t="str">
        <x:v>Zenit São Petersburgo</x:v>
      </x:c>
      <x:c r="G1568" s="46"/>
      <x:c r="H1568" s="46"/>
      <x:c r="I1568" s="46"/>
      <x:c r="J1568" s="46"/>
      <x:c r="K1568" s="46" t="str">
        <x:f>IF(COUNT(G1568,I1568)=0,"",AVERAGE(G1568,I1568))</x:f>
      </x:c>
      <x:c r="L1568" s="46" t="str">
        <x:f>IF(COUNT(H1568,J1568)=0,"",AVERAGE(H1568,J1568))</x:f>
      </x:c>
      <x:c r="M1568" s="46" t="str">
        <x:f>IF(OR(K1568="",L1568=""),"",L1568-K1568)</x:f>
      </x:c>
      <x:c r="N1568" s="46" t="str">
        <x:f>IF(OR(K1568="",A1567&lt;&gt;A1568,K1567=""),"",K1568-K1567)</x:f>
      </x:c>
      <x:c r="O1568" s="42" t="str">
        <x:v>Sem informação</x:v>
      </x:c>
      <x:c r="P1568" s="42"/>
      <x:c r="Q1568" s="42" t="str"/>
      <x:c r="R1568" s="42" t="str"/>
      <x:c r="S1568" s="42" t="str"/>
      <x:c r="T1568" s="42" t="str"/>
    </x:row>
    <x:row r="1569">
      <x:c r="A1569" s="42" t="str">
        <x:v>Pedrinho</x:v>
      </x:c>
      <x:c r="B1569" s="42" t="n">
        <x:v>2027</x:v>
      </x:c>
      <x:c r="C1569" s="42" t="str">
        <x:v>T4</x:v>
      </x:c>
      <x:c r="D1569" s="44" t="n">
        <x:v>46752</x:v>
      </x:c>
      <x:c r="E1569" s="42" t="str">
        <x:v>Ponta-esquerda</x:v>
      </x:c>
      <x:c r="F1569" s="42" t="str">
        <x:v>Zenit São Petersburgo</x:v>
      </x:c>
      <x:c r="G1569" s="46"/>
      <x:c r="H1569" s="46"/>
      <x:c r="I1569" s="46"/>
      <x:c r="J1569" s="46"/>
      <x:c r="K1569" s="46" t="str">
        <x:f>IF(COUNT(G1569,I1569)=0,"",AVERAGE(G1569,I1569))</x:f>
      </x:c>
      <x:c r="L1569" s="46" t="str">
        <x:f>IF(COUNT(H1569,J1569)=0,"",AVERAGE(H1569,J1569))</x:f>
      </x:c>
      <x:c r="M1569" s="46" t="str">
        <x:f>IF(OR(K1569="",L1569=""),"",L1569-K1569)</x:f>
      </x:c>
      <x:c r="N1569" s="46" t="str">
        <x:f>IF(OR(K1569="",A1568&lt;&gt;A1569,K1568=""),"",K1569-K1568)</x:f>
      </x:c>
      <x:c r="O1569" s="42" t="str">
        <x:v>Sem informação</x:v>
      </x:c>
      <x:c r="P1569" s="42"/>
      <x:c r="Q1569" s="42" t="str"/>
      <x:c r="R1569" s="42" t="str"/>
      <x:c r="S1569" s="42" t="str"/>
      <x:c r="T1569" s="42" t="str"/>
    </x:row>
    <x:row r="1570">
      <x:c r="A1570" s="42" t="str">
        <x:v>Pedrinho</x:v>
      </x:c>
      <x:c r="B1570" s="42" t="n">
        <x:v>2028</x:v>
      </x:c>
      <x:c r="C1570" s="42" t="str">
        <x:v>T1</x:v>
      </x:c>
      <x:c r="D1570" s="44" t="n">
        <x:v>46843</x:v>
      </x:c>
      <x:c r="E1570" s="42" t="str">
        <x:v>Ponta-esquerda</x:v>
      </x:c>
      <x:c r="F1570" s="42" t="str">
        <x:v>Zenit São Petersburgo</x:v>
      </x:c>
      <x:c r="G1570" s="46"/>
      <x:c r="H1570" s="46"/>
      <x:c r="I1570" s="46"/>
      <x:c r="J1570" s="46"/>
      <x:c r="K1570" s="46" t="str">
        <x:f>IF(COUNT(G1570,I1570)=0,"",AVERAGE(G1570,I1570))</x:f>
      </x:c>
      <x:c r="L1570" s="46" t="str">
        <x:f>IF(COUNT(H1570,J1570)=0,"",AVERAGE(H1570,J1570))</x:f>
      </x:c>
      <x:c r="M1570" s="46" t="str">
        <x:f>IF(OR(K1570="",L1570=""),"",L1570-K1570)</x:f>
      </x:c>
      <x:c r="N1570" s="46" t="str">
        <x:f>IF(OR(K1570="",A1569&lt;&gt;A1570,K1569=""),"",K1570-K1569)</x:f>
      </x:c>
      <x:c r="O1570" s="42" t="str">
        <x:v>Sem informação</x:v>
      </x:c>
      <x:c r="P1570" s="42"/>
      <x:c r="Q1570" s="42" t="str"/>
      <x:c r="R1570" s="42" t="str"/>
      <x:c r="S1570" s="42" t="str"/>
      <x:c r="T1570" s="42" t="str"/>
    </x:row>
    <x:row r="1571">
      <x:c r="A1571" s="42" t="str">
        <x:v>Pedrinho</x:v>
      </x:c>
      <x:c r="B1571" s="42" t="n">
        <x:v>2028</x:v>
      </x:c>
      <x:c r="C1571" s="42" t="str">
        <x:v>T2</x:v>
      </x:c>
      <x:c r="D1571" s="44" t="n">
        <x:v>46934</x:v>
      </x:c>
      <x:c r="E1571" s="42" t="str">
        <x:v>Ponta-esquerda</x:v>
      </x:c>
      <x:c r="F1571" s="42" t="str">
        <x:v>Zenit São Petersburgo</x:v>
      </x:c>
      <x:c r="G1571" s="46"/>
      <x:c r="H1571" s="46"/>
      <x:c r="I1571" s="46"/>
      <x:c r="J1571" s="46"/>
      <x:c r="K1571" s="46" t="str">
        <x:f>IF(COUNT(G1571,I1571)=0,"",AVERAGE(G1571,I1571))</x:f>
      </x:c>
      <x:c r="L1571" s="46" t="str">
        <x:f>IF(COUNT(H1571,J1571)=0,"",AVERAGE(H1571,J1571))</x:f>
      </x:c>
      <x:c r="M1571" s="46" t="str">
        <x:f>IF(OR(K1571="",L1571=""),"",L1571-K1571)</x:f>
      </x:c>
      <x:c r="N1571" s="46" t="str">
        <x:f>IF(OR(K1571="",A1570&lt;&gt;A1571,K1570=""),"",K1571-K1570)</x:f>
      </x:c>
      <x:c r="O1571" s="42" t="str">
        <x:v>Sem informação</x:v>
      </x:c>
      <x:c r="P1571" s="42"/>
      <x:c r="Q1571" s="42" t="str"/>
      <x:c r="R1571" s="42" t="str"/>
      <x:c r="S1571" s="42" t="str"/>
      <x:c r="T1571" s="42" t="str"/>
    </x:row>
    <x:row r="1572">
      <x:c r="A1572" s="42" t="str">
        <x:v>Pedrinho</x:v>
      </x:c>
      <x:c r="B1572" s="42" t="n">
        <x:v>2028</x:v>
      </x:c>
      <x:c r="C1572" s="42" t="str">
        <x:v>T3</x:v>
      </x:c>
      <x:c r="D1572" s="44" t="n">
        <x:v>47026</x:v>
      </x:c>
      <x:c r="E1572" s="42" t="str">
        <x:v>Ponta-esquerda</x:v>
      </x:c>
      <x:c r="F1572" s="42" t="str">
        <x:v>Zenit São Petersburgo</x:v>
      </x:c>
      <x:c r="G1572" s="46"/>
      <x:c r="H1572" s="46"/>
      <x:c r="I1572" s="46"/>
      <x:c r="J1572" s="46"/>
      <x:c r="K1572" s="46" t="str">
        <x:f>IF(COUNT(G1572,I1572)=0,"",AVERAGE(G1572,I1572))</x:f>
      </x:c>
      <x:c r="L1572" s="46" t="str">
        <x:f>IF(COUNT(H1572,J1572)=0,"",AVERAGE(H1572,J1572))</x:f>
      </x:c>
      <x:c r="M1572" s="46" t="str">
        <x:f>IF(OR(K1572="",L1572=""),"",L1572-K1572)</x:f>
      </x:c>
      <x:c r="N1572" s="46" t="str">
        <x:f>IF(OR(K1572="",A1571&lt;&gt;A1572,K1571=""),"",K1572-K1571)</x:f>
      </x:c>
      <x:c r="O1572" s="42" t="str">
        <x:v>Sem informação</x:v>
      </x:c>
      <x:c r="P1572" s="42"/>
      <x:c r="Q1572" s="42" t="str"/>
      <x:c r="R1572" s="42" t="str"/>
      <x:c r="S1572" s="42" t="str"/>
      <x:c r="T1572" s="42" t="str"/>
    </x:row>
    <x:row r="1573">
      <x:c r="A1573" s="42" t="str">
        <x:v>Pedrinho</x:v>
      </x:c>
      <x:c r="B1573" s="42" t="n">
        <x:v>2028</x:v>
      </x:c>
      <x:c r="C1573" s="42" t="str">
        <x:v>T4</x:v>
      </x:c>
      <x:c r="D1573" s="44" t="n">
        <x:v>47118</x:v>
      </x:c>
      <x:c r="E1573" s="42" t="str">
        <x:v>Ponta-esquerda</x:v>
      </x:c>
      <x:c r="F1573" s="42" t="str">
        <x:v>Zenit São Petersburgo</x:v>
      </x:c>
      <x:c r="G1573" s="46"/>
      <x:c r="H1573" s="46"/>
      <x:c r="I1573" s="46"/>
      <x:c r="J1573" s="46"/>
      <x:c r="K1573" s="46" t="str">
        <x:f>IF(COUNT(G1573,I1573)=0,"",AVERAGE(G1573,I1573))</x:f>
      </x:c>
      <x:c r="L1573" s="46" t="str">
        <x:f>IF(COUNT(H1573,J1573)=0,"",AVERAGE(H1573,J1573))</x:f>
      </x:c>
      <x:c r="M1573" s="46" t="str">
        <x:f>IF(OR(K1573="",L1573=""),"",L1573-K1573)</x:f>
      </x:c>
      <x:c r="N1573" s="46" t="str">
        <x:f>IF(OR(K1573="",A1572&lt;&gt;A1573,K1572=""),"",K1573-K1572)</x:f>
      </x:c>
      <x:c r="O1573" s="42" t="str">
        <x:v>Sem informação</x:v>
      </x:c>
      <x:c r="P1573" s="42"/>
      <x:c r="Q1573" s="42" t="str"/>
      <x:c r="R1573" s="42" t="str"/>
      <x:c r="S1573" s="42" t="str"/>
      <x:c r="T1573" s="42" t="str"/>
    </x:row>
    <x:row r="1574">
      <x:c r="A1574" s="42" t="str">
        <x:v>Pedrinho</x:v>
      </x:c>
      <x:c r="B1574" s="42" t="n">
        <x:v>2029</x:v>
      </x:c>
      <x:c r="C1574" s="42" t="str">
        <x:v>T1</x:v>
      </x:c>
      <x:c r="D1574" s="44" t="n">
        <x:v>47208</x:v>
      </x:c>
      <x:c r="E1574" s="42" t="str">
        <x:v>Ponta-esquerda</x:v>
      </x:c>
      <x:c r="F1574" s="42" t="str">
        <x:v>Zenit São Petersburgo</x:v>
      </x:c>
      <x:c r="G1574" s="46"/>
      <x:c r="H1574" s="46"/>
      <x:c r="I1574" s="46"/>
      <x:c r="J1574" s="46"/>
      <x:c r="K1574" s="46" t="str">
        <x:f>IF(COUNT(G1574,I1574)=0,"",AVERAGE(G1574,I1574))</x:f>
      </x:c>
      <x:c r="L1574" s="46" t="str">
        <x:f>IF(COUNT(H1574,J1574)=0,"",AVERAGE(H1574,J1574))</x:f>
      </x:c>
      <x:c r="M1574" s="46" t="str">
        <x:f>IF(OR(K1574="",L1574=""),"",L1574-K1574)</x:f>
      </x:c>
      <x:c r="N1574" s="46" t="str">
        <x:f>IF(OR(K1574="",A1573&lt;&gt;A1574,K1573=""),"",K1574-K1573)</x:f>
      </x:c>
      <x:c r="O1574" s="42" t="str">
        <x:v>Sem informação</x:v>
      </x:c>
      <x:c r="P1574" s="42"/>
      <x:c r="Q1574" s="42" t="str"/>
      <x:c r="R1574" s="42" t="str"/>
      <x:c r="S1574" s="42" t="str"/>
      <x:c r="T1574" s="42" t="str"/>
    </x:row>
    <x:row r="1575">
      <x:c r="A1575" s="42" t="str">
        <x:v>Pedrinho</x:v>
      </x:c>
      <x:c r="B1575" s="42" t="n">
        <x:v>2029</x:v>
      </x:c>
      <x:c r="C1575" s="42" t="str">
        <x:v>T2</x:v>
      </x:c>
      <x:c r="D1575" s="44" t="n">
        <x:v>47299</x:v>
      </x:c>
      <x:c r="E1575" s="42" t="str">
        <x:v>Ponta-esquerda</x:v>
      </x:c>
      <x:c r="F1575" s="42" t="str">
        <x:v>Zenit São Petersburgo</x:v>
      </x:c>
      <x:c r="G1575" s="46"/>
      <x:c r="H1575" s="46"/>
      <x:c r="I1575" s="46"/>
      <x:c r="J1575" s="46"/>
      <x:c r="K1575" s="46" t="str">
        <x:f>IF(COUNT(G1575,I1575)=0,"",AVERAGE(G1575,I1575))</x:f>
      </x:c>
      <x:c r="L1575" s="46" t="str">
        <x:f>IF(COUNT(H1575,J1575)=0,"",AVERAGE(H1575,J1575))</x:f>
      </x:c>
      <x:c r="M1575" s="46" t="str">
        <x:f>IF(OR(K1575="",L1575=""),"",L1575-K1575)</x:f>
      </x:c>
      <x:c r="N1575" s="46" t="str">
        <x:f>IF(OR(K1575="",A1574&lt;&gt;A1575,K1574=""),"",K1575-K1574)</x:f>
      </x:c>
      <x:c r="O1575" s="42" t="str">
        <x:v>Sem informação</x:v>
      </x:c>
      <x:c r="P1575" s="42"/>
      <x:c r="Q1575" s="42" t="str"/>
      <x:c r="R1575" s="42" t="str"/>
      <x:c r="S1575" s="42" t="str"/>
      <x:c r="T1575" s="42" t="str"/>
    </x:row>
    <x:row r="1576">
      <x:c r="A1576" s="42" t="str">
        <x:v>Pedrinho</x:v>
      </x:c>
      <x:c r="B1576" s="42" t="n">
        <x:v>2029</x:v>
      </x:c>
      <x:c r="C1576" s="42" t="str">
        <x:v>T3</x:v>
      </x:c>
      <x:c r="D1576" s="44" t="n">
        <x:v>47391</x:v>
      </x:c>
      <x:c r="E1576" s="42" t="str">
        <x:v>Ponta-esquerda</x:v>
      </x:c>
      <x:c r="F1576" s="42" t="str">
        <x:v>Zenit São Petersburgo</x:v>
      </x:c>
      <x:c r="G1576" s="46"/>
      <x:c r="H1576" s="46"/>
      <x:c r="I1576" s="46"/>
      <x:c r="J1576" s="46"/>
      <x:c r="K1576" s="46" t="str">
        <x:f>IF(COUNT(G1576,I1576)=0,"",AVERAGE(G1576,I1576))</x:f>
      </x:c>
      <x:c r="L1576" s="46" t="str">
        <x:f>IF(COUNT(H1576,J1576)=0,"",AVERAGE(H1576,J1576))</x:f>
      </x:c>
      <x:c r="M1576" s="46" t="str">
        <x:f>IF(OR(K1576="",L1576=""),"",L1576-K1576)</x:f>
      </x:c>
      <x:c r="N1576" s="46" t="str">
        <x:f>IF(OR(K1576="",A1575&lt;&gt;A1576,K1575=""),"",K1576-K1575)</x:f>
      </x:c>
      <x:c r="O1576" s="42" t="str">
        <x:v>Sem informação</x:v>
      </x:c>
      <x:c r="P1576" s="42"/>
      <x:c r="Q1576" s="42" t="str"/>
      <x:c r="R1576" s="42" t="str"/>
      <x:c r="S1576" s="42" t="str"/>
      <x:c r="T1576" s="42" t="str"/>
    </x:row>
    <x:row r="1577">
      <x:c r="A1577" s="42" t="str">
        <x:v>Pedrinho</x:v>
      </x:c>
      <x:c r="B1577" s="42" t="n">
        <x:v>2029</x:v>
      </x:c>
      <x:c r="C1577" s="42" t="str">
        <x:v>T4</x:v>
      </x:c>
      <x:c r="D1577" s="44" t="n">
        <x:v>47483</x:v>
      </x:c>
      <x:c r="E1577" s="42" t="str">
        <x:v>Ponta-esquerda</x:v>
      </x:c>
      <x:c r="F1577" s="42" t="str">
        <x:v>Zenit São Petersburgo</x:v>
      </x:c>
      <x:c r="G1577" s="46"/>
      <x:c r="H1577" s="46"/>
      <x:c r="I1577" s="46"/>
      <x:c r="J1577" s="46"/>
      <x:c r="K1577" s="46" t="str">
        <x:f>IF(COUNT(G1577,I1577)=0,"",AVERAGE(G1577,I1577))</x:f>
      </x:c>
      <x:c r="L1577" s="46" t="str">
        <x:f>IF(COUNT(H1577,J1577)=0,"",AVERAGE(H1577,J1577))</x:f>
      </x:c>
      <x:c r="M1577" s="46" t="str">
        <x:f>IF(OR(K1577="",L1577=""),"",L1577-K1577)</x:f>
      </x:c>
      <x:c r="N1577" s="46" t="str">
        <x:f>IF(OR(K1577="",A1576&lt;&gt;A1577,K1576=""),"",K1577-K1576)</x:f>
      </x:c>
      <x:c r="O1577" s="42" t="str">
        <x:v>Sem informação</x:v>
      </x:c>
      <x:c r="P1577" s="42"/>
      <x:c r="Q1577" s="42" t="str"/>
      <x:c r="R1577" s="42" t="str"/>
      <x:c r="S1577" s="42" t="str"/>
      <x:c r="T1577" s="42" t="str"/>
    </x:row>
    <x:row r="1578">
      <x:c r="A1578" s="42" t="str">
        <x:v>Pedrinho</x:v>
      </x:c>
      <x:c r="B1578" s="42" t="n">
        <x:v>2030</x:v>
      </x:c>
      <x:c r="C1578" s="42" t="str">
        <x:v>T1</x:v>
      </x:c>
      <x:c r="D1578" s="44" t="n">
        <x:v>47573</x:v>
      </x:c>
      <x:c r="E1578" s="42" t="str">
        <x:v>Ponta-esquerda</x:v>
      </x:c>
      <x:c r="F1578" s="42" t="str">
        <x:v>Zenit São Petersburgo</x:v>
      </x:c>
      <x:c r="G1578" s="46"/>
      <x:c r="H1578" s="46"/>
      <x:c r="I1578" s="46"/>
      <x:c r="J1578" s="46"/>
      <x:c r="K1578" s="46" t="str">
        <x:f>IF(COUNT(G1578,I1578)=0,"",AVERAGE(G1578,I1578))</x:f>
      </x:c>
      <x:c r="L1578" s="46" t="str">
        <x:f>IF(COUNT(H1578,J1578)=0,"",AVERAGE(H1578,J1578))</x:f>
      </x:c>
      <x:c r="M1578" s="46" t="str">
        <x:f>IF(OR(K1578="",L1578=""),"",L1578-K1578)</x:f>
      </x:c>
      <x:c r="N1578" s="46" t="str">
        <x:f>IF(OR(K1578="",A1577&lt;&gt;A1578,K1577=""),"",K1578-K1577)</x:f>
      </x:c>
      <x:c r="O1578" s="42" t="str">
        <x:v>Sem informação</x:v>
      </x:c>
      <x:c r="P1578" s="42"/>
      <x:c r="Q1578" s="42" t="str"/>
      <x:c r="R1578" s="42" t="str"/>
      <x:c r="S1578" s="42" t="str"/>
      <x:c r="T1578" s="42" t="str"/>
    </x:row>
    <x:row r="1579">
      <x:c r="A1579" s="42" t="str">
        <x:v>Pedrinho</x:v>
      </x:c>
      <x:c r="B1579" s="42" t="n">
        <x:v>2030</x:v>
      </x:c>
      <x:c r="C1579" s="42" t="str">
        <x:v>T2</x:v>
      </x:c>
      <x:c r="D1579" s="44" t="n">
        <x:v>47664</x:v>
      </x:c>
      <x:c r="E1579" s="42" t="str">
        <x:v>Ponta-esquerda</x:v>
      </x:c>
      <x:c r="F1579" s="42" t="str">
        <x:v>Zenit São Petersburgo</x:v>
      </x:c>
      <x:c r="G1579" s="46"/>
      <x:c r="H1579" s="46"/>
      <x:c r="I1579" s="46"/>
      <x:c r="J1579" s="46"/>
      <x:c r="K1579" s="46" t="str">
        <x:f>IF(COUNT(G1579,I1579)=0,"",AVERAGE(G1579,I1579))</x:f>
      </x:c>
      <x:c r="L1579" s="46" t="str">
        <x:f>IF(COUNT(H1579,J1579)=0,"",AVERAGE(H1579,J1579))</x:f>
      </x:c>
      <x:c r="M1579" s="46" t="str">
        <x:f>IF(OR(K1579="",L1579=""),"",L1579-K1579)</x:f>
      </x:c>
      <x:c r="N1579" s="46" t="str">
        <x:f>IF(OR(K1579="",A1578&lt;&gt;A1579,K1578=""),"",K1579-K1578)</x:f>
      </x:c>
      <x:c r="O1579" s="42" t="str">
        <x:v>Sem informação</x:v>
      </x:c>
      <x:c r="P1579" s="42"/>
      <x:c r="Q1579" s="42" t="str"/>
      <x:c r="R1579" s="42" t="str"/>
      <x:c r="S1579" s="42" t="str"/>
      <x:c r="T1579" s="42" t="str"/>
    </x:row>
    <x:row r="1580">
      <x:c r="A1580" s="42" t="str">
        <x:v>Pedrinho</x:v>
      </x:c>
      <x:c r="B1580" s="42" t="n">
        <x:v>2030</x:v>
      </x:c>
      <x:c r="C1580" s="42" t="str">
        <x:v>T3</x:v>
      </x:c>
      <x:c r="D1580" s="44" t="n">
        <x:v>47756</x:v>
      </x:c>
      <x:c r="E1580" s="42" t="str">
        <x:v>Ponta-esquerda</x:v>
      </x:c>
      <x:c r="F1580" s="42" t="str">
        <x:v>Zenit São Petersburgo</x:v>
      </x:c>
      <x:c r="G1580" s="46"/>
      <x:c r="H1580" s="46"/>
      <x:c r="I1580" s="46"/>
      <x:c r="J1580" s="46"/>
      <x:c r="K1580" s="46" t="str">
        <x:f>IF(COUNT(G1580,I1580)=0,"",AVERAGE(G1580,I1580))</x:f>
      </x:c>
      <x:c r="L1580" s="46" t="str">
        <x:f>IF(COUNT(H1580,J1580)=0,"",AVERAGE(H1580,J1580))</x:f>
      </x:c>
      <x:c r="M1580" s="46" t="str">
        <x:f>IF(OR(K1580="",L1580=""),"",L1580-K1580)</x:f>
      </x:c>
      <x:c r="N1580" s="46" t="str">
        <x:f>IF(OR(K1580="",A1579&lt;&gt;A1580,K1579=""),"",K1580-K1579)</x:f>
      </x:c>
      <x:c r="O1580" s="42" t="str">
        <x:v>Sem informação</x:v>
      </x:c>
      <x:c r="P1580" s="42"/>
      <x:c r="Q1580" s="42" t="str"/>
      <x:c r="R1580" s="42" t="str"/>
      <x:c r="S1580" s="42" t="str"/>
      <x:c r="T1580" s="42" t="str"/>
    </x:row>
    <x:row r="1581">
      <x:c r="A1581" s="42" t="str">
        <x:v>Pedrinho</x:v>
      </x:c>
      <x:c r="B1581" s="42" t="n">
        <x:v>2030</x:v>
      </x:c>
      <x:c r="C1581" s="42" t="str">
        <x:v>T4</x:v>
      </x:c>
      <x:c r="D1581" s="44" t="n">
        <x:v>47848</x:v>
      </x:c>
      <x:c r="E1581" s="42" t="str">
        <x:v>Ponta-esquerda</x:v>
      </x:c>
      <x:c r="F1581" s="42" t="str">
        <x:v>Zenit São Petersburgo</x:v>
      </x:c>
      <x:c r="G1581" s="46"/>
      <x:c r="H1581" s="46"/>
      <x:c r="I1581" s="46"/>
      <x:c r="J1581" s="46"/>
      <x:c r="K1581" s="46" t="str">
        <x:f>IF(COUNT(G1581,I1581)=0,"",AVERAGE(G1581,I1581))</x:f>
      </x:c>
      <x:c r="L1581" s="46" t="str">
        <x:f>IF(COUNT(H1581,J1581)=0,"",AVERAGE(H1581,J1581))</x:f>
      </x:c>
      <x:c r="M1581" s="46" t="str">
        <x:f>IF(OR(K1581="",L1581=""),"",L1581-K1581)</x:f>
      </x:c>
      <x:c r="N1581" s="46" t="str">
        <x:f>IF(OR(K1581="",A1580&lt;&gt;A1581,K1580=""),"",K1581-K1580)</x:f>
      </x:c>
      <x:c r="O1581" s="42" t="str">
        <x:v>Sem informação</x:v>
      </x:c>
      <x:c r="P1581" s="42"/>
      <x:c r="Q1581" s="42" t="str"/>
      <x:c r="R1581" s="42" t="str"/>
      <x:c r="S1581" s="42" t="str"/>
      <x:c r="T1581" s="42" t="str"/>
    </x:row>
    <x:row r="1582">
      <x:c r="A1582" t="str">
        <x:v>Pedro Cobra</x:v>
      </x:c>
      <x:c r="B1582" t="n">
        <x:v>2026</x:v>
      </x:c>
      <x:c r="C1582" t="str">
        <x:v>T1</x:v>
      </x:c>
      <x:c r="D1582" t="n">
        <x:v>46112</x:v>
      </x:c>
      <x:c r="E1582" t="str">
        <x:v>Goleiro</x:v>
      </x:c>
      <x:c r="F1582" t="str">
        <x:v>Atlético Mineiro</x:v>
      </x:c>
      <x:c r="G1582"/>
      <x:c r="H1582"/>
      <x:c r="I1582"/>
      <x:c r="J1582"/>
      <x:c r="K1582" t="str">
        <x:f>IF(COUNT(G1582,I1582)=0,"",AVERAGE(G1582,I1582))</x:f>
      </x:c>
      <x:c r="L1582" t="str">
        <x:f>IF(COUNT(H1582,J1582)=0,"",AVERAGE(H1582,J1582))</x:f>
      </x:c>
      <x:c r="M1582" t="str">
        <x:f>IF(OR(K1582="",L1582=""),"",L1582-K1582)</x:f>
      </x:c>
      <x:c r="N1582" t="str">
        <x:f>IF(OR(K1582="",A1581&lt;&gt;A1582,K1581=""),"",K1582-K1581)</x:f>
      </x:c>
      <x:c r="O1582" t="str">
        <x:v>Sem informação</x:v>
      </x:c>
      <x:c r="P1582"/>
      <x:c r="Q1582"/>
      <x:c r="R1582"/>
      <x:c r="S1582"/>
      <x:c r="T1582"/>
    </x:row>
    <x:row r="1583">
      <x:c r="A1583" t="str">
        <x:v>Pedro Cobra</x:v>
      </x:c>
      <x:c r="B1583" t="n">
        <x:v>2026</x:v>
      </x:c>
      <x:c r="C1583" t="str">
        <x:v>T2</x:v>
      </x:c>
      <x:c r="D1583" t="n">
        <x:v>46203</x:v>
      </x:c>
      <x:c r="E1583" t="str">
        <x:v>Goleiro</x:v>
      </x:c>
      <x:c r="F1583" t="str">
        <x:v>Atlético Mineiro</x:v>
      </x:c>
      <x:c r="G1583"/>
      <x:c r="H1583"/>
      <x:c r="I1583"/>
      <x:c r="J1583"/>
      <x:c r="K1583" t="str">
        <x:f>IF(COUNT(G1583,I1583)=0,"",AVERAGE(G1583,I1583))</x:f>
      </x:c>
      <x:c r="L1583" t="str">
        <x:f>IF(COUNT(H1583,J1583)=0,"",AVERAGE(H1583,J1583))</x:f>
      </x:c>
      <x:c r="M1583" t="str">
        <x:f>IF(OR(K1583="",L1583=""),"",L1583-K1583)</x:f>
      </x:c>
      <x:c r="N1583" t="str">
        <x:f>IF(OR(K1583="",A1582&lt;&gt;A1583,K1582=""),"",K1583-K1582)</x:f>
      </x:c>
      <x:c r="O1583" t="str">
        <x:v>Sem informação</x:v>
      </x:c>
      <x:c r="P1583"/>
      <x:c r="Q1583"/>
      <x:c r="R1583"/>
      <x:c r="S1583"/>
      <x:c r="T1583"/>
    </x:row>
    <x:row r="1584">
      <x:c r="A1584" t="str">
        <x:v>Pedro Cobra</x:v>
      </x:c>
      <x:c r="B1584" t="n">
        <x:v>2026</x:v>
      </x:c>
      <x:c r="C1584" t="str">
        <x:v>T3</x:v>
      </x:c>
      <x:c r="D1584" t="n">
        <x:v>46295</x:v>
      </x:c>
      <x:c r="E1584" t="str">
        <x:v>Goleiro</x:v>
      </x:c>
      <x:c r="F1584" t="str">
        <x:v>Atlético Mineiro</x:v>
      </x:c>
      <x:c r="G1584"/>
      <x:c r="H1584"/>
      <x:c r="I1584"/>
      <x:c r="J1584"/>
      <x:c r="K1584" t="str">
        <x:f>IF(COUNT(G1584,I1584)=0,"",AVERAGE(G1584,I1584))</x:f>
      </x:c>
      <x:c r="L1584" t="str">
        <x:f>IF(COUNT(H1584,J1584)=0,"",AVERAGE(H1584,J1584))</x:f>
      </x:c>
      <x:c r="M1584" t="str">
        <x:f>IF(OR(K1584="",L1584=""),"",L1584-K1584)</x:f>
      </x:c>
      <x:c r="N1584" t="str">
        <x:f>IF(OR(K1584="",A1583&lt;&gt;A1584,K1583=""),"",K1584-K1583)</x:f>
      </x:c>
      <x:c r="O1584" t="str">
        <x:v>Sem informação</x:v>
      </x:c>
      <x:c r="P1584"/>
      <x:c r="Q1584"/>
      <x:c r="R1584"/>
      <x:c r="S1584"/>
      <x:c r="T1584"/>
    </x:row>
    <x:row r="1585">
      <x:c r="A1585" t="str">
        <x:v>Pedro Cobra</x:v>
      </x:c>
      <x:c r="B1585" t="n">
        <x:v>2026</x:v>
      </x:c>
      <x:c r="C1585" t="str">
        <x:v>T4</x:v>
      </x:c>
      <x:c r="D1585" t="n">
        <x:v>46387</x:v>
      </x:c>
      <x:c r="E1585" t="str">
        <x:v>Goleiro</x:v>
      </x:c>
      <x:c r="F1585" t="str">
        <x:v>Atlético Mineiro</x:v>
      </x:c>
      <x:c r="G1585"/>
      <x:c r="H1585"/>
      <x:c r="I1585"/>
      <x:c r="J1585"/>
      <x:c r="K1585" t="str">
        <x:f>IF(COUNT(G1585,I1585)=0,"",AVERAGE(G1585,I1585))</x:f>
      </x:c>
      <x:c r="L1585" t="str">
        <x:f>IF(COUNT(H1585,J1585)=0,"",AVERAGE(H1585,J1585))</x:f>
      </x:c>
      <x:c r="M1585" t="str">
        <x:f>IF(OR(K1585="",L1585=""),"",L1585-K1585)</x:f>
      </x:c>
      <x:c r="N1585" t="str">
        <x:f>IF(OR(K1585="",A1584&lt;&gt;A1585,K1584=""),"",K1585-K1584)</x:f>
      </x:c>
      <x:c r="O1585" t="str">
        <x:v>Sem informação</x:v>
      </x:c>
      <x:c r="P1585"/>
      <x:c r="Q1585"/>
      <x:c r="R1585"/>
      <x:c r="S1585"/>
      <x:c r="T1585"/>
    </x:row>
    <x:row r="1586">
      <x:c r="A1586" t="str">
        <x:v>Pedro Cobra</x:v>
      </x:c>
      <x:c r="B1586" t="n">
        <x:v>2027</x:v>
      </x:c>
      <x:c r="C1586" t="str">
        <x:v>T1</x:v>
      </x:c>
      <x:c r="D1586" t="n">
        <x:v>46477</x:v>
      </x:c>
      <x:c r="E1586" t="str">
        <x:v>Goleiro</x:v>
      </x:c>
      <x:c r="F1586" t="str">
        <x:v>Atlético Mineiro</x:v>
      </x:c>
      <x:c r="G1586"/>
      <x:c r="H1586"/>
      <x:c r="I1586"/>
      <x:c r="J1586"/>
      <x:c r="K1586" t="str">
        <x:f>IF(COUNT(G1586,I1586)=0,"",AVERAGE(G1586,I1586))</x:f>
      </x:c>
      <x:c r="L1586" t="str">
        <x:f>IF(COUNT(H1586,J1586)=0,"",AVERAGE(H1586,J1586))</x:f>
      </x:c>
      <x:c r="M1586" t="str">
        <x:f>IF(OR(K1586="",L1586=""),"",L1586-K1586)</x:f>
      </x:c>
      <x:c r="N1586" t="str">
        <x:f>IF(OR(K1586="",A1585&lt;&gt;A1586,K1585=""),"",K1586-K1585)</x:f>
      </x:c>
      <x:c r="O1586" t="str">
        <x:v>Sem informação</x:v>
      </x:c>
      <x:c r="P1586"/>
      <x:c r="Q1586"/>
      <x:c r="R1586"/>
      <x:c r="S1586"/>
      <x:c r="T1586"/>
    </x:row>
    <x:row r="1587">
      <x:c r="A1587" t="str">
        <x:v>Pedro Cobra</x:v>
      </x:c>
      <x:c r="B1587" t="n">
        <x:v>2027</x:v>
      </x:c>
      <x:c r="C1587" t="str">
        <x:v>T2</x:v>
      </x:c>
      <x:c r="D1587" t="n">
        <x:v>46568</x:v>
      </x:c>
      <x:c r="E1587" t="str">
        <x:v>Goleiro</x:v>
      </x:c>
      <x:c r="F1587" t="str">
        <x:v>Atlético Mineiro</x:v>
      </x:c>
      <x:c r="G1587"/>
      <x:c r="H1587"/>
      <x:c r="I1587"/>
      <x:c r="J1587"/>
      <x:c r="K1587" t="str">
        <x:f>IF(COUNT(G1587,I1587)=0,"",AVERAGE(G1587,I1587))</x:f>
      </x:c>
      <x:c r="L1587" t="str">
        <x:f>IF(COUNT(H1587,J1587)=0,"",AVERAGE(H1587,J1587))</x:f>
      </x:c>
      <x:c r="M1587" t="str">
        <x:f>IF(OR(K1587="",L1587=""),"",L1587-K1587)</x:f>
      </x:c>
      <x:c r="N1587" t="str">
        <x:f>IF(OR(K1587="",A1586&lt;&gt;A1587,K1586=""),"",K1587-K1586)</x:f>
      </x:c>
      <x:c r="O1587" t="str">
        <x:v>Sem informação</x:v>
      </x:c>
      <x:c r="P1587"/>
      <x:c r="Q1587"/>
      <x:c r="R1587"/>
      <x:c r="S1587"/>
      <x:c r="T1587"/>
    </x:row>
    <x:row r="1588">
      <x:c r="A1588" t="str">
        <x:v>Pedro Cobra</x:v>
      </x:c>
      <x:c r="B1588" t="n">
        <x:v>2027</x:v>
      </x:c>
      <x:c r="C1588" t="str">
        <x:v>T3</x:v>
      </x:c>
      <x:c r="D1588" t="n">
        <x:v>46660</x:v>
      </x:c>
      <x:c r="E1588" t="str">
        <x:v>Goleiro</x:v>
      </x:c>
      <x:c r="F1588" t="str">
        <x:v>Atlético Mineiro</x:v>
      </x:c>
      <x:c r="G1588"/>
      <x:c r="H1588"/>
      <x:c r="I1588"/>
      <x:c r="J1588"/>
      <x:c r="K1588" t="str">
        <x:f>IF(COUNT(G1588,I1588)=0,"",AVERAGE(G1588,I1588))</x:f>
      </x:c>
      <x:c r="L1588" t="str">
        <x:f>IF(COUNT(H1588,J1588)=0,"",AVERAGE(H1588,J1588))</x:f>
      </x:c>
      <x:c r="M1588" t="str">
        <x:f>IF(OR(K1588="",L1588=""),"",L1588-K1588)</x:f>
      </x:c>
      <x:c r="N1588" t="str">
        <x:f>IF(OR(K1588="",A1587&lt;&gt;A1588,K1587=""),"",K1588-K1587)</x:f>
      </x:c>
      <x:c r="O1588" t="str">
        <x:v>Sem informação</x:v>
      </x:c>
      <x:c r="P1588"/>
      <x:c r="Q1588"/>
      <x:c r="R1588"/>
      <x:c r="S1588"/>
      <x:c r="T1588"/>
    </x:row>
    <x:row r="1589">
      <x:c r="A1589" t="str">
        <x:v>Pedro Cobra</x:v>
      </x:c>
      <x:c r="B1589" t="n">
        <x:v>2027</x:v>
      </x:c>
      <x:c r="C1589" t="str">
        <x:v>T4</x:v>
      </x:c>
      <x:c r="D1589" t="n">
        <x:v>46752</x:v>
      </x:c>
      <x:c r="E1589" t="str">
        <x:v>Goleiro</x:v>
      </x:c>
      <x:c r="F1589" t="str">
        <x:v>Atlético Mineiro</x:v>
      </x:c>
      <x:c r="G1589"/>
      <x:c r="H1589"/>
      <x:c r="I1589"/>
      <x:c r="J1589"/>
      <x:c r="K1589" t="str">
        <x:f>IF(COUNT(G1589,I1589)=0,"",AVERAGE(G1589,I1589))</x:f>
      </x:c>
      <x:c r="L1589" t="str">
        <x:f>IF(COUNT(H1589,J1589)=0,"",AVERAGE(H1589,J1589))</x:f>
      </x:c>
      <x:c r="M1589" t="str">
        <x:f>IF(OR(K1589="",L1589=""),"",L1589-K1589)</x:f>
      </x:c>
      <x:c r="N1589" t="str">
        <x:f>IF(OR(K1589="",A1588&lt;&gt;A1589,K1588=""),"",K1589-K1588)</x:f>
      </x:c>
      <x:c r="O1589" t="str">
        <x:v>Sem informação</x:v>
      </x:c>
      <x:c r="P1589"/>
      <x:c r="Q1589"/>
      <x:c r="R1589"/>
      <x:c r="S1589"/>
      <x:c r="T1589"/>
    </x:row>
    <x:row r="1590">
      <x:c r="A1590" t="str">
        <x:v>Pedro Cobra</x:v>
      </x:c>
      <x:c r="B1590" t="n">
        <x:v>2028</x:v>
      </x:c>
      <x:c r="C1590" t="str">
        <x:v>T1</x:v>
      </x:c>
      <x:c r="D1590" t="n">
        <x:v>46843</x:v>
      </x:c>
      <x:c r="E1590" t="str">
        <x:v>Goleiro</x:v>
      </x:c>
      <x:c r="F1590" t="str">
        <x:v>Atlético Mineiro</x:v>
      </x:c>
      <x:c r="G1590"/>
      <x:c r="H1590"/>
      <x:c r="I1590"/>
      <x:c r="J1590"/>
      <x:c r="K1590" t="str">
        <x:f>IF(COUNT(G1590,I1590)=0,"",AVERAGE(G1590,I1590))</x:f>
      </x:c>
      <x:c r="L1590" t="str">
        <x:f>IF(COUNT(H1590,J1590)=0,"",AVERAGE(H1590,J1590))</x:f>
      </x:c>
      <x:c r="M1590" t="str">
        <x:f>IF(OR(K1590="",L1590=""),"",L1590-K1590)</x:f>
      </x:c>
      <x:c r="N1590" t="str">
        <x:f>IF(OR(K1590="",A1589&lt;&gt;A1590,K1589=""),"",K1590-K1589)</x:f>
      </x:c>
      <x:c r="O1590" t="str">
        <x:v>Sem informação</x:v>
      </x:c>
      <x:c r="P1590"/>
      <x:c r="Q1590"/>
      <x:c r="R1590"/>
      <x:c r="S1590"/>
      <x:c r="T1590"/>
    </x:row>
    <x:row r="1591">
      <x:c r="A1591" t="str">
        <x:v>Pedro Cobra</x:v>
      </x:c>
      <x:c r="B1591" t="n">
        <x:v>2028</x:v>
      </x:c>
      <x:c r="C1591" t="str">
        <x:v>T2</x:v>
      </x:c>
      <x:c r="D1591" t="n">
        <x:v>46934</x:v>
      </x:c>
      <x:c r="E1591" t="str">
        <x:v>Goleiro</x:v>
      </x:c>
      <x:c r="F1591" t="str">
        <x:v>Atlético Mineiro</x:v>
      </x:c>
      <x:c r="G1591"/>
      <x:c r="H1591"/>
      <x:c r="I1591"/>
      <x:c r="J1591"/>
      <x:c r="K1591" t="str">
        <x:f>IF(COUNT(G1591,I1591)=0,"",AVERAGE(G1591,I1591))</x:f>
      </x:c>
      <x:c r="L1591" t="str">
        <x:f>IF(COUNT(H1591,J1591)=0,"",AVERAGE(H1591,J1591))</x:f>
      </x:c>
      <x:c r="M1591" t="str">
        <x:f>IF(OR(K1591="",L1591=""),"",L1591-K1591)</x:f>
      </x:c>
      <x:c r="N1591" t="str">
        <x:f>IF(OR(K1591="",A1590&lt;&gt;A1591,K1590=""),"",K1591-K1590)</x:f>
      </x:c>
      <x:c r="O1591" t="str">
        <x:v>Sem informação</x:v>
      </x:c>
      <x:c r="P1591"/>
      <x:c r="Q1591"/>
      <x:c r="R1591"/>
      <x:c r="S1591"/>
      <x:c r="T1591"/>
    </x:row>
    <x:row r="1592">
      <x:c r="A1592" t="str">
        <x:v>Pedro Cobra</x:v>
      </x:c>
      <x:c r="B1592" t="n">
        <x:v>2028</x:v>
      </x:c>
      <x:c r="C1592" t="str">
        <x:v>T3</x:v>
      </x:c>
      <x:c r="D1592" t="n">
        <x:v>47026</x:v>
      </x:c>
      <x:c r="E1592" t="str">
        <x:v>Goleiro</x:v>
      </x:c>
      <x:c r="F1592" t="str">
        <x:v>Atlético Mineiro</x:v>
      </x:c>
      <x:c r="G1592"/>
      <x:c r="H1592"/>
      <x:c r="I1592"/>
      <x:c r="J1592"/>
      <x:c r="K1592" t="str">
        <x:f>IF(COUNT(G1592,I1592)=0,"",AVERAGE(G1592,I1592))</x:f>
      </x:c>
      <x:c r="L1592" t="str">
        <x:f>IF(COUNT(H1592,J1592)=0,"",AVERAGE(H1592,J1592))</x:f>
      </x:c>
      <x:c r="M1592" t="str">
        <x:f>IF(OR(K1592="",L1592=""),"",L1592-K1592)</x:f>
      </x:c>
      <x:c r="N1592" t="str">
        <x:f>IF(OR(K1592="",A1591&lt;&gt;A1592,K1591=""),"",K1592-K1591)</x:f>
      </x:c>
      <x:c r="O1592" t="str">
        <x:v>Sem informação</x:v>
      </x:c>
      <x:c r="P1592"/>
      <x:c r="Q1592"/>
      <x:c r="R1592"/>
      <x:c r="S1592"/>
      <x:c r="T1592"/>
    </x:row>
    <x:row r="1593">
      <x:c r="A1593" t="str">
        <x:v>Pedro Cobra</x:v>
      </x:c>
      <x:c r="B1593" t="n">
        <x:v>2028</x:v>
      </x:c>
      <x:c r="C1593" t="str">
        <x:v>T4</x:v>
      </x:c>
      <x:c r="D1593" t="n">
        <x:v>47118</x:v>
      </x:c>
      <x:c r="E1593" t="str">
        <x:v>Goleiro</x:v>
      </x:c>
      <x:c r="F1593" t="str">
        <x:v>Atlético Mineiro</x:v>
      </x:c>
      <x:c r="G1593"/>
      <x:c r="H1593"/>
      <x:c r="I1593"/>
      <x:c r="J1593"/>
      <x:c r="K1593" t="str">
        <x:f>IF(COUNT(G1593,I1593)=0,"",AVERAGE(G1593,I1593))</x:f>
      </x:c>
      <x:c r="L1593" t="str">
        <x:f>IF(COUNT(H1593,J1593)=0,"",AVERAGE(H1593,J1593))</x:f>
      </x:c>
      <x:c r="M1593" t="str">
        <x:f>IF(OR(K1593="",L1593=""),"",L1593-K1593)</x:f>
      </x:c>
      <x:c r="N1593" t="str">
        <x:f>IF(OR(K1593="",A1592&lt;&gt;A1593,K1592=""),"",K1593-K1592)</x:f>
      </x:c>
      <x:c r="O1593" t="str">
        <x:v>Sem informação</x:v>
      </x:c>
      <x:c r="P1593"/>
      <x:c r="Q1593"/>
      <x:c r="R1593"/>
      <x:c r="S1593"/>
      <x:c r="T1593"/>
    </x:row>
    <x:row r="1594">
      <x:c r="A1594" t="str">
        <x:v>Pedro Cobra</x:v>
      </x:c>
      <x:c r="B1594" t="n">
        <x:v>2029</x:v>
      </x:c>
      <x:c r="C1594" t="str">
        <x:v>T1</x:v>
      </x:c>
      <x:c r="D1594" t="n">
        <x:v>47208</x:v>
      </x:c>
      <x:c r="E1594" t="str">
        <x:v>Goleiro</x:v>
      </x:c>
      <x:c r="F1594" t="str">
        <x:v>Atlético Mineiro</x:v>
      </x:c>
      <x:c r="G1594"/>
      <x:c r="H1594"/>
      <x:c r="I1594"/>
      <x:c r="J1594"/>
      <x:c r="K1594" t="str">
        <x:f>IF(COUNT(G1594,I1594)=0,"",AVERAGE(G1594,I1594))</x:f>
      </x:c>
      <x:c r="L1594" t="str">
        <x:f>IF(COUNT(H1594,J1594)=0,"",AVERAGE(H1594,J1594))</x:f>
      </x:c>
      <x:c r="M1594" t="str">
        <x:f>IF(OR(K1594="",L1594=""),"",L1594-K1594)</x:f>
      </x:c>
      <x:c r="N1594" t="str">
        <x:f>IF(OR(K1594="",A1593&lt;&gt;A1594,K1593=""),"",K1594-K1593)</x:f>
      </x:c>
      <x:c r="O1594" t="str">
        <x:v>Sem informação</x:v>
      </x:c>
      <x:c r="P1594"/>
      <x:c r="Q1594"/>
      <x:c r="R1594"/>
      <x:c r="S1594"/>
      <x:c r="T1594"/>
    </x:row>
    <x:row r="1595">
      <x:c r="A1595" t="str">
        <x:v>Pedro Cobra</x:v>
      </x:c>
      <x:c r="B1595" t="n">
        <x:v>2029</x:v>
      </x:c>
      <x:c r="C1595" t="str">
        <x:v>T2</x:v>
      </x:c>
      <x:c r="D1595" t="n">
        <x:v>47299</x:v>
      </x:c>
      <x:c r="E1595" t="str">
        <x:v>Goleiro</x:v>
      </x:c>
      <x:c r="F1595" t="str">
        <x:v>Atlético Mineiro</x:v>
      </x:c>
      <x:c r="G1595"/>
      <x:c r="H1595"/>
      <x:c r="I1595"/>
      <x:c r="J1595"/>
      <x:c r="K1595" t="str">
        <x:f>IF(COUNT(G1595,I1595)=0,"",AVERAGE(G1595,I1595))</x:f>
      </x:c>
      <x:c r="L1595" t="str">
        <x:f>IF(COUNT(H1595,J1595)=0,"",AVERAGE(H1595,J1595))</x:f>
      </x:c>
      <x:c r="M1595" t="str">
        <x:f>IF(OR(K1595="",L1595=""),"",L1595-K1595)</x:f>
      </x:c>
      <x:c r="N1595" t="str">
        <x:f>IF(OR(K1595="",A1594&lt;&gt;A1595,K1594=""),"",K1595-K1594)</x:f>
      </x:c>
      <x:c r="O1595" t="str">
        <x:v>Sem informação</x:v>
      </x:c>
      <x:c r="P1595"/>
      <x:c r="Q1595"/>
      <x:c r="R1595"/>
      <x:c r="S1595"/>
      <x:c r="T1595"/>
    </x:row>
    <x:row r="1596">
      <x:c r="A1596" t="str">
        <x:v>Pedro Cobra</x:v>
      </x:c>
      <x:c r="B1596" t="n">
        <x:v>2029</x:v>
      </x:c>
      <x:c r="C1596" t="str">
        <x:v>T3</x:v>
      </x:c>
      <x:c r="D1596" t="n">
        <x:v>47391</x:v>
      </x:c>
      <x:c r="E1596" t="str">
        <x:v>Goleiro</x:v>
      </x:c>
      <x:c r="F1596" t="str">
        <x:v>Atlético Mineiro</x:v>
      </x:c>
      <x:c r="G1596"/>
      <x:c r="H1596"/>
      <x:c r="I1596"/>
      <x:c r="J1596"/>
      <x:c r="K1596" t="str">
        <x:f>IF(COUNT(G1596,I1596)=0,"",AVERAGE(G1596,I1596))</x:f>
      </x:c>
      <x:c r="L1596" t="str">
        <x:f>IF(COUNT(H1596,J1596)=0,"",AVERAGE(H1596,J1596))</x:f>
      </x:c>
      <x:c r="M1596" t="str">
        <x:f>IF(OR(K1596="",L1596=""),"",L1596-K1596)</x:f>
      </x:c>
      <x:c r="N1596" t="str">
        <x:f>IF(OR(K1596="",A1595&lt;&gt;A1596,K1595=""),"",K1596-K1595)</x:f>
      </x:c>
      <x:c r="O1596" t="str">
        <x:v>Sem informação</x:v>
      </x:c>
      <x:c r="P1596"/>
      <x:c r="Q1596"/>
      <x:c r="R1596"/>
      <x:c r="S1596"/>
      <x:c r="T1596"/>
    </x:row>
    <x:row r="1597">
      <x:c r="A1597" t="str">
        <x:v>Pedro Cobra</x:v>
      </x:c>
      <x:c r="B1597" t="n">
        <x:v>2029</x:v>
      </x:c>
      <x:c r="C1597" t="str">
        <x:v>T4</x:v>
      </x:c>
      <x:c r="D1597" t="n">
        <x:v>47483</x:v>
      </x:c>
      <x:c r="E1597" t="str">
        <x:v>Goleiro</x:v>
      </x:c>
      <x:c r="F1597" t="str">
        <x:v>Atlético Mineiro</x:v>
      </x:c>
      <x:c r="G1597"/>
      <x:c r="H1597"/>
      <x:c r="I1597"/>
      <x:c r="J1597"/>
      <x:c r="K1597" t="str">
        <x:f>IF(COUNT(G1597,I1597)=0,"",AVERAGE(G1597,I1597))</x:f>
      </x:c>
      <x:c r="L1597" t="str">
        <x:f>IF(COUNT(H1597,J1597)=0,"",AVERAGE(H1597,J1597))</x:f>
      </x:c>
      <x:c r="M1597" t="str">
        <x:f>IF(OR(K1597="",L1597=""),"",L1597-K1597)</x:f>
      </x:c>
      <x:c r="N1597" t="str">
        <x:f>IF(OR(K1597="",A1596&lt;&gt;A1597,K1596=""),"",K1597-K1596)</x:f>
      </x:c>
      <x:c r="O1597" t="str">
        <x:v>Sem informação</x:v>
      </x:c>
      <x:c r="P1597"/>
      <x:c r="Q1597"/>
      <x:c r="R1597"/>
      <x:c r="S1597"/>
      <x:c r="T1597"/>
    </x:row>
    <x:row r="1598">
      <x:c r="A1598" t="str">
        <x:v>Pedro Cobra</x:v>
      </x:c>
      <x:c r="B1598" t="n">
        <x:v>2030</x:v>
      </x:c>
      <x:c r="C1598" t="str">
        <x:v>T1</x:v>
      </x:c>
      <x:c r="D1598" t="n">
        <x:v>47573</x:v>
      </x:c>
      <x:c r="E1598" t="str">
        <x:v>Goleiro</x:v>
      </x:c>
      <x:c r="F1598" t="str">
        <x:v>Atlético Mineiro</x:v>
      </x:c>
      <x:c r="G1598"/>
      <x:c r="H1598"/>
      <x:c r="I1598"/>
      <x:c r="J1598"/>
      <x:c r="K1598" t="str">
        <x:f>IF(COUNT(G1598,I1598)=0,"",AVERAGE(G1598,I1598))</x:f>
      </x:c>
      <x:c r="L1598" t="str">
        <x:f>IF(COUNT(H1598,J1598)=0,"",AVERAGE(H1598,J1598))</x:f>
      </x:c>
      <x:c r="M1598" t="str">
        <x:f>IF(OR(K1598="",L1598=""),"",L1598-K1598)</x:f>
      </x:c>
      <x:c r="N1598" t="str">
        <x:f>IF(OR(K1598="",A1597&lt;&gt;A1598,K1597=""),"",K1598-K1597)</x:f>
      </x:c>
      <x:c r="O1598" t="str">
        <x:v>Sem informação</x:v>
      </x:c>
      <x:c r="P1598"/>
      <x:c r="Q1598"/>
      <x:c r="R1598"/>
      <x:c r="S1598"/>
      <x:c r="T1598"/>
    </x:row>
    <x:row r="1599">
      <x:c r="A1599" t="str">
        <x:v>Pedro Cobra</x:v>
      </x:c>
      <x:c r="B1599" t="n">
        <x:v>2030</x:v>
      </x:c>
      <x:c r="C1599" t="str">
        <x:v>T2</x:v>
      </x:c>
      <x:c r="D1599" t="n">
        <x:v>47664</x:v>
      </x:c>
      <x:c r="E1599" t="str">
        <x:v>Goleiro</x:v>
      </x:c>
      <x:c r="F1599" t="str">
        <x:v>Atlético Mineiro</x:v>
      </x:c>
      <x:c r="G1599"/>
      <x:c r="H1599"/>
      <x:c r="I1599"/>
      <x:c r="J1599"/>
      <x:c r="K1599" t="str">
        <x:f>IF(COUNT(G1599,I1599)=0,"",AVERAGE(G1599,I1599))</x:f>
      </x:c>
      <x:c r="L1599" t="str">
        <x:f>IF(COUNT(H1599,J1599)=0,"",AVERAGE(H1599,J1599))</x:f>
      </x:c>
      <x:c r="M1599" t="str">
        <x:f>IF(OR(K1599="",L1599=""),"",L1599-K1599)</x:f>
      </x:c>
      <x:c r="N1599" t="str">
        <x:f>IF(OR(K1599="",A1598&lt;&gt;A1599,K1598=""),"",K1599-K1598)</x:f>
      </x:c>
      <x:c r="O1599" t="str">
        <x:v>Sem informação</x:v>
      </x:c>
      <x:c r="P1599"/>
      <x:c r="Q1599"/>
      <x:c r="R1599"/>
      <x:c r="S1599"/>
      <x:c r="T1599"/>
    </x:row>
    <x:row r="1600">
      <x:c r="A1600" t="str">
        <x:v>Pedro Cobra</x:v>
      </x:c>
      <x:c r="B1600" t="n">
        <x:v>2030</x:v>
      </x:c>
      <x:c r="C1600" t="str">
        <x:v>T3</x:v>
      </x:c>
      <x:c r="D1600" t="n">
        <x:v>47756</x:v>
      </x:c>
      <x:c r="E1600" t="str">
        <x:v>Goleiro</x:v>
      </x:c>
      <x:c r="F1600" t="str">
        <x:v>Atlético Mineiro</x:v>
      </x:c>
      <x:c r="G1600"/>
      <x:c r="H1600"/>
      <x:c r="I1600"/>
      <x:c r="J1600"/>
      <x:c r="K1600" t="str">
        <x:f>IF(COUNT(G1600,I1600)=0,"",AVERAGE(G1600,I1600))</x:f>
      </x:c>
      <x:c r="L1600" t="str">
        <x:f>IF(COUNT(H1600,J1600)=0,"",AVERAGE(H1600,J1600))</x:f>
      </x:c>
      <x:c r="M1600" t="str">
        <x:f>IF(OR(K1600="",L1600=""),"",L1600-K1600)</x:f>
      </x:c>
      <x:c r="N1600" t="str">
        <x:f>IF(OR(K1600="",A1599&lt;&gt;A1600,K1599=""),"",K1600-K1599)</x:f>
      </x:c>
      <x:c r="O1600" t="str">
        <x:v>Sem informação</x:v>
      </x:c>
      <x:c r="P1600"/>
      <x:c r="Q1600"/>
      <x:c r="R1600"/>
      <x:c r="S1600"/>
      <x:c r="T1600"/>
    </x:row>
    <x:row r="1601">
      <x:c r="A1601" t="str">
        <x:v>Pedro Cobra</x:v>
      </x:c>
      <x:c r="B1601" t="n">
        <x:v>2030</x:v>
      </x:c>
      <x:c r="C1601" t="str">
        <x:v>T4</x:v>
      </x:c>
      <x:c r="D1601" t="n">
        <x:v>47848</x:v>
      </x:c>
      <x:c r="E1601" t="str">
        <x:v>Goleiro</x:v>
      </x:c>
      <x:c r="F1601" t="str">
        <x:v>Atlético Mineiro</x:v>
      </x:c>
      <x:c r="G1601"/>
      <x:c r="H1601"/>
      <x:c r="I1601"/>
      <x:c r="J1601"/>
      <x:c r="K1601" t="str">
        <x:f>IF(COUNT(G1601,I1601)=0,"",AVERAGE(G1601,I1601))</x:f>
      </x:c>
      <x:c r="L1601" t="str">
        <x:f>IF(COUNT(H1601,J1601)=0,"",AVERAGE(H1601,J1601))</x:f>
      </x:c>
      <x:c r="M1601" t="str">
        <x:f>IF(OR(K1601="",L1601=""),"",L1601-K1601)</x:f>
      </x:c>
      <x:c r="N1601" t="str">
        <x:f>IF(OR(K1601="",A1600&lt;&gt;A1601,K1600=""),"",K1601-K1600)</x:f>
      </x:c>
      <x:c r="O1601" t="str">
        <x:v>Sem informação</x:v>
      </x:c>
      <x:c r="P1601"/>
      <x:c r="Q1601"/>
      <x:c r="R1601"/>
      <x:c r="S1601"/>
      <x:c r="T1601"/>
    </x:row>
    <x:row r="1602">
      <x:c r="A1602" t="str">
        <x:v>Pedro Gabriel</x:v>
      </x:c>
      <x:c r="B1602" t="n">
        <x:v>2026</x:v>
      </x:c>
      <x:c r="C1602" t="str">
        <x:v>T1</x:v>
      </x:c>
      <x:c r="D1602" t="n">
        <x:v>46112</x:v>
      </x:c>
      <x:c r="E1602" t="str">
        <x:v>Lateral-esquerdo</x:v>
      </x:c>
      <x:c r="F1602" t="str">
        <x:v>Grêmio FBPA</x:v>
      </x:c>
      <x:c r="G1602"/>
      <x:c r="H1602"/>
      <x:c r="I1602"/>
      <x:c r="J1602"/>
      <x:c r="K1602" t="str">
        <x:f>IF(COUNT(G1602,I1602)=0,"",AVERAGE(G1602,I1602))</x:f>
      </x:c>
      <x:c r="L1602" t="str">
        <x:f>IF(COUNT(H1602,J1602)=0,"",AVERAGE(H1602,J1602))</x:f>
      </x:c>
      <x:c r="M1602" t="str">
        <x:f>IF(OR(K1602="",L1602=""),"",L1602-K1602)</x:f>
      </x:c>
      <x:c r="N1602" t="str">
        <x:f>IF(OR(K1602="",A1601&lt;&gt;A1602,K1601=""),"",K1602-K1601)</x:f>
      </x:c>
      <x:c r="O1602" t="str">
        <x:v>Sem informação</x:v>
      </x:c>
      <x:c r="P1602"/>
      <x:c r="Q1602"/>
      <x:c r="R1602"/>
      <x:c r="S1602"/>
      <x:c r="T1602"/>
    </x:row>
    <x:row r="1603">
      <x:c r="A1603" t="str">
        <x:v>Pedro Gabriel</x:v>
      </x:c>
      <x:c r="B1603" t="n">
        <x:v>2026</x:v>
      </x:c>
      <x:c r="C1603" t="str">
        <x:v>T2</x:v>
      </x:c>
      <x:c r="D1603" t="n">
        <x:v>46203</x:v>
      </x:c>
      <x:c r="E1603" t="str">
        <x:v>Lateral-esquerdo</x:v>
      </x:c>
      <x:c r="F1603" t="str">
        <x:v>Grêmio FBPA</x:v>
      </x:c>
      <x:c r="G1603"/>
      <x:c r="H1603"/>
      <x:c r="I1603"/>
      <x:c r="J1603"/>
      <x:c r="K1603" t="str">
        <x:f>IF(COUNT(G1603,I1603)=0,"",AVERAGE(G1603,I1603))</x:f>
      </x:c>
      <x:c r="L1603" t="str">
        <x:f>IF(COUNT(H1603,J1603)=0,"",AVERAGE(H1603,J1603))</x:f>
      </x:c>
      <x:c r="M1603" t="str">
        <x:f>IF(OR(K1603="",L1603=""),"",L1603-K1603)</x:f>
      </x:c>
      <x:c r="N1603" t="str">
        <x:f>IF(OR(K1603="",A1602&lt;&gt;A1603,K1602=""),"",K1603-K1602)</x:f>
      </x:c>
      <x:c r="O1603" t="str">
        <x:v>Sem informação</x:v>
      </x:c>
      <x:c r="P1603"/>
      <x:c r="Q1603"/>
      <x:c r="R1603"/>
      <x:c r="S1603"/>
      <x:c r="T1603"/>
    </x:row>
    <x:row r="1604">
      <x:c r="A1604" t="str">
        <x:v>Pedro Gabriel</x:v>
      </x:c>
      <x:c r="B1604" t="n">
        <x:v>2026</x:v>
      </x:c>
      <x:c r="C1604" t="str">
        <x:v>T3</x:v>
      </x:c>
      <x:c r="D1604" t="n">
        <x:v>46295</x:v>
      </x:c>
      <x:c r="E1604" t="str">
        <x:v>Lateral-esquerdo</x:v>
      </x:c>
      <x:c r="F1604" t="str">
        <x:v>Grêmio FBPA</x:v>
      </x:c>
      <x:c r="G1604"/>
      <x:c r="H1604"/>
      <x:c r="I1604"/>
      <x:c r="J1604"/>
      <x:c r="K1604" t="str">
        <x:f>IF(COUNT(G1604,I1604)=0,"",AVERAGE(G1604,I1604))</x:f>
      </x:c>
      <x:c r="L1604" t="str">
        <x:f>IF(COUNT(H1604,J1604)=0,"",AVERAGE(H1604,J1604))</x:f>
      </x:c>
      <x:c r="M1604" t="str">
        <x:f>IF(OR(K1604="",L1604=""),"",L1604-K1604)</x:f>
      </x:c>
      <x:c r="N1604" t="str">
        <x:f>IF(OR(K1604="",A1603&lt;&gt;A1604,K1603=""),"",K1604-K1603)</x:f>
      </x:c>
      <x:c r="O1604" t="str">
        <x:v>Sem informação</x:v>
      </x:c>
      <x:c r="P1604"/>
      <x:c r="Q1604"/>
      <x:c r="R1604"/>
      <x:c r="S1604"/>
      <x:c r="T1604"/>
    </x:row>
    <x:row r="1605">
      <x:c r="A1605" t="str">
        <x:v>Pedro Gabriel</x:v>
      </x:c>
      <x:c r="B1605" t="n">
        <x:v>2026</x:v>
      </x:c>
      <x:c r="C1605" t="str">
        <x:v>T4</x:v>
      </x:c>
      <x:c r="D1605" t="n">
        <x:v>46387</x:v>
      </x:c>
      <x:c r="E1605" t="str">
        <x:v>Lateral-esquerdo</x:v>
      </x:c>
      <x:c r="F1605" t="str">
        <x:v>Grêmio FBPA</x:v>
      </x:c>
      <x:c r="G1605"/>
      <x:c r="H1605"/>
      <x:c r="I1605"/>
      <x:c r="J1605"/>
      <x:c r="K1605" t="str">
        <x:f>IF(COUNT(G1605,I1605)=0,"",AVERAGE(G1605,I1605))</x:f>
      </x:c>
      <x:c r="L1605" t="str">
        <x:f>IF(COUNT(H1605,J1605)=0,"",AVERAGE(H1605,J1605))</x:f>
      </x:c>
      <x:c r="M1605" t="str">
        <x:f>IF(OR(K1605="",L1605=""),"",L1605-K1605)</x:f>
      </x:c>
      <x:c r="N1605" t="str">
        <x:f>IF(OR(K1605="",A1604&lt;&gt;A1605,K1604=""),"",K1605-K1604)</x:f>
      </x:c>
      <x:c r="O1605" t="str">
        <x:v>Sem informação</x:v>
      </x:c>
      <x:c r="P1605"/>
      <x:c r="Q1605"/>
      <x:c r="R1605"/>
      <x:c r="S1605"/>
      <x:c r="T1605"/>
    </x:row>
    <x:row r="1606">
      <x:c r="A1606" t="str">
        <x:v>Pedro Gabriel</x:v>
      </x:c>
      <x:c r="B1606" t="n">
        <x:v>2027</x:v>
      </x:c>
      <x:c r="C1606" t="str">
        <x:v>T1</x:v>
      </x:c>
      <x:c r="D1606" t="n">
        <x:v>46477</x:v>
      </x:c>
      <x:c r="E1606" t="str">
        <x:v>Lateral-esquerdo</x:v>
      </x:c>
      <x:c r="F1606" t="str">
        <x:v>Grêmio FBPA</x:v>
      </x:c>
      <x:c r="G1606"/>
      <x:c r="H1606"/>
      <x:c r="I1606"/>
      <x:c r="J1606"/>
      <x:c r="K1606" t="str">
        <x:f>IF(COUNT(G1606,I1606)=0,"",AVERAGE(G1606,I1606))</x:f>
      </x:c>
      <x:c r="L1606" t="str">
        <x:f>IF(COUNT(H1606,J1606)=0,"",AVERAGE(H1606,J1606))</x:f>
      </x:c>
      <x:c r="M1606" t="str">
        <x:f>IF(OR(K1606="",L1606=""),"",L1606-K1606)</x:f>
      </x:c>
      <x:c r="N1606" t="str">
        <x:f>IF(OR(K1606="",A1605&lt;&gt;A1606,K1605=""),"",K1606-K1605)</x:f>
      </x:c>
      <x:c r="O1606" t="str">
        <x:v>Sem informação</x:v>
      </x:c>
      <x:c r="P1606"/>
      <x:c r="Q1606"/>
      <x:c r="R1606"/>
      <x:c r="S1606"/>
      <x:c r="T1606"/>
    </x:row>
    <x:row r="1607">
      <x:c r="A1607" t="str">
        <x:v>Pedro Gabriel</x:v>
      </x:c>
      <x:c r="B1607" t="n">
        <x:v>2027</x:v>
      </x:c>
      <x:c r="C1607" t="str">
        <x:v>T2</x:v>
      </x:c>
      <x:c r="D1607" t="n">
        <x:v>46568</x:v>
      </x:c>
      <x:c r="E1607" t="str">
        <x:v>Lateral-esquerdo</x:v>
      </x:c>
      <x:c r="F1607" t="str">
        <x:v>Grêmio FBPA</x:v>
      </x:c>
      <x:c r="G1607"/>
      <x:c r="H1607"/>
      <x:c r="I1607"/>
      <x:c r="J1607"/>
      <x:c r="K1607" t="str">
        <x:f>IF(COUNT(G1607,I1607)=0,"",AVERAGE(G1607,I1607))</x:f>
      </x:c>
      <x:c r="L1607" t="str">
        <x:f>IF(COUNT(H1607,J1607)=0,"",AVERAGE(H1607,J1607))</x:f>
      </x:c>
      <x:c r="M1607" t="str">
        <x:f>IF(OR(K1607="",L1607=""),"",L1607-K1607)</x:f>
      </x:c>
      <x:c r="N1607" t="str">
        <x:f>IF(OR(K1607="",A1606&lt;&gt;A1607,K1606=""),"",K1607-K1606)</x:f>
      </x:c>
      <x:c r="O1607" t="str">
        <x:v>Sem informação</x:v>
      </x:c>
      <x:c r="P1607"/>
      <x:c r="Q1607"/>
      <x:c r="R1607"/>
      <x:c r="S1607"/>
      <x:c r="T1607"/>
    </x:row>
    <x:row r="1608">
      <x:c r="A1608" t="str">
        <x:v>Pedro Gabriel</x:v>
      </x:c>
      <x:c r="B1608" t="n">
        <x:v>2027</x:v>
      </x:c>
      <x:c r="C1608" t="str">
        <x:v>T3</x:v>
      </x:c>
      <x:c r="D1608" t="n">
        <x:v>46660</x:v>
      </x:c>
      <x:c r="E1608" t="str">
        <x:v>Lateral-esquerdo</x:v>
      </x:c>
      <x:c r="F1608" t="str">
        <x:v>Grêmio FBPA</x:v>
      </x:c>
      <x:c r="G1608"/>
      <x:c r="H1608"/>
      <x:c r="I1608"/>
      <x:c r="J1608"/>
      <x:c r="K1608" t="str">
        <x:f>IF(COUNT(G1608,I1608)=0,"",AVERAGE(G1608,I1608))</x:f>
      </x:c>
      <x:c r="L1608" t="str">
        <x:f>IF(COUNT(H1608,J1608)=0,"",AVERAGE(H1608,J1608))</x:f>
      </x:c>
      <x:c r="M1608" t="str">
        <x:f>IF(OR(K1608="",L1608=""),"",L1608-K1608)</x:f>
      </x:c>
      <x:c r="N1608" t="str">
        <x:f>IF(OR(K1608="",A1607&lt;&gt;A1608,K1607=""),"",K1608-K1607)</x:f>
      </x:c>
      <x:c r="O1608" t="str">
        <x:v>Sem informação</x:v>
      </x:c>
      <x:c r="P1608"/>
      <x:c r="Q1608"/>
      <x:c r="R1608"/>
      <x:c r="S1608"/>
      <x:c r="T1608"/>
    </x:row>
    <x:row r="1609">
      <x:c r="A1609" t="str">
        <x:v>Pedro Gabriel</x:v>
      </x:c>
      <x:c r="B1609" t="n">
        <x:v>2027</x:v>
      </x:c>
      <x:c r="C1609" t="str">
        <x:v>T4</x:v>
      </x:c>
      <x:c r="D1609" t="n">
        <x:v>46752</x:v>
      </x:c>
      <x:c r="E1609" t="str">
        <x:v>Lateral-esquerdo</x:v>
      </x:c>
      <x:c r="F1609" t="str">
        <x:v>Grêmio FBPA</x:v>
      </x:c>
      <x:c r="G1609"/>
      <x:c r="H1609"/>
      <x:c r="I1609"/>
      <x:c r="J1609"/>
      <x:c r="K1609" t="str">
        <x:f>IF(COUNT(G1609,I1609)=0,"",AVERAGE(G1609,I1609))</x:f>
      </x:c>
      <x:c r="L1609" t="str">
        <x:f>IF(COUNT(H1609,J1609)=0,"",AVERAGE(H1609,J1609))</x:f>
      </x:c>
      <x:c r="M1609" t="str">
        <x:f>IF(OR(K1609="",L1609=""),"",L1609-K1609)</x:f>
      </x:c>
      <x:c r="N1609" t="str">
        <x:f>IF(OR(K1609="",A1608&lt;&gt;A1609,K1608=""),"",K1609-K1608)</x:f>
      </x:c>
      <x:c r="O1609" t="str">
        <x:v>Sem informação</x:v>
      </x:c>
      <x:c r="P1609"/>
      <x:c r="Q1609"/>
      <x:c r="R1609"/>
      <x:c r="S1609"/>
      <x:c r="T1609"/>
    </x:row>
    <x:row r="1610">
      <x:c r="A1610" t="str">
        <x:v>Pedro Gabriel</x:v>
      </x:c>
      <x:c r="B1610" t="n">
        <x:v>2028</x:v>
      </x:c>
      <x:c r="C1610" t="str">
        <x:v>T1</x:v>
      </x:c>
      <x:c r="D1610" t="n">
        <x:v>46843</x:v>
      </x:c>
      <x:c r="E1610" t="str">
        <x:v>Lateral-esquerdo</x:v>
      </x:c>
      <x:c r="F1610" t="str">
        <x:v>Grêmio FBPA</x:v>
      </x:c>
      <x:c r="G1610"/>
      <x:c r="H1610"/>
      <x:c r="I1610"/>
      <x:c r="J1610"/>
      <x:c r="K1610" t="str">
        <x:f>IF(COUNT(G1610,I1610)=0,"",AVERAGE(G1610,I1610))</x:f>
      </x:c>
      <x:c r="L1610" t="str">
        <x:f>IF(COUNT(H1610,J1610)=0,"",AVERAGE(H1610,J1610))</x:f>
      </x:c>
      <x:c r="M1610" t="str">
        <x:f>IF(OR(K1610="",L1610=""),"",L1610-K1610)</x:f>
      </x:c>
      <x:c r="N1610" t="str">
        <x:f>IF(OR(K1610="",A1609&lt;&gt;A1610,K1609=""),"",K1610-K1609)</x:f>
      </x:c>
      <x:c r="O1610" t="str">
        <x:v>Sem informação</x:v>
      </x:c>
      <x:c r="P1610"/>
      <x:c r="Q1610"/>
      <x:c r="R1610"/>
      <x:c r="S1610"/>
      <x:c r="T1610"/>
    </x:row>
    <x:row r="1611">
      <x:c r="A1611" t="str">
        <x:v>Pedro Gabriel</x:v>
      </x:c>
      <x:c r="B1611" t="n">
        <x:v>2028</x:v>
      </x:c>
      <x:c r="C1611" t="str">
        <x:v>T2</x:v>
      </x:c>
      <x:c r="D1611" t="n">
        <x:v>46934</x:v>
      </x:c>
      <x:c r="E1611" t="str">
        <x:v>Lateral-esquerdo</x:v>
      </x:c>
      <x:c r="F1611" t="str">
        <x:v>Grêmio FBPA</x:v>
      </x:c>
      <x:c r="G1611"/>
      <x:c r="H1611"/>
      <x:c r="I1611"/>
      <x:c r="J1611"/>
      <x:c r="K1611" t="str">
        <x:f>IF(COUNT(G1611,I1611)=0,"",AVERAGE(G1611,I1611))</x:f>
      </x:c>
      <x:c r="L1611" t="str">
        <x:f>IF(COUNT(H1611,J1611)=0,"",AVERAGE(H1611,J1611))</x:f>
      </x:c>
      <x:c r="M1611" t="str">
        <x:f>IF(OR(K1611="",L1611=""),"",L1611-K1611)</x:f>
      </x:c>
      <x:c r="N1611" t="str">
        <x:f>IF(OR(K1611="",A1610&lt;&gt;A1611,K1610=""),"",K1611-K1610)</x:f>
      </x:c>
      <x:c r="O1611" t="str">
        <x:v>Sem informação</x:v>
      </x:c>
      <x:c r="P1611"/>
      <x:c r="Q1611"/>
      <x:c r="R1611"/>
      <x:c r="S1611"/>
      <x:c r="T1611"/>
    </x:row>
    <x:row r="1612">
      <x:c r="A1612" t="str">
        <x:v>Pedro Gabriel</x:v>
      </x:c>
      <x:c r="B1612" t="n">
        <x:v>2028</x:v>
      </x:c>
      <x:c r="C1612" t="str">
        <x:v>T3</x:v>
      </x:c>
      <x:c r="D1612" t="n">
        <x:v>47026</x:v>
      </x:c>
      <x:c r="E1612" t="str">
        <x:v>Lateral-esquerdo</x:v>
      </x:c>
      <x:c r="F1612" t="str">
        <x:v>Grêmio FBPA</x:v>
      </x:c>
      <x:c r="G1612"/>
      <x:c r="H1612"/>
      <x:c r="I1612"/>
      <x:c r="J1612"/>
      <x:c r="K1612" t="str">
        <x:f>IF(COUNT(G1612,I1612)=0,"",AVERAGE(G1612,I1612))</x:f>
      </x:c>
      <x:c r="L1612" t="str">
        <x:f>IF(COUNT(H1612,J1612)=0,"",AVERAGE(H1612,J1612))</x:f>
      </x:c>
      <x:c r="M1612" t="str">
        <x:f>IF(OR(K1612="",L1612=""),"",L1612-K1612)</x:f>
      </x:c>
      <x:c r="N1612" t="str">
        <x:f>IF(OR(K1612="",A1611&lt;&gt;A1612,K1611=""),"",K1612-K1611)</x:f>
      </x:c>
      <x:c r="O1612" t="str">
        <x:v>Sem informação</x:v>
      </x:c>
      <x:c r="P1612"/>
      <x:c r="Q1612"/>
      <x:c r="R1612"/>
      <x:c r="S1612"/>
      <x:c r="T1612"/>
    </x:row>
    <x:row r="1613">
      <x:c r="A1613" t="str">
        <x:v>Pedro Gabriel</x:v>
      </x:c>
      <x:c r="B1613" t="n">
        <x:v>2028</x:v>
      </x:c>
      <x:c r="C1613" t="str">
        <x:v>T4</x:v>
      </x:c>
      <x:c r="D1613" t="n">
        <x:v>47118</x:v>
      </x:c>
      <x:c r="E1613" t="str">
        <x:v>Lateral-esquerdo</x:v>
      </x:c>
      <x:c r="F1613" t="str">
        <x:v>Grêmio FBPA</x:v>
      </x:c>
      <x:c r="G1613"/>
      <x:c r="H1613"/>
      <x:c r="I1613"/>
      <x:c r="J1613"/>
      <x:c r="K1613" t="str">
        <x:f>IF(COUNT(G1613,I1613)=0,"",AVERAGE(G1613,I1613))</x:f>
      </x:c>
      <x:c r="L1613" t="str">
        <x:f>IF(COUNT(H1613,J1613)=0,"",AVERAGE(H1613,J1613))</x:f>
      </x:c>
      <x:c r="M1613" t="str">
        <x:f>IF(OR(K1613="",L1613=""),"",L1613-K1613)</x:f>
      </x:c>
      <x:c r="N1613" t="str">
        <x:f>IF(OR(K1613="",A1612&lt;&gt;A1613,K1612=""),"",K1613-K1612)</x:f>
      </x:c>
      <x:c r="O1613" t="str">
        <x:v>Sem informação</x:v>
      </x:c>
      <x:c r="P1613"/>
      <x:c r="Q1613"/>
      <x:c r="R1613"/>
      <x:c r="S1613"/>
      <x:c r="T1613"/>
    </x:row>
    <x:row r="1614">
      <x:c r="A1614" t="str">
        <x:v>Pedro Gabriel</x:v>
      </x:c>
      <x:c r="B1614" t="n">
        <x:v>2029</x:v>
      </x:c>
      <x:c r="C1614" t="str">
        <x:v>T1</x:v>
      </x:c>
      <x:c r="D1614" t="n">
        <x:v>47208</x:v>
      </x:c>
      <x:c r="E1614" t="str">
        <x:v>Lateral-esquerdo</x:v>
      </x:c>
      <x:c r="F1614" t="str">
        <x:v>Grêmio FBPA</x:v>
      </x:c>
      <x:c r="G1614"/>
      <x:c r="H1614"/>
      <x:c r="I1614"/>
      <x:c r="J1614"/>
      <x:c r="K1614" t="str">
        <x:f>IF(COUNT(G1614,I1614)=0,"",AVERAGE(G1614,I1614))</x:f>
      </x:c>
      <x:c r="L1614" t="str">
        <x:f>IF(COUNT(H1614,J1614)=0,"",AVERAGE(H1614,J1614))</x:f>
      </x:c>
      <x:c r="M1614" t="str">
        <x:f>IF(OR(K1614="",L1614=""),"",L1614-K1614)</x:f>
      </x:c>
      <x:c r="N1614" t="str">
        <x:f>IF(OR(K1614="",A1613&lt;&gt;A1614,K1613=""),"",K1614-K1613)</x:f>
      </x:c>
      <x:c r="O1614" t="str">
        <x:v>Sem informação</x:v>
      </x:c>
      <x:c r="P1614"/>
      <x:c r="Q1614"/>
      <x:c r="R1614"/>
      <x:c r="S1614"/>
      <x:c r="T1614"/>
    </x:row>
    <x:row r="1615">
      <x:c r="A1615" t="str">
        <x:v>Pedro Gabriel</x:v>
      </x:c>
      <x:c r="B1615" t="n">
        <x:v>2029</x:v>
      </x:c>
      <x:c r="C1615" t="str">
        <x:v>T2</x:v>
      </x:c>
      <x:c r="D1615" t="n">
        <x:v>47299</x:v>
      </x:c>
      <x:c r="E1615" t="str">
        <x:v>Lateral-esquerdo</x:v>
      </x:c>
      <x:c r="F1615" t="str">
        <x:v>Grêmio FBPA</x:v>
      </x:c>
      <x:c r="G1615"/>
      <x:c r="H1615"/>
      <x:c r="I1615"/>
      <x:c r="J1615"/>
      <x:c r="K1615" t="str">
        <x:f>IF(COUNT(G1615,I1615)=0,"",AVERAGE(G1615,I1615))</x:f>
      </x:c>
      <x:c r="L1615" t="str">
        <x:f>IF(COUNT(H1615,J1615)=0,"",AVERAGE(H1615,J1615))</x:f>
      </x:c>
      <x:c r="M1615" t="str">
        <x:f>IF(OR(K1615="",L1615=""),"",L1615-K1615)</x:f>
      </x:c>
      <x:c r="N1615" t="str">
        <x:f>IF(OR(K1615="",A1614&lt;&gt;A1615,K1614=""),"",K1615-K1614)</x:f>
      </x:c>
      <x:c r="O1615" t="str">
        <x:v>Sem informação</x:v>
      </x:c>
      <x:c r="P1615"/>
      <x:c r="Q1615"/>
      <x:c r="R1615"/>
      <x:c r="S1615"/>
      <x:c r="T1615"/>
    </x:row>
    <x:row r="1616">
      <x:c r="A1616" t="str">
        <x:v>Pedro Gabriel</x:v>
      </x:c>
      <x:c r="B1616" t="n">
        <x:v>2029</x:v>
      </x:c>
      <x:c r="C1616" t="str">
        <x:v>T3</x:v>
      </x:c>
      <x:c r="D1616" t="n">
        <x:v>47391</x:v>
      </x:c>
      <x:c r="E1616" t="str">
        <x:v>Lateral-esquerdo</x:v>
      </x:c>
      <x:c r="F1616" t="str">
        <x:v>Grêmio FBPA</x:v>
      </x:c>
      <x:c r="G1616"/>
      <x:c r="H1616"/>
      <x:c r="I1616"/>
      <x:c r="J1616"/>
      <x:c r="K1616" t="str">
        <x:f>IF(COUNT(G1616,I1616)=0,"",AVERAGE(G1616,I1616))</x:f>
      </x:c>
      <x:c r="L1616" t="str">
        <x:f>IF(COUNT(H1616,J1616)=0,"",AVERAGE(H1616,J1616))</x:f>
      </x:c>
      <x:c r="M1616" t="str">
        <x:f>IF(OR(K1616="",L1616=""),"",L1616-K1616)</x:f>
      </x:c>
      <x:c r="N1616" t="str">
        <x:f>IF(OR(K1616="",A1615&lt;&gt;A1616,K1615=""),"",K1616-K1615)</x:f>
      </x:c>
      <x:c r="O1616" t="str">
        <x:v>Sem informação</x:v>
      </x:c>
      <x:c r="P1616"/>
      <x:c r="Q1616"/>
      <x:c r="R1616"/>
      <x:c r="S1616"/>
      <x:c r="T1616"/>
    </x:row>
    <x:row r="1617">
      <x:c r="A1617" t="str">
        <x:v>Pedro Gabriel</x:v>
      </x:c>
      <x:c r="B1617" t="n">
        <x:v>2029</x:v>
      </x:c>
      <x:c r="C1617" t="str">
        <x:v>T4</x:v>
      </x:c>
      <x:c r="D1617" t="n">
        <x:v>47483</x:v>
      </x:c>
      <x:c r="E1617" t="str">
        <x:v>Lateral-esquerdo</x:v>
      </x:c>
      <x:c r="F1617" t="str">
        <x:v>Grêmio FBPA</x:v>
      </x:c>
      <x:c r="G1617"/>
      <x:c r="H1617"/>
      <x:c r="I1617"/>
      <x:c r="J1617"/>
      <x:c r="K1617" t="str">
        <x:f>IF(COUNT(G1617,I1617)=0,"",AVERAGE(G1617,I1617))</x:f>
      </x:c>
      <x:c r="L1617" t="str">
        <x:f>IF(COUNT(H1617,J1617)=0,"",AVERAGE(H1617,J1617))</x:f>
      </x:c>
      <x:c r="M1617" t="str">
        <x:f>IF(OR(K1617="",L1617=""),"",L1617-K1617)</x:f>
      </x:c>
      <x:c r="N1617" t="str">
        <x:f>IF(OR(K1617="",A1616&lt;&gt;A1617,K1616=""),"",K1617-K1616)</x:f>
      </x:c>
      <x:c r="O1617" t="str">
        <x:v>Sem informação</x:v>
      </x:c>
      <x:c r="P1617"/>
      <x:c r="Q1617"/>
      <x:c r="R1617"/>
      <x:c r="S1617"/>
      <x:c r="T1617"/>
    </x:row>
    <x:row r="1618">
      <x:c r="A1618" t="str">
        <x:v>Pedro Gabriel</x:v>
      </x:c>
      <x:c r="B1618" t="n">
        <x:v>2030</x:v>
      </x:c>
      <x:c r="C1618" t="str">
        <x:v>T1</x:v>
      </x:c>
      <x:c r="D1618" t="n">
        <x:v>47573</x:v>
      </x:c>
      <x:c r="E1618" t="str">
        <x:v>Lateral-esquerdo</x:v>
      </x:c>
      <x:c r="F1618" t="str">
        <x:v>Grêmio FBPA</x:v>
      </x:c>
      <x:c r="G1618"/>
      <x:c r="H1618"/>
      <x:c r="I1618"/>
      <x:c r="J1618"/>
      <x:c r="K1618" t="str">
        <x:f>IF(COUNT(G1618,I1618)=0,"",AVERAGE(G1618,I1618))</x:f>
      </x:c>
      <x:c r="L1618" t="str">
        <x:f>IF(COUNT(H1618,J1618)=0,"",AVERAGE(H1618,J1618))</x:f>
      </x:c>
      <x:c r="M1618" t="str">
        <x:f>IF(OR(K1618="",L1618=""),"",L1618-K1618)</x:f>
      </x:c>
      <x:c r="N1618" t="str">
        <x:f>IF(OR(K1618="",A1617&lt;&gt;A1618,K1617=""),"",K1618-K1617)</x:f>
      </x:c>
      <x:c r="O1618" t="str">
        <x:v>Sem informação</x:v>
      </x:c>
      <x:c r="P1618"/>
      <x:c r="Q1618"/>
      <x:c r="R1618"/>
      <x:c r="S1618"/>
      <x:c r="T1618"/>
    </x:row>
    <x:row r="1619">
      <x:c r="A1619" t="str">
        <x:v>Pedro Gabriel</x:v>
      </x:c>
      <x:c r="B1619" t="n">
        <x:v>2030</x:v>
      </x:c>
      <x:c r="C1619" t="str">
        <x:v>T2</x:v>
      </x:c>
      <x:c r="D1619" t="n">
        <x:v>47664</x:v>
      </x:c>
      <x:c r="E1619" t="str">
        <x:v>Lateral-esquerdo</x:v>
      </x:c>
      <x:c r="F1619" t="str">
        <x:v>Grêmio FBPA</x:v>
      </x:c>
      <x:c r="G1619"/>
      <x:c r="H1619"/>
      <x:c r="I1619"/>
      <x:c r="J1619"/>
      <x:c r="K1619" t="str">
        <x:f>IF(COUNT(G1619,I1619)=0,"",AVERAGE(G1619,I1619))</x:f>
      </x:c>
      <x:c r="L1619" t="str">
        <x:f>IF(COUNT(H1619,J1619)=0,"",AVERAGE(H1619,J1619))</x:f>
      </x:c>
      <x:c r="M1619" t="str">
        <x:f>IF(OR(K1619="",L1619=""),"",L1619-K1619)</x:f>
      </x:c>
      <x:c r="N1619" t="str">
        <x:f>IF(OR(K1619="",A1618&lt;&gt;A1619,K1618=""),"",K1619-K1618)</x:f>
      </x:c>
      <x:c r="O1619" t="str">
        <x:v>Sem informação</x:v>
      </x:c>
      <x:c r="P1619"/>
      <x:c r="Q1619"/>
      <x:c r="R1619"/>
      <x:c r="S1619"/>
      <x:c r="T1619"/>
    </x:row>
    <x:row r="1620">
      <x:c r="A1620" t="str">
        <x:v>Pedro Gabriel</x:v>
      </x:c>
      <x:c r="B1620" t="n">
        <x:v>2030</x:v>
      </x:c>
      <x:c r="C1620" t="str">
        <x:v>T3</x:v>
      </x:c>
      <x:c r="D1620" t="n">
        <x:v>47756</x:v>
      </x:c>
      <x:c r="E1620" t="str">
        <x:v>Lateral-esquerdo</x:v>
      </x:c>
      <x:c r="F1620" t="str">
        <x:v>Grêmio FBPA</x:v>
      </x:c>
      <x:c r="G1620"/>
      <x:c r="H1620"/>
      <x:c r="I1620"/>
      <x:c r="J1620"/>
      <x:c r="K1620" t="str">
        <x:f>IF(COUNT(G1620,I1620)=0,"",AVERAGE(G1620,I1620))</x:f>
      </x:c>
      <x:c r="L1620" t="str">
        <x:f>IF(COUNT(H1620,J1620)=0,"",AVERAGE(H1620,J1620))</x:f>
      </x:c>
      <x:c r="M1620" t="str">
        <x:f>IF(OR(K1620="",L1620=""),"",L1620-K1620)</x:f>
      </x:c>
      <x:c r="N1620" t="str">
        <x:f>IF(OR(K1620="",A1619&lt;&gt;A1620,K1619=""),"",K1620-K1619)</x:f>
      </x:c>
      <x:c r="O1620" t="str">
        <x:v>Sem informação</x:v>
      </x:c>
      <x:c r="P1620"/>
      <x:c r="Q1620"/>
      <x:c r="R1620"/>
      <x:c r="S1620"/>
      <x:c r="T1620"/>
    </x:row>
    <x:row r="1621">
      <x:c r="A1621" t="str">
        <x:v>Pedro Gabriel</x:v>
      </x:c>
      <x:c r="B1621" t="n">
        <x:v>2030</x:v>
      </x:c>
      <x:c r="C1621" t="str">
        <x:v>T4</x:v>
      </x:c>
      <x:c r="D1621" t="n">
        <x:v>47848</x:v>
      </x:c>
      <x:c r="E1621" t="str">
        <x:v>Lateral-esquerdo</x:v>
      </x:c>
      <x:c r="F1621" t="str">
        <x:v>Grêmio FBPA</x:v>
      </x:c>
      <x:c r="G1621"/>
      <x:c r="H1621"/>
      <x:c r="I1621"/>
      <x:c r="J1621"/>
      <x:c r="K1621" t="str">
        <x:f>IF(COUNT(G1621,I1621)=0,"",AVERAGE(G1621,I1621))</x:f>
      </x:c>
      <x:c r="L1621" t="str">
        <x:f>IF(COUNT(H1621,J1621)=0,"",AVERAGE(H1621,J1621))</x:f>
      </x:c>
      <x:c r="M1621" t="str">
        <x:f>IF(OR(K1621="",L1621=""),"",L1621-K1621)</x:f>
      </x:c>
      <x:c r="N1621" t="str">
        <x:f>IF(OR(K1621="",A1620&lt;&gt;A1621,K1620=""),"",K1621-K1620)</x:f>
      </x:c>
      <x:c r="O1621" t="str">
        <x:v>Sem informação</x:v>
      </x:c>
      <x:c r="P1621"/>
      <x:c r="Q1621"/>
      <x:c r="R1621"/>
      <x:c r="S1621"/>
      <x:c r="T1621"/>
    </x:row>
    <x:row r="1622">
      <x:c r="A1622" t="str">
        <x:v>Arthur Dias</x:v>
      </x:c>
      <x:c r="B1622" t="n">
        <x:v>2026</x:v>
      </x:c>
      <x:c r="C1622" t="str">
        <x:v>T1</x:v>
      </x:c>
      <x:c r="D1622" t="n">
        <x:v>46112</x:v>
      </x:c>
      <x:c r="E1622" t="str">
        <x:v>Zagueiro</x:v>
      </x:c>
      <x:c r="F1622" t="str">
        <x:v>Club Athletico Paranaense</x:v>
      </x:c>
      <x:c r="G1622"/>
      <x:c r="H1622"/>
      <x:c r="I1622"/>
      <x:c r="J1622"/>
      <x:c r="K1622" t="str">
        <x:f>IF(COUNT(G1622,I1622)=0,"",AVERAGE(G1622,I1622))</x:f>
      </x:c>
      <x:c r="L1622" t="str">
        <x:f>IF(COUNT(H1622,J1622)=0,"",AVERAGE(H1622,J1622))</x:f>
      </x:c>
      <x:c r="M1622" t="str">
        <x:f>IF(OR(K1622="",L1622=""),"",L1622-K1622)</x:f>
      </x:c>
      <x:c r="N1622" t="str">
        <x:f>IF(OR(K1622="",A1621&lt;&gt;A1622,K1621=""),"",K1622-K1621)</x:f>
      </x:c>
      <x:c r="O1622" t="str">
        <x:v>Sem informação</x:v>
      </x:c>
      <x:c r="P1622"/>
      <x:c r="Q1622"/>
      <x:c r="R1622"/>
      <x:c r="S1622"/>
      <x:c r="T1622"/>
    </x:row>
    <x:row r="1623">
      <x:c r="A1623" t="str">
        <x:v>Arthur Dias</x:v>
      </x:c>
      <x:c r="B1623" t="n">
        <x:v>2026</x:v>
      </x:c>
      <x:c r="C1623" t="str">
        <x:v>T2</x:v>
      </x:c>
      <x:c r="D1623" t="n">
        <x:v>46203</x:v>
      </x:c>
      <x:c r="E1623" t="str">
        <x:v>Zagueiro</x:v>
      </x:c>
      <x:c r="F1623" t="str">
        <x:v>Club Athletico Paranaense</x:v>
      </x:c>
      <x:c r="G1623"/>
      <x:c r="H1623"/>
      <x:c r="I1623"/>
      <x:c r="J1623"/>
      <x:c r="K1623" t="str">
        <x:f>IF(COUNT(G1623,I1623)=0,"",AVERAGE(G1623,I1623))</x:f>
      </x:c>
      <x:c r="L1623" t="str">
        <x:f>IF(COUNT(H1623,J1623)=0,"",AVERAGE(H1623,J1623))</x:f>
      </x:c>
      <x:c r="M1623" t="str">
        <x:f>IF(OR(K1623="",L1623=""),"",L1623-K1623)</x:f>
      </x:c>
      <x:c r="N1623" t="str">
        <x:f>IF(OR(K1623="",A1622&lt;&gt;A1623,K1622=""),"",K1623-K1622)</x:f>
      </x:c>
      <x:c r="O1623" t="str">
        <x:v>Sem informação</x:v>
      </x:c>
      <x:c r="P1623"/>
      <x:c r="Q1623"/>
      <x:c r="R1623"/>
      <x:c r="S1623"/>
      <x:c r="T1623"/>
    </x:row>
    <x:row r="1624">
      <x:c r="A1624" t="str">
        <x:v>Arthur Dias</x:v>
      </x:c>
      <x:c r="B1624" t="n">
        <x:v>2026</x:v>
      </x:c>
      <x:c r="C1624" t="str">
        <x:v>T3</x:v>
      </x:c>
      <x:c r="D1624" t="n">
        <x:v>46295</x:v>
      </x:c>
      <x:c r="E1624" t="str">
        <x:v>Zagueiro</x:v>
      </x:c>
      <x:c r="F1624" t="str">
        <x:v>Club Athletico Paranaense</x:v>
      </x:c>
      <x:c r="G1624"/>
      <x:c r="H1624"/>
      <x:c r="I1624"/>
      <x:c r="J1624"/>
      <x:c r="K1624" t="str">
        <x:f>IF(COUNT(G1624,I1624)=0,"",AVERAGE(G1624,I1624))</x:f>
      </x:c>
      <x:c r="L1624" t="str">
        <x:f>IF(COUNT(H1624,J1624)=0,"",AVERAGE(H1624,J1624))</x:f>
      </x:c>
      <x:c r="M1624" t="str">
        <x:f>IF(OR(K1624="",L1624=""),"",L1624-K1624)</x:f>
      </x:c>
      <x:c r="N1624" t="str">
        <x:f>IF(OR(K1624="",A1623&lt;&gt;A1624,K1623=""),"",K1624-K1623)</x:f>
      </x:c>
      <x:c r="O1624" t="str">
        <x:v>Sem informação</x:v>
      </x:c>
      <x:c r="P1624"/>
      <x:c r="Q1624"/>
      <x:c r="R1624"/>
      <x:c r="S1624"/>
      <x:c r="T1624"/>
    </x:row>
    <x:row r="1625">
      <x:c r="A1625" t="str">
        <x:v>Arthur Dias</x:v>
      </x:c>
      <x:c r="B1625" t="n">
        <x:v>2026</x:v>
      </x:c>
      <x:c r="C1625" t="str">
        <x:v>T4</x:v>
      </x:c>
      <x:c r="D1625" t="n">
        <x:v>46387</x:v>
      </x:c>
      <x:c r="E1625" t="str">
        <x:v>Zagueiro</x:v>
      </x:c>
      <x:c r="F1625" t="str">
        <x:v>Club Athletico Paranaense</x:v>
      </x:c>
      <x:c r="G1625"/>
      <x:c r="H1625"/>
      <x:c r="I1625"/>
      <x:c r="J1625"/>
      <x:c r="K1625" t="str">
        <x:f>IF(COUNT(G1625,I1625)=0,"",AVERAGE(G1625,I1625))</x:f>
      </x:c>
      <x:c r="L1625" t="str">
        <x:f>IF(COUNT(H1625,J1625)=0,"",AVERAGE(H1625,J1625))</x:f>
      </x:c>
      <x:c r="M1625" t="str">
        <x:f>IF(OR(K1625="",L1625=""),"",L1625-K1625)</x:f>
      </x:c>
      <x:c r="N1625" t="str">
        <x:f>IF(OR(K1625="",A1624&lt;&gt;A1625,K1624=""),"",K1625-K1624)</x:f>
      </x:c>
      <x:c r="O1625" t="str">
        <x:v>Sem informação</x:v>
      </x:c>
      <x:c r="P1625"/>
      <x:c r="Q1625"/>
      <x:c r="R1625"/>
      <x:c r="S1625"/>
      <x:c r="T1625"/>
    </x:row>
    <x:row r="1626">
      <x:c r="A1626" t="str">
        <x:v>Arthur Dias</x:v>
      </x:c>
      <x:c r="B1626" t="n">
        <x:v>2027</x:v>
      </x:c>
      <x:c r="C1626" t="str">
        <x:v>T1</x:v>
      </x:c>
      <x:c r="D1626" t="n">
        <x:v>46477</x:v>
      </x:c>
      <x:c r="E1626" t="str">
        <x:v>Zagueiro</x:v>
      </x:c>
      <x:c r="F1626" t="str">
        <x:v>Club Athletico Paranaense</x:v>
      </x:c>
      <x:c r="G1626"/>
      <x:c r="H1626"/>
      <x:c r="I1626"/>
      <x:c r="J1626"/>
      <x:c r="K1626" t="str">
        <x:f>IF(COUNT(G1626,I1626)=0,"",AVERAGE(G1626,I1626))</x:f>
      </x:c>
      <x:c r="L1626" t="str">
        <x:f>IF(COUNT(H1626,J1626)=0,"",AVERAGE(H1626,J1626))</x:f>
      </x:c>
      <x:c r="M1626" t="str">
        <x:f>IF(OR(K1626="",L1626=""),"",L1626-K1626)</x:f>
      </x:c>
      <x:c r="N1626" t="str">
        <x:f>IF(OR(K1626="",A1625&lt;&gt;A1626,K1625=""),"",K1626-K1625)</x:f>
      </x:c>
      <x:c r="O1626" t="str">
        <x:v>Sem informação</x:v>
      </x:c>
      <x:c r="P1626"/>
      <x:c r="Q1626"/>
      <x:c r="R1626"/>
      <x:c r="S1626"/>
      <x:c r="T1626"/>
    </x:row>
    <x:row r="1627">
      <x:c r="A1627" t="str">
        <x:v>Arthur Dias</x:v>
      </x:c>
      <x:c r="B1627" t="n">
        <x:v>2027</x:v>
      </x:c>
      <x:c r="C1627" t="str">
        <x:v>T2</x:v>
      </x:c>
      <x:c r="D1627" t="n">
        <x:v>46568</x:v>
      </x:c>
      <x:c r="E1627" t="str">
        <x:v>Zagueiro</x:v>
      </x:c>
      <x:c r="F1627" t="str">
        <x:v>Club Athletico Paranaense</x:v>
      </x:c>
      <x:c r="G1627"/>
      <x:c r="H1627"/>
      <x:c r="I1627"/>
      <x:c r="J1627"/>
      <x:c r="K1627" t="str">
        <x:f>IF(COUNT(G1627,I1627)=0,"",AVERAGE(G1627,I1627))</x:f>
      </x:c>
      <x:c r="L1627" t="str">
        <x:f>IF(COUNT(H1627,J1627)=0,"",AVERAGE(H1627,J1627))</x:f>
      </x:c>
      <x:c r="M1627" t="str">
        <x:f>IF(OR(K1627="",L1627=""),"",L1627-K1627)</x:f>
      </x:c>
      <x:c r="N1627" t="str">
        <x:f>IF(OR(K1627="",A1626&lt;&gt;A1627,K1626=""),"",K1627-K1626)</x:f>
      </x:c>
      <x:c r="O1627" t="str">
        <x:v>Sem informação</x:v>
      </x:c>
      <x:c r="P1627"/>
      <x:c r="Q1627"/>
      <x:c r="R1627"/>
      <x:c r="S1627"/>
      <x:c r="T1627"/>
    </x:row>
    <x:row r="1628">
      <x:c r="A1628" t="str">
        <x:v>Arthur Dias</x:v>
      </x:c>
      <x:c r="B1628" t="n">
        <x:v>2027</x:v>
      </x:c>
      <x:c r="C1628" t="str">
        <x:v>T3</x:v>
      </x:c>
      <x:c r="D1628" t="n">
        <x:v>46660</x:v>
      </x:c>
      <x:c r="E1628" t="str">
        <x:v>Zagueiro</x:v>
      </x:c>
      <x:c r="F1628" t="str">
        <x:v>Club Athletico Paranaense</x:v>
      </x:c>
      <x:c r="G1628"/>
      <x:c r="H1628"/>
      <x:c r="I1628"/>
      <x:c r="J1628"/>
      <x:c r="K1628" t="str">
        <x:f>IF(COUNT(G1628,I1628)=0,"",AVERAGE(G1628,I1628))</x:f>
      </x:c>
      <x:c r="L1628" t="str">
        <x:f>IF(COUNT(H1628,J1628)=0,"",AVERAGE(H1628,J1628))</x:f>
      </x:c>
      <x:c r="M1628" t="str">
        <x:f>IF(OR(K1628="",L1628=""),"",L1628-K1628)</x:f>
      </x:c>
      <x:c r="N1628" t="str">
        <x:f>IF(OR(K1628="",A1627&lt;&gt;A1628,K1627=""),"",K1628-K1627)</x:f>
      </x:c>
      <x:c r="O1628" t="str">
        <x:v>Sem informação</x:v>
      </x:c>
      <x:c r="P1628"/>
      <x:c r="Q1628"/>
      <x:c r="R1628"/>
      <x:c r="S1628"/>
      <x:c r="T1628"/>
    </x:row>
    <x:row r="1629">
      <x:c r="A1629" t="str">
        <x:v>Arthur Dias</x:v>
      </x:c>
      <x:c r="B1629" t="n">
        <x:v>2027</x:v>
      </x:c>
      <x:c r="C1629" t="str">
        <x:v>T4</x:v>
      </x:c>
      <x:c r="D1629" t="n">
        <x:v>46752</x:v>
      </x:c>
      <x:c r="E1629" t="str">
        <x:v>Zagueiro</x:v>
      </x:c>
      <x:c r="F1629" t="str">
        <x:v>Club Athletico Paranaense</x:v>
      </x:c>
      <x:c r="G1629"/>
      <x:c r="H1629"/>
      <x:c r="I1629"/>
      <x:c r="J1629"/>
      <x:c r="K1629" t="str">
        <x:f>IF(COUNT(G1629,I1629)=0,"",AVERAGE(G1629,I1629))</x:f>
      </x:c>
      <x:c r="L1629" t="str">
        <x:f>IF(COUNT(H1629,J1629)=0,"",AVERAGE(H1629,J1629))</x:f>
      </x:c>
      <x:c r="M1629" t="str">
        <x:f>IF(OR(K1629="",L1629=""),"",L1629-K1629)</x:f>
      </x:c>
      <x:c r="N1629" t="str">
        <x:f>IF(OR(K1629="",A1628&lt;&gt;A1629,K1628=""),"",K1629-K1628)</x:f>
      </x:c>
      <x:c r="O1629" t="str">
        <x:v>Sem informação</x:v>
      </x:c>
      <x:c r="P1629"/>
      <x:c r="Q1629"/>
      <x:c r="R1629"/>
      <x:c r="S1629"/>
      <x:c r="T1629"/>
    </x:row>
    <x:row r="1630">
      <x:c r="A1630" t="str">
        <x:v>Arthur Dias</x:v>
      </x:c>
      <x:c r="B1630" t="n">
        <x:v>2028</x:v>
      </x:c>
      <x:c r="C1630" t="str">
        <x:v>T1</x:v>
      </x:c>
      <x:c r="D1630" t="n">
        <x:v>46843</x:v>
      </x:c>
      <x:c r="E1630" t="str">
        <x:v>Zagueiro</x:v>
      </x:c>
      <x:c r="F1630" t="str">
        <x:v>Club Athletico Paranaense</x:v>
      </x:c>
      <x:c r="G1630"/>
      <x:c r="H1630"/>
      <x:c r="I1630"/>
      <x:c r="J1630"/>
      <x:c r="K1630" t="str">
        <x:f>IF(COUNT(G1630,I1630)=0,"",AVERAGE(G1630,I1630))</x:f>
      </x:c>
      <x:c r="L1630" t="str">
        <x:f>IF(COUNT(H1630,J1630)=0,"",AVERAGE(H1630,J1630))</x:f>
      </x:c>
      <x:c r="M1630" t="str">
        <x:f>IF(OR(K1630="",L1630=""),"",L1630-K1630)</x:f>
      </x:c>
      <x:c r="N1630" t="str">
        <x:f>IF(OR(K1630="",A1629&lt;&gt;A1630,K1629=""),"",K1630-K1629)</x:f>
      </x:c>
      <x:c r="O1630" t="str">
        <x:v>Sem informação</x:v>
      </x:c>
      <x:c r="P1630"/>
      <x:c r="Q1630"/>
      <x:c r="R1630"/>
      <x:c r="S1630"/>
      <x:c r="T1630"/>
    </x:row>
    <x:row r="1631">
      <x:c r="A1631" t="str">
        <x:v>Arthur Dias</x:v>
      </x:c>
      <x:c r="B1631" t="n">
        <x:v>2028</x:v>
      </x:c>
      <x:c r="C1631" t="str">
        <x:v>T2</x:v>
      </x:c>
      <x:c r="D1631" t="n">
        <x:v>46934</x:v>
      </x:c>
      <x:c r="E1631" t="str">
        <x:v>Zagueiro</x:v>
      </x:c>
      <x:c r="F1631" t="str">
        <x:v>Club Athletico Paranaense</x:v>
      </x:c>
      <x:c r="G1631"/>
      <x:c r="H1631"/>
      <x:c r="I1631"/>
      <x:c r="J1631"/>
      <x:c r="K1631" t="str">
        <x:f>IF(COUNT(G1631,I1631)=0,"",AVERAGE(G1631,I1631))</x:f>
      </x:c>
      <x:c r="L1631" t="str">
        <x:f>IF(COUNT(H1631,J1631)=0,"",AVERAGE(H1631,J1631))</x:f>
      </x:c>
      <x:c r="M1631" t="str">
        <x:f>IF(OR(K1631="",L1631=""),"",L1631-K1631)</x:f>
      </x:c>
      <x:c r="N1631" t="str">
        <x:f>IF(OR(K1631="",A1630&lt;&gt;A1631,K1630=""),"",K1631-K1630)</x:f>
      </x:c>
      <x:c r="O1631" t="str">
        <x:v>Sem informação</x:v>
      </x:c>
      <x:c r="P1631"/>
      <x:c r="Q1631"/>
      <x:c r="R1631"/>
      <x:c r="S1631"/>
      <x:c r="T1631"/>
    </x:row>
    <x:row r="1632">
      <x:c r="A1632" t="str">
        <x:v>Arthur Dias</x:v>
      </x:c>
      <x:c r="B1632" t="n">
        <x:v>2028</x:v>
      </x:c>
      <x:c r="C1632" t="str">
        <x:v>T3</x:v>
      </x:c>
      <x:c r="D1632" t="n">
        <x:v>47026</x:v>
      </x:c>
      <x:c r="E1632" t="str">
        <x:v>Zagueiro</x:v>
      </x:c>
      <x:c r="F1632" t="str">
        <x:v>Club Athletico Paranaense</x:v>
      </x:c>
      <x:c r="G1632"/>
      <x:c r="H1632"/>
      <x:c r="I1632"/>
      <x:c r="J1632"/>
      <x:c r="K1632" t="str">
        <x:f>IF(COUNT(G1632,I1632)=0,"",AVERAGE(G1632,I1632))</x:f>
      </x:c>
      <x:c r="L1632" t="str">
        <x:f>IF(COUNT(H1632,J1632)=0,"",AVERAGE(H1632,J1632))</x:f>
      </x:c>
      <x:c r="M1632" t="str">
        <x:f>IF(OR(K1632="",L1632=""),"",L1632-K1632)</x:f>
      </x:c>
      <x:c r="N1632" t="str">
        <x:f>IF(OR(K1632="",A1631&lt;&gt;A1632,K1631=""),"",K1632-K1631)</x:f>
      </x:c>
      <x:c r="O1632" t="str">
        <x:v>Sem informação</x:v>
      </x:c>
      <x:c r="P1632"/>
      <x:c r="Q1632"/>
      <x:c r="R1632"/>
      <x:c r="S1632"/>
      <x:c r="T1632"/>
    </x:row>
    <x:row r="1633">
      <x:c r="A1633" t="str">
        <x:v>Arthur Dias</x:v>
      </x:c>
      <x:c r="B1633" t="n">
        <x:v>2028</x:v>
      </x:c>
      <x:c r="C1633" t="str">
        <x:v>T4</x:v>
      </x:c>
      <x:c r="D1633" t="n">
        <x:v>47118</x:v>
      </x:c>
      <x:c r="E1633" t="str">
        <x:v>Zagueiro</x:v>
      </x:c>
      <x:c r="F1633" t="str">
        <x:v>Club Athletico Paranaense</x:v>
      </x:c>
      <x:c r="G1633"/>
      <x:c r="H1633"/>
      <x:c r="I1633"/>
      <x:c r="J1633"/>
      <x:c r="K1633" t="str">
        <x:f>IF(COUNT(G1633,I1633)=0,"",AVERAGE(G1633,I1633))</x:f>
      </x:c>
      <x:c r="L1633" t="str">
        <x:f>IF(COUNT(H1633,J1633)=0,"",AVERAGE(H1633,J1633))</x:f>
      </x:c>
      <x:c r="M1633" t="str">
        <x:f>IF(OR(K1633="",L1633=""),"",L1633-K1633)</x:f>
      </x:c>
      <x:c r="N1633" t="str">
        <x:f>IF(OR(K1633="",A1632&lt;&gt;A1633,K1632=""),"",K1633-K1632)</x:f>
      </x:c>
      <x:c r="O1633" t="str">
        <x:v>Sem informação</x:v>
      </x:c>
      <x:c r="P1633"/>
      <x:c r="Q1633"/>
      <x:c r="R1633"/>
      <x:c r="S1633"/>
      <x:c r="T1633"/>
    </x:row>
    <x:row r="1634">
      <x:c r="A1634" t="str">
        <x:v>Arthur Dias</x:v>
      </x:c>
      <x:c r="B1634" t="n">
        <x:v>2029</x:v>
      </x:c>
      <x:c r="C1634" t="str">
        <x:v>T1</x:v>
      </x:c>
      <x:c r="D1634" t="n">
        <x:v>47208</x:v>
      </x:c>
      <x:c r="E1634" t="str">
        <x:v>Zagueiro</x:v>
      </x:c>
      <x:c r="F1634" t="str">
        <x:v>Club Athletico Paranaense</x:v>
      </x:c>
      <x:c r="G1634"/>
      <x:c r="H1634"/>
      <x:c r="I1634"/>
      <x:c r="J1634"/>
      <x:c r="K1634" t="str">
        <x:f>IF(COUNT(G1634,I1634)=0,"",AVERAGE(G1634,I1634))</x:f>
      </x:c>
      <x:c r="L1634" t="str">
        <x:f>IF(COUNT(H1634,J1634)=0,"",AVERAGE(H1634,J1634))</x:f>
      </x:c>
      <x:c r="M1634" t="str">
        <x:f>IF(OR(K1634="",L1634=""),"",L1634-K1634)</x:f>
      </x:c>
      <x:c r="N1634" t="str">
        <x:f>IF(OR(K1634="",A1633&lt;&gt;A1634,K1633=""),"",K1634-K1633)</x:f>
      </x:c>
      <x:c r="O1634" t="str">
        <x:v>Sem informação</x:v>
      </x:c>
      <x:c r="P1634"/>
      <x:c r="Q1634"/>
      <x:c r="R1634"/>
      <x:c r="S1634"/>
      <x:c r="T1634"/>
    </x:row>
    <x:row r="1635">
      <x:c r="A1635" t="str">
        <x:v>Arthur Dias</x:v>
      </x:c>
      <x:c r="B1635" t="n">
        <x:v>2029</x:v>
      </x:c>
      <x:c r="C1635" t="str">
        <x:v>T2</x:v>
      </x:c>
      <x:c r="D1635" t="n">
        <x:v>47299</x:v>
      </x:c>
      <x:c r="E1635" t="str">
        <x:v>Zagueiro</x:v>
      </x:c>
      <x:c r="F1635" t="str">
        <x:v>Club Athletico Paranaense</x:v>
      </x:c>
      <x:c r="G1635"/>
      <x:c r="H1635"/>
      <x:c r="I1635"/>
      <x:c r="J1635"/>
      <x:c r="K1635" t="str">
        <x:f>IF(COUNT(G1635,I1635)=0,"",AVERAGE(G1635,I1635))</x:f>
      </x:c>
      <x:c r="L1635" t="str">
        <x:f>IF(COUNT(H1635,J1635)=0,"",AVERAGE(H1635,J1635))</x:f>
      </x:c>
      <x:c r="M1635" t="str">
        <x:f>IF(OR(K1635="",L1635=""),"",L1635-K1635)</x:f>
      </x:c>
      <x:c r="N1635" t="str">
        <x:f>IF(OR(K1635="",A1634&lt;&gt;A1635,K1634=""),"",K1635-K1634)</x:f>
      </x:c>
      <x:c r="O1635" t="str">
        <x:v>Sem informação</x:v>
      </x:c>
      <x:c r="P1635"/>
      <x:c r="Q1635"/>
      <x:c r="R1635"/>
      <x:c r="S1635"/>
      <x:c r="T1635"/>
    </x:row>
    <x:row r="1636">
      <x:c r="A1636" t="str">
        <x:v>Arthur Dias</x:v>
      </x:c>
      <x:c r="B1636" t="n">
        <x:v>2029</x:v>
      </x:c>
      <x:c r="C1636" t="str">
        <x:v>T3</x:v>
      </x:c>
      <x:c r="D1636" t="n">
        <x:v>47391</x:v>
      </x:c>
      <x:c r="E1636" t="str">
        <x:v>Zagueiro</x:v>
      </x:c>
      <x:c r="F1636" t="str">
        <x:v>Club Athletico Paranaense</x:v>
      </x:c>
      <x:c r="G1636"/>
      <x:c r="H1636"/>
      <x:c r="I1636"/>
      <x:c r="J1636"/>
      <x:c r="K1636" t="str">
        <x:f>IF(COUNT(G1636,I1636)=0,"",AVERAGE(G1636,I1636))</x:f>
      </x:c>
      <x:c r="L1636" t="str">
        <x:f>IF(COUNT(H1636,J1636)=0,"",AVERAGE(H1636,J1636))</x:f>
      </x:c>
      <x:c r="M1636" t="str">
        <x:f>IF(OR(K1636="",L1636=""),"",L1636-K1636)</x:f>
      </x:c>
      <x:c r="N1636" t="str">
        <x:f>IF(OR(K1636="",A1635&lt;&gt;A1636,K1635=""),"",K1636-K1635)</x:f>
      </x:c>
      <x:c r="O1636" t="str">
        <x:v>Sem informação</x:v>
      </x:c>
      <x:c r="P1636"/>
      <x:c r="Q1636"/>
      <x:c r="R1636"/>
      <x:c r="S1636"/>
      <x:c r="T1636"/>
    </x:row>
    <x:row r="1637">
      <x:c r="A1637" t="str">
        <x:v>Arthur Dias</x:v>
      </x:c>
      <x:c r="B1637" t="n">
        <x:v>2029</x:v>
      </x:c>
      <x:c r="C1637" t="str">
        <x:v>T4</x:v>
      </x:c>
      <x:c r="D1637" t="n">
        <x:v>47483</x:v>
      </x:c>
      <x:c r="E1637" t="str">
        <x:v>Zagueiro</x:v>
      </x:c>
      <x:c r="F1637" t="str">
        <x:v>Club Athletico Paranaense</x:v>
      </x:c>
      <x:c r="G1637"/>
      <x:c r="H1637"/>
      <x:c r="I1637"/>
      <x:c r="J1637"/>
      <x:c r="K1637" t="str">
        <x:f>IF(COUNT(G1637,I1637)=0,"",AVERAGE(G1637,I1637))</x:f>
      </x:c>
      <x:c r="L1637" t="str">
        <x:f>IF(COUNT(H1637,J1637)=0,"",AVERAGE(H1637,J1637))</x:f>
      </x:c>
      <x:c r="M1637" t="str">
        <x:f>IF(OR(K1637="",L1637=""),"",L1637-K1637)</x:f>
      </x:c>
      <x:c r="N1637" t="str">
        <x:f>IF(OR(K1637="",A1636&lt;&gt;A1637,K1636=""),"",K1637-K1636)</x:f>
      </x:c>
      <x:c r="O1637" t="str">
        <x:v>Sem informação</x:v>
      </x:c>
      <x:c r="P1637"/>
      <x:c r="Q1637"/>
      <x:c r="R1637"/>
      <x:c r="S1637"/>
      <x:c r="T1637"/>
    </x:row>
    <x:row r="1638">
      <x:c r="A1638" t="str">
        <x:v>Arthur Dias</x:v>
      </x:c>
      <x:c r="B1638" t="n">
        <x:v>2030</x:v>
      </x:c>
      <x:c r="C1638" t="str">
        <x:v>T1</x:v>
      </x:c>
      <x:c r="D1638" t="n">
        <x:v>47573</x:v>
      </x:c>
      <x:c r="E1638" t="str">
        <x:v>Zagueiro</x:v>
      </x:c>
      <x:c r="F1638" t="str">
        <x:v>Club Athletico Paranaense</x:v>
      </x:c>
      <x:c r="G1638"/>
      <x:c r="H1638"/>
      <x:c r="I1638"/>
      <x:c r="J1638"/>
      <x:c r="K1638" t="str">
        <x:f>IF(COUNT(G1638,I1638)=0,"",AVERAGE(G1638,I1638))</x:f>
      </x:c>
      <x:c r="L1638" t="str">
        <x:f>IF(COUNT(H1638,J1638)=0,"",AVERAGE(H1638,J1638))</x:f>
      </x:c>
      <x:c r="M1638" t="str">
        <x:f>IF(OR(K1638="",L1638=""),"",L1638-K1638)</x:f>
      </x:c>
      <x:c r="N1638" t="str">
        <x:f>IF(OR(K1638="",A1637&lt;&gt;A1638,K1637=""),"",K1638-K1637)</x:f>
      </x:c>
      <x:c r="O1638" t="str">
        <x:v>Sem informação</x:v>
      </x:c>
      <x:c r="P1638"/>
      <x:c r="Q1638"/>
      <x:c r="R1638"/>
      <x:c r="S1638"/>
      <x:c r="T1638"/>
    </x:row>
    <x:row r="1639">
      <x:c r="A1639" t="str">
        <x:v>Arthur Dias</x:v>
      </x:c>
      <x:c r="B1639" t="n">
        <x:v>2030</x:v>
      </x:c>
      <x:c r="C1639" t="str">
        <x:v>T2</x:v>
      </x:c>
      <x:c r="D1639" t="n">
        <x:v>47664</x:v>
      </x:c>
      <x:c r="E1639" t="str">
        <x:v>Zagueiro</x:v>
      </x:c>
      <x:c r="F1639" t="str">
        <x:v>Club Athletico Paranaense</x:v>
      </x:c>
      <x:c r="G1639"/>
      <x:c r="H1639"/>
      <x:c r="I1639"/>
      <x:c r="J1639"/>
      <x:c r="K1639" t="str">
        <x:f>IF(COUNT(G1639,I1639)=0,"",AVERAGE(G1639,I1639))</x:f>
      </x:c>
      <x:c r="L1639" t="str">
        <x:f>IF(COUNT(H1639,J1639)=0,"",AVERAGE(H1639,J1639))</x:f>
      </x:c>
      <x:c r="M1639" t="str">
        <x:f>IF(OR(K1639="",L1639=""),"",L1639-K1639)</x:f>
      </x:c>
      <x:c r="N1639" t="str">
        <x:f>IF(OR(K1639="",A1638&lt;&gt;A1639,K1638=""),"",K1639-K1638)</x:f>
      </x:c>
      <x:c r="O1639" t="str">
        <x:v>Sem informação</x:v>
      </x:c>
      <x:c r="P1639"/>
      <x:c r="Q1639"/>
      <x:c r="R1639"/>
      <x:c r="S1639"/>
      <x:c r="T1639"/>
    </x:row>
    <x:row r="1640">
      <x:c r="A1640" t="str">
        <x:v>Arthur Dias</x:v>
      </x:c>
      <x:c r="B1640" t="n">
        <x:v>2030</x:v>
      </x:c>
      <x:c r="C1640" t="str">
        <x:v>T3</x:v>
      </x:c>
      <x:c r="D1640" t="n">
        <x:v>47756</x:v>
      </x:c>
      <x:c r="E1640" t="str">
        <x:v>Zagueiro</x:v>
      </x:c>
      <x:c r="F1640" t="str">
        <x:v>Club Athletico Paranaense</x:v>
      </x:c>
      <x:c r="G1640"/>
      <x:c r="H1640"/>
      <x:c r="I1640"/>
      <x:c r="J1640"/>
      <x:c r="K1640" t="str">
        <x:f>IF(COUNT(G1640,I1640)=0,"",AVERAGE(G1640,I1640))</x:f>
      </x:c>
      <x:c r="L1640" t="str">
        <x:f>IF(COUNT(H1640,J1640)=0,"",AVERAGE(H1640,J1640))</x:f>
      </x:c>
      <x:c r="M1640" t="str">
        <x:f>IF(OR(K1640="",L1640=""),"",L1640-K1640)</x:f>
      </x:c>
      <x:c r="N1640" t="str">
        <x:f>IF(OR(K1640="",A1639&lt;&gt;A1640,K1639=""),"",K1640-K1639)</x:f>
      </x:c>
      <x:c r="O1640" t="str">
        <x:v>Sem informação</x:v>
      </x:c>
      <x:c r="P1640"/>
      <x:c r="Q1640"/>
      <x:c r="R1640"/>
      <x:c r="S1640"/>
      <x:c r="T1640"/>
    </x:row>
    <x:row r="1641">
      <x:c r="A1641" t="str">
        <x:v>Arthur Dias</x:v>
      </x:c>
      <x:c r="B1641" t="n">
        <x:v>2030</x:v>
      </x:c>
      <x:c r="C1641" t="str">
        <x:v>T4</x:v>
      </x:c>
      <x:c r="D1641" t="n">
        <x:v>47848</x:v>
      </x:c>
      <x:c r="E1641" t="str">
        <x:v>Zagueiro</x:v>
      </x:c>
      <x:c r="F1641" t="str">
        <x:v>Club Athletico Paranaense</x:v>
      </x:c>
      <x:c r="G1641"/>
      <x:c r="H1641"/>
      <x:c r="I1641"/>
      <x:c r="J1641"/>
      <x:c r="K1641" t="str">
        <x:f>IF(COUNT(G1641,I1641)=0,"",AVERAGE(G1641,I1641))</x:f>
      </x:c>
      <x:c r="L1641" t="str">
        <x:f>IF(COUNT(H1641,J1641)=0,"",AVERAGE(H1641,J1641))</x:f>
      </x:c>
      <x:c r="M1641" t="str">
        <x:f>IF(OR(K1641="",L1641=""),"",L1641-K1641)</x:f>
      </x:c>
      <x:c r="N1641" t="str">
        <x:f>IF(OR(K1641="",A1640&lt;&gt;A1641,K1640=""),"",K1641-K1640)</x:f>
      </x:c>
      <x:c r="O1641" t="str">
        <x:v>Sem informação</x:v>
      </x:c>
      <x:c r="P1641"/>
      <x:c r="Q1641"/>
      <x:c r="R1641"/>
      <x:c r="S1641"/>
      <x:c r="T1641"/>
    </x:row>
    <x:row r="1642">
      <x:c r="A1642" t="str">
        <x:v>João Pedro Chermont</x:v>
      </x:c>
      <x:c r="B1642" t="n">
        <x:v>2026</x:v>
      </x:c>
      <x:c r="C1642" t="str">
        <x:v>T1</x:v>
      </x:c>
      <x:c r="D1642" t="n">
        <x:v>46112</x:v>
      </x:c>
      <x:c r="E1642" t="str">
        <x:v>Lateral-direito</x:v>
      </x:c>
      <x:c r="F1642" t="str">
        <x:v>Coritiba Foot Ball Club</x:v>
      </x:c>
      <x:c r="G1642"/>
      <x:c r="H1642"/>
      <x:c r="I1642"/>
      <x:c r="J1642"/>
      <x:c r="K1642" t="str">
        <x:f>IF(COUNT(G1642,I1642)=0,"",AVERAGE(G1642,I1642))</x:f>
      </x:c>
      <x:c r="L1642" t="str">
        <x:f>IF(COUNT(H1642,J1642)=0,"",AVERAGE(H1642,J1642))</x:f>
      </x:c>
      <x:c r="M1642" t="str">
        <x:f>IF(OR(K1642="",L1642=""),"",L1642-K1642)</x:f>
      </x:c>
      <x:c r="N1642" t="str">
        <x:f>IF(OR(K1642="",A1641&lt;&gt;A1642,K1641=""),"",K1642-K1641)</x:f>
      </x:c>
      <x:c r="O1642" t="str">
        <x:v>Sem informação</x:v>
      </x:c>
      <x:c r="P1642"/>
      <x:c r="Q1642"/>
      <x:c r="R1642"/>
      <x:c r="S1642"/>
      <x:c r="T1642"/>
    </x:row>
    <x:row r="1643">
      <x:c r="A1643" t="str">
        <x:v>João Pedro Chermont</x:v>
      </x:c>
      <x:c r="B1643" t="n">
        <x:v>2026</x:v>
      </x:c>
      <x:c r="C1643" t="str">
        <x:v>T2</x:v>
      </x:c>
      <x:c r="D1643" t="n">
        <x:v>46203</x:v>
      </x:c>
      <x:c r="E1643" t="str">
        <x:v>Lateral-direito</x:v>
      </x:c>
      <x:c r="F1643" t="str">
        <x:v>Coritiba Foot Ball Club</x:v>
      </x:c>
      <x:c r="G1643"/>
      <x:c r="H1643"/>
      <x:c r="I1643"/>
      <x:c r="J1643"/>
      <x:c r="K1643" t="str">
        <x:f>IF(COUNT(G1643,I1643)=0,"",AVERAGE(G1643,I1643))</x:f>
      </x:c>
      <x:c r="L1643" t="str">
        <x:f>IF(COUNT(H1643,J1643)=0,"",AVERAGE(H1643,J1643))</x:f>
      </x:c>
      <x:c r="M1643" t="str">
        <x:f>IF(OR(K1643="",L1643=""),"",L1643-K1643)</x:f>
      </x:c>
      <x:c r="N1643" t="str">
        <x:f>IF(OR(K1643="",A1642&lt;&gt;A1643,K1642=""),"",K1643-K1642)</x:f>
      </x:c>
      <x:c r="O1643" t="str">
        <x:v>Sem informação</x:v>
      </x:c>
      <x:c r="P1643"/>
      <x:c r="Q1643"/>
      <x:c r="R1643"/>
      <x:c r="S1643"/>
      <x:c r="T1643"/>
    </x:row>
    <x:row r="1644">
      <x:c r="A1644" t="str">
        <x:v>João Pedro Chermont</x:v>
      </x:c>
      <x:c r="B1644" t="n">
        <x:v>2026</x:v>
      </x:c>
      <x:c r="C1644" t="str">
        <x:v>T3</x:v>
      </x:c>
      <x:c r="D1644" t="n">
        <x:v>46295</x:v>
      </x:c>
      <x:c r="E1644" t="str">
        <x:v>Lateral-direito</x:v>
      </x:c>
      <x:c r="F1644" t="str">
        <x:v>Coritiba Foot Ball Club</x:v>
      </x:c>
      <x:c r="G1644"/>
      <x:c r="H1644"/>
      <x:c r="I1644"/>
      <x:c r="J1644"/>
      <x:c r="K1644" t="str">
        <x:f>IF(COUNT(G1644,I1644)=0,"",AVERAGE(G1644,I1644))</x:f>
      </x:c>
      <x:c r="L1644" t="str">
        <x:f>IF(COUNT(H1644,J1644)=0,"",AVERAGE(H1644,J1644))</x:f>
      </x:c>
      <x:c r="M1644" t="str">
        <x:f>IF(OR(K1644="",L1644=""),"",L1644-K1644)</x:f>
      </x:c>
      <x:c r="N1644" t="str">
        <x:f>IF(OR(K1644="",A1643&lt;&gt;A1644,K1643=""),"",K1644-K1643)</x:f>
      </x:c>
      <x:c r="O1644" t="str">
        <x:v>Sem informação</x:v>
      </x:c>
      <x:c r="P1644"/>
      <x:c r="Q1644"/>
      <x:c r="R1644"/>
      <x:c r="S1644"/>
      <x:c r="T1644"/>
    </x:row>
    <x:row r="1645">
      <x:c r="A1645" t="str">
        <x:v>João Pedro Chermont</x:v>
      </x:c>
      <x:c r="B1645" t="n">
        <x:v>2026</x:v>
      </x:c>
      <x:c r="C1645" t="str">
        <x:v>T4</x:v>
      </x:c>
      <x:c r="D1645" t="n">
        <x:v>46387</x:v>
      </x:c>
      <x:c r="E1645" t="str">
        <x:v>Lateral-direito</x:v>
      </x:c>
      <x:c r="F1645" t="str">
        <x:v>Coritiba Foot Ball Club</x:v>
      </x:c>
      <x:c r="G1645"/>
      <x:c r="H1645"/>
      <x:c r="I1645"/>
      <x:c r="J1645"/>
      <x:c r="K1645" t="str">
        <x:f>IF(COUNT(G1645,I1645)=0,"",AVERAGE(G1645,I1645))</x:f>
      </x:c>
      <x:c r="L1645" t="str">
        <x:f>IF(COUNT(H1645,J1645)=0,"",AVERAGE(H1645,J1645))</x:f>
      </x:c>
      <x:c r="M1645" t="str">
        <x:f>IF(OR(K1645="",L1645=""),"",L1645-K1645)</x:f>
      </x:c>
      <x:c r="N1645" t="str">
        <x:f>IF(OR(K1645="",A1644&lt;&gt;A1645,K1644=""),"",K1645-K1644)</x:f>
      </x:c>
      <x:c r="O1645" t="str">
        <x:v>Sem informação</x:v>
      </x:c>
      <x:c r="P1645"/>
      <x:c r="Q1645"/>
      <x:c r="R1645"/>
      <x:c r="S1645"/>
      <x:c r="T1645"/>
    </x:row>
    <x:row r="1646">
      <x:c r="A1646" t="str">
        <x:v>João Pedro Chermont</x:v>
      </x:c>
      <x:c r="B1646" t="n">
        <x:v>2027</x:v>
      </x:c>
      <x:c r="C1646" t="str">
        <x:v>T1</x:v>
      </x:c>
      <x:c r="D1646" t="n">
        <x:v>46477</x:v>
      </x:c>
      <x:c r="E1646" t="str">
        <x:v>Lateral-direito</x:v>
      </x:c>
      <x:c r="F1646" t="str">
        <x:v>Coritiba Foot Ball Club</x:v>
      </x:c>
      <x:c r="G1646"/>
      <x:c r="H1646"/>
      <x:c r="I1646"/>
      <x:c r="J1646"/>
      <x:c r="K1646" t="str">
        <x:f>IF(COUNT(G1646,I1646)=0,"",AVERAGE(G1646,I1646))</x:f>
      </x:c>
      <x:c r="L1646" t="str">
        <x:f>IF(COUNT(H1646,J1646)=0,"",AVERAGE(H1646,J1646))</x:f>
      </x:c>
      <x:c r="M1646" t="str">
        <x:f>IF(OR(K1646="",L1646=""),"",L1646-K1646)</x:f>
      </x:c>
      <x:c r="N1646" t="str">
        <x:f>IF(OR(K1646="",A1645&lt;&gt;A1646,K1645=""),"",K1646-K1645)</x:f>
      </x:c>
      <x:c r="O1646" t="str">
        <x:v>Sem informação</x:v>
      </x:c>
      <x:c r="P1646"/>
      <x:c r="Q1646"/>
      <x:c r="R1646"/>
      <x:c r="S1646"/>
      <x:c r="T1646"/>
    </x:row>
    <x:row r="1647">
      <x:c r="A1647" t="str">
        <x:v>João Pedro Chermont</x:v>
      </x:c>
      <x:c r="B1647" t="n">
        <x:v>2027</x:v>
      </x:c>
      <x:c r="C1647" t="str">
        <x:v>T2</x:v>
      </x:c>
      <x:c r="D1647" t="n">
        <x:v>46568</x:v>
      </x:c>
      <x:c r="E1647" t="str">
        <x:v>Lateral-direito</x:v>
      </x:c>
      <x:c r="F1647" t="str">
        <x:v>Coritiba Foot Ball Club</x:v>
      </x:c>
      <x:c r="G1647"/>
      <x:c r="H1647"/>
      <x:c r="I1647"/>
      <x:c r="J1647"/>
      <x:c r="K1647" t="str">
        <x:f>IF(COUNT(G1647,I1647)=0,"",AVERAGE(G1647,I1647))</x:f>
      </x:c>
      <x:c r="L1647" t="str">
        <x:f>IF(COUNT(H1647,J1647)=0,"",AVERAGE(H1647,J1647))</x:f>
      </x:c>
      <x:c r="M1647" t="str">
        <x:f>IF(OR(K1647="",L1647=""),"",L1647-K1647)</x:f>
      </x:c>
      <x:c r="N1647" t="str">
        <x:f>IF(OR(K1647="",A1646&lt;&gt;A1647,K1646=""),"",K1647-K1646)</x:f>
      </x:c>
      <x:c r="O1647" t="str">
        <x:v>Sem informação</x:v>
      </x:c>
      <x:c r="P1647"/>
      <x:c r="Q1647"/>
      <x:c r="R1647"/>
      <x:c r="S1647"/>
      <x:c r="T1647"/>
    </x:row>
    <x:row r="1648">
      <x:c r="A1648" t="str">
        <x:v>João Pedro Chermont</x:v>
      </x:c>
      <x:c r="B1648" t="n">
        <x:v>2027</x:v>
      </x:c>
      <x:c r="C1648" t="str">
        <x:v>T3</x:v>
      </x:c>
      <x:c r="D1648" t="n">
        <x:v>46660</x:v>
      </x:c>
      <x:c r="E1648" t="str">
        <x:v>Lateral-direito</x:v>
      </x:c>
      <x:c r="F1648" t="str">
        <x:v>Coritiba Foot Ball Club</x:v>
      </x:c>
      <x:c r="G1648"/>
      <x:c r="H1648"/>
      <x:c r="I1648"/>
      <x:c r="J1648"/>
      <x:c r="K1648" t="str">
        <x:f>IF(COUNT(G1648,I1648)=0,"",AVERAGE(G1648,I1648))</x:f>
      </x:c>
      <x:c r="L1648" t="str">
        <x:f>IF(COUNT(H1648,J1648)=0,"",AVERAGE(H1648,J1648))</x:f>
      </x:c>
      <x:c r="M1648" t="str">
        <x:f>IF(OR(K1648="",L1648=""),"",L1648-K1648)</x:f>
      </x:c>
      <x:c r="N1648" t="str">
        <x:f>IF(OR(K1648="",A1647&lt;&gt;A1648,K1647=""),"",K1648-K1647)</x:f>
      </x:c>
      <x:c r="O1648" t="str">
        <x:v>Sem informação</x:v>
      </x:c>
      <x:c r="P1648"/>
      <x:c r="Q1648"/>
      <x:c r="R1648"/>
      <x:c r="S1648"/>
      <x:c r="T1648"/>
    </x:row>
    <x:row r="1649">
      <x:c r="A1649" t="str">
        <x:v>João Pedro Chermont</x:v>
      </x:c>
      <x:c r="B1649" t="n">
        <x:v>2027</x:v>
      </x:c>
      <x:c r="C1649" t="str">
        <x:v>T4</x:v>
      </x:c>
      <x:c r="D1649" t="n">
        <x:v>46752</x:v>
      </x:c>
      <x:c r="E1649" t="str">
        <x:v>Lateral-direito</x:v>
      </x:c>
      <x:c r="F1649" t="str">
        <x:v>Coritiba Foot Ball Club</x:v>
      </x:c>
      <x:c r="G1649"/>
      <x:c r="H1649"/>
      <x:c r="I1649"/>
      <x:c r="J1649"/>
      <x:c r="K1649" t="str">
        <x:f>IF(COUNT(G1649,I1649)=0,"",AVERAGE(G1649,I1649))</x:f>
      </x:c>
      <x:c r="L1649" t="str">
        <x:f>IF(COUNT(H1649,J1649)=0,"",AVERAGE(H1649,J1649))</x:f>
      </x:c>
      <x:c r="M1649" t="str">
        <x:f>IF(OR(K1649="",L1649=""),"",L1649-K1649)</x:f>
      </x:c>
      <x:c r="N1649" t="str">
        <x:f>IF(OR(K1649="",A1648&lt;&gt;A1649,K1648=""),"",K1649-K1648)</x:f>
      </x:c>
      <x:c r="O1649" t="str">
        <x:v>Sem informação</x:v>
      </x:c>
      <x:c r="P1649"/>
      <x:c r="Q1649"/>
      <x:c r="R1649"/>
      <x:c r="S1649"/>
      <x:c r="T1649"/>
    </x:row>
    <x:row r="1650">
      <x:c r="A1650" t="str">
        <x:v>João Pedro Chermont</x:v>
      </x:c>
      <x:c r="B1650" t="n">
        <x:v>2028</x:v>
      </x:c>
      <x:c r="C1650" t="str">
        <x:v>T1</x:v>
      </x:c>
      <x:c r="D1650" t="n">
        <x:v>46843</x:v>
      </x:c>
      <x:c r="E1650" t="str">
        <x:v>Lateral-direito</x:v>
      </x:c>
      <x:c r="F1650" t="str">
        <x:v>Coritiba Foot Ball Club</x:v>
      </x:c>
      <x:c r="G1650"/>
      <x:c r="H1650"/>
      <x:c r="I1650"/>
      <x:c r="J1650"/>
      <x:c r="K1650" t="str">
        <x:f>IF(COUNT(G1650,I1650)=0,"",AVERAGE(G1650,I1650))</x:f>
      </x:c>
      <x:c r="L1650" t="str">
        <x:f>IF(COUNT(H1650,J1650)=0,"",AVERAGE(H1650,J1650))</x:f>
      </x:c>
      <x:c r="M1650" t="str">
        <x:f>IF(OR(K1650="",L1650=""),"",L1650-K1650)</x:f>
      </x:c>
      <x:c r="N1650" t="str">
        <x:f>IF(OR(K1650="",A1649&lt;&gt;A1650,K1649=""),"",K1650-K1649)</x:f>
      </x:c>
      <x:c r="O1650" t="str">
        <x:v>Sem informação</x:v>
      </x:c>
      <x:c r="P1650"/>
      <x:c r="Q1650"/>
      <x:c r="R1650"/>
      <x:c r="S1650"/>
      <x:c r="T1650"/>
    </x:row>
    <x:row r="1651">
      <x:c r="A1651" t="str">
        <x:v>João Pedro Chermont</x:v>
      </x:c>
      <x:c r="B1651" t="n">
        <x:v>2028</x:v>
      </x:c>
      <x:c r="C1651" t="str">
        <x:v>T2</x:v>
      </x:c>
      <x:c r="D1651" t="n">
        <x:v>46934</x:v>
      </x:c>
      <x:c r="E1651" t="str">
        <x:v>Lateral-direito</x:v>
      </x:c>
      <x:c r="F1651" t="str">
        <x:v>Coritiba Foot Ball Club</x:v>
      </x:c>
      <x:c r="G1651"/>
      <x:c r="H1651"/>
      <x:c r="I1651"/>
      <x:c r="J1651"/>
      <x:c r="K1651" t="str">
        <x:f>IF(COUNT(G1651,I1651)=0,"",AVERAGE(G1651,I1651))</x:f>
      </x:c>
      <x:c r="L1651" t="str">
        <x:f>IF(COUNT(H1651,J1651)=0,"",AVERAGE(H1651,J1651))</x:f>
      </x:c>
      <x:c r="M1651" t="str">
        <x:f>IF(OR(K1651="",L1651=""),"",L1651-K1651)</x:f>
      </x:c>
      <x:c r="N1651" t="str">
        <x:f>IF(OR(K1651="",A1650&lt;&gt;A1651,K1650=""),"",K1651-K1650)</x:f>
      </x:c>
      <x:c r="O1651" t="str">
        <x:v>Sem informação</x:v>
      </x:c>
      <x:c r="P1651"/>
      <x:c r="Q1651"/>
      <x:c r="R1651"/>
      <x:c r="S1651"/>
      <x:c r="T1651"/>
    </x:row>
    <x:row r="1652">
      <x:c r="A1652" t="str">
        <x:v>João Pedro Chermont</x:v>
      </x:c>
      <x:c r="B1652" t="n">
        <x:v>2028</x:v>
      </x:c>
      <x:c r="C1652" t="str">
        <x:v>T3</x:v>
      </x:c>
      <x:c r="D1652" t="n">
        <x:v>47026</x:v>
      </x:c>
      <x:c r="E1652" t="str">
        <x:v>Lateral-direito</x:v>
      </x:c>
      <x:c r="F1652" t="str">
        <x:v>Coritiba Foot Ball Club</x:v>
      </x:c>
      <x:c r="G1652"/>
      <x:c r="H1652"/>
      <x:c r="I1652"/>
      <x:c r="J1652"/>
      <x:c r="K1652" t="str">
        <x:f>IF(COUNT(G1652,I1652)=0,"",AVERAGE(G1652,I1652))</x:f>
      </x:c>
      <x:c r="L1652" t="str">
        <x:f>IF(COUNT(H1652,J1652)=0,"",AVERAGE(H1652,J1652))</x:f>
      </x:c>
      <x:c r="M1652" t="str">
        <x:f>IF(OR(K1652="",L1652=""),"",L1652-K1652)</x:f>
      </x:c>
      <x:c r="N1652" t="str">
        <x:f>IF(OR(K1652="",A1651&lt;&gt;A1652,K1651=""),"",K1652-K1651)</x:f>
      </x:c>
      <x:c r="O1652" t="str">
        <x:v>Sem informação</x:v>
      </x:c>
      <x:c r="P1652"/>
      <x:c r="Q1652"/>
      <x:c r="R1652"/>
      <x:c r="S1652"/>
      <x:c r="T1652"/>
    </x:row>
    <x:row r="1653">
      <x:c r="A1653" t="str">
        <x:v>João Pedro Chermont</x:v>
      </x:c>
      <x:c r="B1653" t="n">
        <x:v>2028</x:v>
      </x:c>
      <x:c r="C1653" t="str">
        <x:v>T4</x:v>
      </x:c>
      <x:c r="D1653" t="n">
        <x:v>47118</x:v>
      </x:c>
      <x:c r="E1653" t="str">
        <x:v>Lateral-direito</x:v>
      </x:c>
      <x:c r="F1653" t="str">
        <x:v>Coritiba Foot Ball Club</x:v>
      </x:c>
      <x:c r="G1653"/>
      <x:c r="H1653"/>
      <x:c r="I1653"/>
      <x:c r="J1653"/>
      <x:c r="K1653" t="str">
        <x:f>IF(COUNT(G1653,I1653)=0,"",AVERAGE(G1653,I1653))</x:f>
      </x:c>
      <x:c r="L1653" t="str">
        <x:f>IF(COUNT(H1653,J1653)=0,"",AVERAGE(H1653,J1653))</x:f>
      </x:c>
      <x:c r="M1653" t="str">
        <x:f>IF(OR(K1653="",L1653=""),"",L1653-K1653)</x:f>
      </x:c>
      <x:c r="N1653" t="str">
        <x:f>IF(OR(K1653="",A1652&lt;&gt;A1653,K1652=""),"",K1653-K1652)</x:f>
      </x:c>
      <x:c r="O1653" t="str">
        <x:v>Sem informação</x:v>
      </x:c>
      <x:c r="P1653"/>
      <x:c r="Q1653"/>
      <x:c r="R1653"/>
      <x:c r="S1653"/>
      <x:c r="T1653"/>
    </x:row>
    <x:row r="1654">
      <x:c r="A1654" t="str">
        <x:v>João Pedro Chermont</x:v>
      </x:c>
      <x:c r="B1654" t="n">
        <x:v>2029</x:v>
      </x:c>
      <x:c r="C1654" t="str">
        <x:v>T1</x:v>
      </x:c>
      <x:c r="D1654" t="n">
        <x:v>47208</x:v>
      </x:c>
      <x:c r="E1654" t="str">
        <x:v>Lateral-direito</x:v>
      </x:c>
      <x:c r="F1654" t="str">
        <x:v>Coritiba Foot Ball Club</x:v>
      </x:c>
      <x:c r="G1654"/>
      <x:c r="H1654"/>
      <x:c r="I1654"/>
      <x:c r="J1654"/>
      <x:c r="K1654" t="str">
        <x:f>IF(COUNT(G1654,I1654)=0,"",AVERAGE(G1654,I1654))</x:f>
      </x:c>
      <x:c r="L1654" t="str">
        <x:f>IF(COUNT(H1654,J1654)=0,"",AVERAGE(H1654,J1654))</x:f>
      </x:c>
      <x:c r="M1654" t="str">
        <x:f>IF(OR(K1654="",L1654=""),"",L1654-K1654)</x:f>
      </x:c>
      <x:c r="N1654" t="str">
        <x:f>IF(OR(K1654="",A1653&lt;&gt;A1654,K1653=""),"",K1654-K1653)</x:f>
      </x:c>
      <x:c r="O1654" t="str">
        <x:v>Sem informação</x:v>
      </x:c>
      <x:c r="P1654"/>
      <x:c r="Q1654"/>
      <x:c r="R1654"/>
      <x:c r="S1654"/>
      <x:c r="T1654"/>
    </x:row>
    <x:row r="1655">
      <x:c r="A1655" t="str">
        <x:v>João Pedro Chermont</x:v>
      </x:c>
      <x:c r="B1655" t="n">
        <x:v>2029</x:v>
      </x:c>
      <x:c r="C1655" t="str">
        <x:v>T2</x:v>
      </x:c>
      <x:c r="D1655" t="n">
        <x:v>47299</x:v>
      </x:c>
      <x:c r="E1655" t="str">
        <x:v>Lateral-direito</x:v>
      </x:c>
      <x:c r="F1655" t="str">
        <x:v>Coritiba Foot Ball Club</x:v>
      </x:c>
      <x:c r="G1655"/>
      <x:c r="H1655"/>
      <x:c r="I1655"/>
      <x:c r="J1655"/>
      <x:c r="K1655" t="str">
        <x:f>IF(COUNT(G1655,I1655)=0,"",AVERAGE(G1655,I1655))</x:f>
      </x:c>
      <x:c r="L1655" t="str">
        <x:f>IF(COUNT(H1655,J1655)=0,"",AVERAGE(H1655,J1655))</x:f>
      </x:c>
      <x:c r="M1655" t="str">
        <x:f>IF(OR(K1655="",L1655=""),"",L1655-K1655)</x:f>
      </x:c>
      <x:c r="N1655" t="str">
        <x:f>IF(OR(K1655="",A1654&lt;&gt;A1655,K1654=""),"",K1655-K1654)</x:f>
      </x:c>
      <x:c r="O1655" t="str">
        <x:v>Sem informação</x:v>
      </x:c>
      <x:c r="P1655"/>
      <x:c r="Q1655"/>
      <x:c r="R1655"/>
      <x:c r="S1655"/>
      <x:c r="T1655"/>
    </x:row>
    <x:row r="1656">
      <x:c r="A1656" t="str">
        <x:v>João Pedro Chermont</x:v>
      </x:c>
      <x:c r="B1656" t="n">
        <x:v>2029</x:v>
      </x:c>
      <x:c r="C1656" t="str">
        <x:v>T3</x:v>
      </x:c>
      <x:c r="D1656" t="n">
        <x:v>47391</x:v>
      </x:c>
      <x:c r="E1656" t="str">
        <x:v>Lateral-direito</x:v>
      </x:c>
      <x:c r="F1656" t="str">
        <x:v>Coritiba Foot Ball Club</x:v>
      </x:c>
      <x:c r="G1656"/>
      <x:c r="H1656"/>
      <x:c r="I1656"/>
      <x:c r="J1656"/>
      <x:c r="K1656" t="str">
        <x:f>IF(COUNT(G1656,I1656)=0,"",AVERAGE(G1656,I1656))</x:f>
      </x:c>
      <x:c r="L1656" t="str">
        <x:f>IF(COUNT(H1656,J1656)=0,"",AVERAGE(H1656,J1656))</x:f>
      </x:c>
      <x:c r="M1656" t="str">
        <x:f>IF(OR(K1656="",L1656=""),"",L1656-K1656)</x:f>
      </x:c>
      <x:c r="N1656" t="str">
        <x:f>IF(OR(K1656="",A1655&lt;&gt;A1656,K1655=""),"",K1656-K1655)</x:f>
      </x:c>
      <x:c r="O1656" t="str">
        <x:v>Sem informação</x:v>
      </x:c>
      <x:c r="P1656"/>
      <x:c r="Q1656"/>
      <x:c r="R1656"/>
      <x:c r="S1656"/>
      <x:c r="T1656"/>
    </x:row>
    <x:row r="1657">
      <x:c r="A1657" t="str">
        <x:v>João Pedro Chermont</x:v>
      </x:c>
      <x:c r="B1657" t="n">
        <x:v>2029</x:v>
      </x:c>
      <x:c r="C1657" t="str">
        <x:v>T4</x:v>
      </x:c>
      <x:c r="D1657" t="n">
        <x:v>47483</x:v>
      </x:c>
      <x:c r="E1657" t="str">
        <x:v>Lateral-direito</x:v>
      </x:c>
      <x:c r="F1657" t="str">
        <x:v>Coritiba Foot Ball Club</x:v>
      </x:c>
      <x:c r="G1657"/>
      <x:c r="H1657"/>
      <x:c r="I1657"/>
      <x:c r="J1657"/>
      <x:c r="K1657" t="str">
        <x:f>IF(COUNT(G1657,I1657)=0,"",AVERAGE(G1657,I1657))</x:f>
      </x:c>
      <x:c r="L1657" t="str">
        <x:f>IF(COUNT(H1657,J1657)=0,"",AVERAGE(H1657,J1657))</x:f>
      </x:c>
      <x:c r="M1657" t="str">
        <x:f>IF(OR(K1657="",L1657=""),"",L1657-K1657)</x:f>
      </x:c>
      <x:c r="N1657" t="str">
        <x:f>IF(OR(K1657="",A1656&lt;&gt;A1657,K1656=""),"",K1657-K1656)</x:f>
      </x:c>
      <x:c r="O1657" t="str">
        <x:v>Sem informação</x:v>
      </x:c>
      <x:c r="P1657"/>
      <x:c r="Q1657"/>
      <x:c r="R1657"/>
      <x:c r="S1657"/>
      <x:c r="T1657"/>
    </x:row>
    <x:row r="1658">
      <x:c r="A1658" t="str">
        <x:v>João Pedro Chermont</x:v>
      </x:c>
      <x:c r="B1658" t="n">
        <x:v>2030</x:v>
      </x:c>
      <x:c r="C1658" t="str">
        <x:v>T1</x:v>
      </x:c>
      <x:c r="D1658" t="n">
        <x:v>47573</x:v>
      </x:c>
      <x:c r="E1658" t="str">
        <x:v>Lateral-direito</x:v>
      </x:c>
      <x:c r="F1658" t="str">
        <x:v>Coritiba Foot Ball Club</x:v>
      </x:c>
      <x:c r="G1658"/>
      <x:c r="H1658"/>
      <x:c r="I1658"/>
      <x:c r="J1658"/>
      <x:c r="K1658" t="str">
        <x:f>IF(COUNT(G1658,I1658)=0,"",AVERAGE(G1658,I1658))</x:f>
      </x:c>
      <x:c r="L1658" t="str">
        <x:f>IF(COUNT(H1658,J1658)=0,"",AVERAGE(H1658,J1658))</x:f>
      </x:c>
      <x:c r="M1658" t="str">
        <x:f>IF(OR(K1658="",L1658=""),"",L1658-K1658)</x:f>
      </x:c>
      <x:c r="N1658" t="str">
        <x:f>IF(OR(K1658="",A1657&lt;&gt;A1658,K1657=""),"",K1658-K1657)</x:f>
      </x:c>
      <x:c r="O1658" t="str">
        <x:v>Sem informação</x:v>
      </x:c>
      <x:c r="P1658"/>
      <x:c r="Q1658"/>
      <x:c r="R1658"/>
      <x:c r="S1658"/>
      <x:c r="T1658"/>
    </x:row>
    <x:row r="1659">
      <x:c r="A1659" t="str">
        <x:v>João Pedro Chermont</x:v>
      </x:c>
      <x:c r="B1659" t="n">
        <x:v>2030</x:v>
      </x:c>
      <x:c r="C1659" t="str">
        <x:v>T2</x:v>
      </x:c>
      <x:c r="D1659" t="n">
        <x:v>47664</x:v>
      </x:c>
      <x:c r="E1659" t="str">
        <x:v>Lateral-direito</x:v>
      </x:c>
      <x:c r="F1659" t="str">
        <x:v>Coritiba Foot Ball Club</x:v>
      </x:c>
      <x:c r="G1659"/>
      <x:c r="H1659"/>
      <x:c r="I1659"/>
      <x:c r="J1659"/>
      <x:c r="K1659" t="str">
        <x:f>IF(COUNT(G1659,I1659)=0,"",AVERAGE(G1659,I1659))</x:f>
      </x:c>
      <x:c r="L1659" t="str">
        <x:f>IF(COUNT(H1659,J1659)=0,"",AVERAGE(H1659,J1659))</x:f>
      </x:c>
      <x:c r="M1659" t="str">
        <x:f>IF(OR(K1659="",L1659=""),"",L1659-K1659)</x:f>
      </x:c>
      <x:c r="N1659" t="str">
        <x:f>IF(OR(K1659="",A1658&lt;&gt;A1659,K1658=""),"",K1659-K1658)</x:f>
      </x:c>
      <x:c r="O1659" t="str">
        <x:v>Sem informação</x:v>
      </x:c>
      <x:c r="P1659"/>
      <x:c r="Q1659"/>
      <x:c r="R1659"/>
      <x:c r="S1659"/>
      <x:c r="T1659"/>
    </x:row>
    <x:row r="1660">
      <x:c r="A1660" t="str">
        <x:v>João Pedro Chermont</x:v>
      </x:c>
      <x:c r="B1660" t="n">
        <x:v>2030</x:v>
      </x:c>
      <x:c r="C1660" t="str">
        <x:v>T3</x:v>
      </x:c>
      <x:c r="D1660" t="n">
        <x:v>47756</x:v>
      </x:c>
      <x:c r="E1660" t="str">
        <x:v>Lateral-direito</x:v>
      </x:c>
      <x:c r="F1660" t="str">
        <x:v>Coritiba Foot Ball Club</x:v>
      </x:c>
      <x:c r="G1660"/>
      <x:c r="H1660"/>
      <x:c r="I1660"/>
      <x:c r="J1660"/>
      <x:c r="K1660" t="str">
        <x:f>IF(COUNT(G1660,I1660)=0,"",AVERAGE(G1660,I1660))</x:f>
      </x:c>
      <x:c r="L1660" t="str">
        <x:f>IF(COUNT(H1660,J1660)=0,"",AVERAGE(H1660,J1660))</x:f>
      </x:c>
      <x:c r="M1660" t="str">
        <x:f>IF(OR(K1660="",L1660=""),"",L1660-K1660)</x:f>
      </x:c>
      <x:c r="N1660" t="str">
        <x:f>IF(OR(K1660="",A1659&lt;&gt;A1660,K1659=""),"",K1660-K1659)</x:f>
      </x:c>
      <x:c r="O1660" t="str">
        <x:v>Sem informação</x:v>
      </x:c>
      <x:c r="P1660"/>
      <x:c r="Q1660"/>
      <x:c r="R1660"/>
      <x:c r="S1660"/>
      <x:c r="T1660"/>
    </x:row>
    <x:row r="1661">
      <x:c r="A1661" t="str">
        <x:v>João Pedro Chermont</x:v>
      </x:c>
      <x:c r="B1661" t="n">
        <x:v>2030</x:v>
      </x:c>
      <x:c r="C1661" t="str">
        <x:v>T4</x:v>
      </x:c>
      <x:c r="D1661" t="n">
        <x:v>47848</x:v>
      </x:c>
      <x:c r="E1661" t="str">
        <x:v>Lateral-direito</x:v>
      </x:c>
      <x:c r="F1661" t="str">
        <x:v>Coritiba Foot Ball Club</x:v>
      </x:c>
      <x:c r="G1661"/>
      <x:c r="H1661"/>
      <x:c r="I1661"/>
      <x:c r="J1661"/>
      <x:c r="K1661" t="str">
        <x:f>IF(COUNT(G1661,I1661)=0,"",AVERAGE(G1661,I1661))</x:f>
      </x:c>
      <x:c r="L1661" t="str">
        <x:f>IF(COUNT(H1661,J1661)=0,"",AVERAGE(H1661,J1661))</x:f>
      </x:c>
      <x:c r="M1661" t="str">
        <x:f>IF(OR(K1661="",L1661=""),"",L1661-K1661)</x:f>
      </x:c>
      <x:c r="N1661" t="str">
        <x:f>IF(OR(K1661="",A1660&lt;&gt;A1661,K1660=""),"",K1661-K1660)</x:f>
      </x:c>
      <x:c r="O1661" t="str">
        <x:v>Sem informação</x:v>
      </x:c>
      <x:c r="P1661"/>
      <x:c r="Q1661"/>
      <x:c r="R1661"/>
      <x:c r="S1661"/>
      <x:c r="T1661"/>
    </x:row>
    <x:row r="1662">
      <x:c r="A1662" t="str">
        <x:v>Rayan Lucas</x:v>
      </x:c>
      <x:c r="B1662" t="n">
        <x:v>2026</x:v>
      </x:c>
      <x:c r="C1662" t="str">
        <x:v>T1</x:v>
      </x:c>
      <x:c r="D1662" t="n">
        <x:v>46112</x:v>
      </x:c>
      <x:c r="E1662" t="str">
        <x:v>Volante</x:v>
      </x:c>
      <x:c r="F1662" t="str">
        <x:v>CR Flamengo Sub-20</x:v>
      </x:c>
      <x:c r="G1662"/>
      <x:c r="H1662"/>
      <x:c r="I1662"/>
      <x:c r="J1662"/>
      <x:c r="K1662" t="str">
        <x:f>IF(COUNT(G1662,I1662)=0,"",AVERAGE(G1662,I1662))</x:f>
      </x:c>
      <x:c r="L1662" t="str">
        <x:f>IF(COUNT(H1662,J1662)=0,"",AVERAGE(H1662,J1662))</x:f>
      </x:c>
      <x:c r="M1662" t="str">
        <x:f>IF(OR(K1662="",L1662=""),"",L1662-K1662)</x:f>
      </x:c>
      <x:c r="N1662" t="str">
        <x:f>IF(OR(K1662="",A1661&lt;&gt;A1662,K1661=""),"",K1662-K1661)</x:f>
      </x:c>
      <x:c r="O1662" t="str">
        <x:v>Sem informação</x:v>
      </x:c>
      <x:c r="P1662"/>
      <x:c r="Q1662"/>
      <x:c r="R1662"/>
      <x:c r="S1662"/>
      <x:c r="T1662"/>
    </x:row>
    <x:row r="1663">
      <x:c r="A1663" t="str">
        <x:v>Rayan Lucas</x:v>
      </x:c>
      <x:c r="B1663" t="n">
        <x:v>2026</x:v>
      </x:c>
      <x:c r="C1663" t="str">
        <x:v>T2</x:v>
      </x:c>
      <x:c r="D1663" t="n">
        <x:v>46203</x:v>
      </x:c>
      <x:c r="E1663" t="str">
        <x:v>Volante</x:v>
      </x:c>
      <x:c r="F1663" t="str">
        <x:v>CR Flamengo Sub-20</x:v>
      </x:c>
      <x:c r="G1663"/>
      <x:c r="H1663"/>
      <x:c r="I1663"/>
      <x:c r="J1663"/>
      <x:c r="K1663" t="str">
        <x:f>IF(COUNT(G1663,I1663)=0,"",AVERAGE(G1663,I1663))</x:f>
      </x:c>
      <x:c r="L1663" t="str">
        <x:f>IF(COUNT(H1663,J1663)=0,"",AVERAGE(H1663,J1663))</x:f>
      </x:c>
      <x:c r="M1663" t="str">
        <x:f>IF(OR(K1663="",L1663=""),"",L1663-K1663)</x:f>
      </x:c>
      <x:c r="N1663" t="str">
        <x:f>IF(OR(K1663="",A1662&lt;&gt;A1663,K1662=""),"",K1663-K1662)</x:f>
      </x:c>
      <x:c r="O1663" t="str">
        <x:v>Sem informação</x:v>
      </x:c>
      <x:c r="P1663"/>
      <x:c r="Q1663"/>
      <x:c r="R1663"/>
      <x:c r="S1663"/>
      <x:c r="T1663"/>
    </x:row>
    <x:row r="1664">
      <x:c r="A1664" t="str">
        <x:v>Rayan Lucas</x:v>
      </x:c>
      <x:c r="B1664" t="n">
        <x:v>2026</x:v>
      </x:c>
      <x:c r="C1664" t="str">
        <x:v>T3</x:v>
      </x:c>
      <x:c r="D1664" t="n">
        <x:v>46295</x:v>
      </x:c>
      <x:c r="E1664" t="str">
        <x:v>Volante</x:v>
      </x:c>
      <x:c r="F1664" t="str">
        <x:v>CR Flamengo Sub-20</x:v>
      </x:c>
      <x:c r="G1664"/>
      <x:c r="H1664"/>
      <x:c r="I1664"/>
      <x:c r="J1664"/>
      <x:c r="K1664" t="str">
        <x:f>IF(COUNT(G1664,I1664)=0,"",AVERAGE(G1664,I1664))</x:f>
      </x:c>
      <x:c r="L1664" t="str">
        <x:f>IF(COUNT(H1664,J1664)=0,"",AVERAGE(H1664,J1664))</x:f>
      </x:c>
      <x:c r="M1664" t="str">
        <x:f>IF(OR(K1664="",L1664=""),"",L1664-K1664)</x:f>
      </x:c>
      <x:c r="N1664" t="str">
        <x:f>IF(OR(K1664="",A1663&lt;&gt;A1664,K1663=""),"",K1664-K1663)</x:f>
      </x:c>
      <x:c r="O1664" t="str">
        <x:v>Sem informação</x:v>
      </x:c>
      <x:c r="P1664"/>
      <x:c r="Q1664"/>
      <x:c r="R1664"/>
      <x:c r="S1664"/>
      <x:c r="T1664"/>
    </x:row>
    <x:row r="1665">
      <x:c r="A1665" t="str">
        <x:v>Rayan Lucas</x:v>
      </x:c>
      <x:c r="B1665" t="n">
        <x:v>2026</x:v>
      </x:c>
      <x:c r="C1665" t="str">
        <x:v>T4</x:v>
      </x:c>
      <x:c r="D1665" t="n">
        <x:v>46387</x:v>
      </x:c>
      <x:c r="E1665" t="str">
        <x:v>Volante</x:v>
      </x:c>
      <x:c r="F1665" t="str">
        <x:v>CR Flamengo Sub-20</x:v>
      </x:c>
      <x:c r="G1665"/>
      <x:c r="H1665"/>
      <x:c r="I1665"/>
      <x:c r="J1665"/>
      <x:c r="K1665" t="str">
        <x:f>IF(COUNT(G1665,I1665)=0,"",AVERAGE(G1665,I1665))</x:f>
      </x:c>
      <x:c r="L1665" t="str">
        <x:f>IF(COUNT(H1665,J1665)=0,"",AVERAGE(H1665,J1665))</x:f>
      </x:c>
      <x:c r="M1665" t="str">
        <x:f>IF(OR(K1665="",L1665=""),"",L1665-K1665)</x:f>
      </x:c>
      <x:c r="N1665" t="str">
        <x:f>IF(OR(K1665="",A1664&lt;&gt;A1665,K1664=""),"",K1665-K1664)</x:f>
      </x:c>
      <x:c r="O1665" t="str">
        <x:v>Sem informação</x:v>
      </x:c>
      <x:c r="P1665"/>
      <x:c r="Q1665"/>
      <x:c r="R1665"/>
      <x:c r="S1665"/>
      <x:c r="T1665"/>
    </x:row>
    <x:row r="1666">
      <x:c r="A1666" t="str">
        <x:v>Rayan Lucas</x:v>
      </x:c>
      <x:c r="B1666" t="n">
        <x:v>2027</x:v>
      </x:c>
      <x:c r="C1666" t="str">
        <x:v>T1</x:v>
      </x:c>
      <x:c r="D1666" t="n">
        <x:v>46477</x:v>
      </x:c>
      <x:c r="E1666" t="str">
        <x:v>Volante</x:v>
      </x:c>
      <x:c r="F1666" t="str">
        <x:v>CR Flamengo Sub-20</x:v>
      </x:c>
      <x:c r="G1666"/>
      <x:c r="H1666"/>
      <x:c r="I1666"/>
      <x:c r="J1666"/>
      <x:c r="K1666" t="str">
        <x:f>IF(COUNT(G1666,I1666)=0,"",AVERAGE(G1666,I1666))</x:f>
      </x:c>
      <x:c r="L1666" t="str">
        <x:f>IF(COUNT(H1666,J1666)=0,"",AVERAGE(H1666,J1666))</x:f>
      </x:c>
      <x:c r="M1666" t="str">
        <x:f>IF(OR(K1666="",L1666=""),"",L1666-K1666)</x:f>
      </x:c>
      <x:c r="N1666" t="str">
        <x:f>IF(OR(K1666="",A1665&lt;&gt;A1666,K1665=""),"",K1666-K1665)</x:f>
      </x:c>
      <x:c r="O1666" t="str">
        <x:v>Sem informação</x:v>
      </x:c>
      <x:c r="P1666"/>
      <x:c r="Q1666"/>
      <x:c r="R1666"/>
      <x:c r="S1666"/>
      <x:c r="T1666"/>
    </x:row>
    <x:row r="1667">
      <x:c r="A1667" t="str">
        <x:v>Rayan Lucas</x:v>
      </x:c>
      <x:c r="B1667" t="n">
        <x:v>2027</x:v>
      </x:c>
      <x:c r="C1667" t="str">
        <x:v>T2</x:v>
      </x:c>
      <x:c r="D1667" t="n">
        <x:v>46568</x:v>
      </x:c>
      <x:c r="E1667" t="str">
        <x:v>Volante</x:v>
      </x:c>
      <x:c r="F1667" t="str">
        <x:v>CR Flamengo Sub-20</x:v>
      </x:c>
      <x:c r="G1667"/>
      <x:c r="H1667"/>
      <x:c r="I1667"/>
      <x:c r="J1667"/>
      <x:c r="K1667" t="str">
        <x:f>IF(COUNT(G1667,I1667)=0,"",AVERAGE(G1667,I1667))</x:f>
      </x:c>
      <x:c r="L1667" t="str">
        <x:f>IF(COUNT(H1667,J1667)=0,"",AVERAGE(H1667,J1667))</x:f>
      </x:c>
      <x:c r="M1667" t="str">
        <x:f>IF(OR(K1667="",L1667=""),"",L1667-K1667)</x:f>
      </x:c>
      <x:c r="N1667" t="str">
        <x:f>IF(OR(K1667="",A1666&lt;&gt;A1667,K1666=""),"",K1667-K1666)</x:f>
      </x:c>
      <x:c r="O1667" t="str">
        <x:v>Sem informação</x:v>
      </x:c>
      <x:c r="P1667"/>
      <x:c r="Q1667"/>
      <x:c r="R1667"/>
      <x:c r="S1667"/>
      <x:c r="T1667"/>
    </x:row>
    <x:row r="1668">
      <x:c r="A1668" t="str">
        <x:v>Rayan Lucas</x:v>
      </x:c>
      <x:c r="B1668" t="n">
        <x:v>2027</x:v>
      </x:c>
      <x:c r="C1668" t="str">
        <x:v>T3</x:v>
      </x:c>
      <x:c r="D1668" t="n">
        <x:v>46660</x:v>
      </x:c>
      <x:c r="E1668" t="str">
        <x:v>Volante</x:v>
      </x:c>
      <x:c r="F1668" t="str">
        <x:v>CR Flamengo Sub-20</x:v>
      </x:c>
      <x:c r="G1668"/>
      <x:c r="H1668"/>
      <x:c r="I1668"/>
      <x:c r="J1668"/>
      <x:c r="K1668" t="str">
        <x:f>IF(COUNT(G1668,I1668)=0,"",AVERAGE(G1668,I1668))</x:f>
      </x:c>
      <x:c r="L1668" t="str">
        <x:f>IF(COUNT(H1668,J1668)=0,"",AVERAGE(H1668,J1668))</x:f>
      </x:c>
      <x:c r="M1668" t="str">
        <x:f>IF(OR(K1668="",L1668=""),"",L1668-K1668)</x:f>
      </x:c>
      <x:c r="N1668" t="str">
        <x:f>IF(OR(K1668="",A1667&lt;&gt;A1668,K1667=""),"",K1668-K1667)</x:f>
      </x:c>
      <x:c r="O1668" t="str">
        <x:v>Sem informação</x:v>
      </x:c>
      <x:c r="P1668"/>
      <x:c r="Q1668"/>
      <x:c r="R1668"/>
      <x:c r="S1668"/>
      <x:c r="T1668"/>
    </x:row>
    <x:row r="1669">
      <x:c r="A1669" t="str">
        <x:v>Rayan Lucas</x:v>
      </x:c>
      <x:c r="B1669" t="n">
        <x:v>2027</x:v>
      </x:c>
      <x:c r="C1669" t="str">
        <x:v>T4</x:v>
      </x:c>
      <x:c r="D1669" t="n">
        <x:v>46752</x:v>
      </x:c>
      <x:c r="E1669" t="str">
        <x:v>Volante</x:v>
      </x:c>
      <x:c r="F1669" t="str">
        <x:v>CR Flamengo Sub-20</x:v>
      </x:c>
      <x:c r="G1669"/>
      <x:c r="H1669"/>
      <x:c r="I1669"/>
      <x:c r="J1669"/>
      <x:c r="K1669" t="str">
        <x:f>IF(COUNT(G1669,I1669)=0,"",AVERAGE(G1669,I1669))</x:f>
      </x:c>
      <x:c r="L1669" t="str">
        <x:f>IF(COUNT(H1669,J1669)=0,"",AVERAGE(H1669,J1669))</x:f>
      </x:c>
      <x:c r="M1669" t="str">
        <x:f>IF(OR(K1669="",L1669=""),"",L1669-K1669)</x:f>
      </x:c>
      <x:c r="N1669" t="str">
        <x:f>IF(OR(K1669="",A1668&lt;&gt;A1669,K1668=""),"",K1669-K1668)</x:f>
      </x:c>
      <x:c r="O1669" t="str">
        <x:v>Sem informação</x:v>
      </x:c>
      <x:c r="P1669"/>
      <x:c r="Q1669"/>
      <x:c r="R1669"/>
      <x:c r="S1669"/>
      <x:c r="T1669"/>
    </x:row>
    <x:row r="1670">
      <x:c r="A1670" t="str">
        <x:v>Rayan Lucas</x:v>
      </x:c>
      <x:c r="B1670" t="n">
        <x:v>2028</x:v>
      </x:c>
      <x:c r="C1670" t="str">
        <x:v>T1</x:v>
      </x:c>
      <x:c r="D1670" t="n">
        <x:v>46843</x:v>
      </x:c>
      <x:c r="E1670" t="str">
        <x:v>Volante</x:v>
      </x:c>
      <x:c r="F1670" t="str">
        <x:v>CR Flamengo Sub-20</x:v>
      </x:c>
      <x:c r="G1670"/>
      <x:c r="H1670"/>
      <x:c r="I1670"/>
      <x:c r="J1670"/>
      <x:c r="K1670" t="str">
        <x:f>IF(COUNT(G1670,I1670)=0,"",AVERAGE(G1670,I1670))</x:f>
      </x:c>
      <x:c r="L1670" t="str">
        <x:f>IF(COUNT(H1670,J1670)=0,"",AVERAGE(H1670,J1670))</x:f>
      </x:c>
      <x:c r="M1670" t="str">
        <x:f>IF(OR(K1670="",L1670=""),"",L1670-K1670)</x:f>
      </x:c>
      <x:c r="N1670" t="str">
        <x:f>IF(OR(K1670="",A1669&lt;&gt;A1670,K1669=""),"",K1670-K1669)</x:f>
      </x:c>
      <x:c r="O1670" t="str">
        <x:v>Sem informação</x:v>
      </x:c>
      <x:c r="P1670"/>
      <x:c r="Q1670"/>
      <x:c r="R1670"/>
      <x:c r="S1670"/>
      <x:c r="T1670"/>
    </x:row>
    <x:row r="1671">
      <x:c r="A1671" t="str">
        <x:v>Rayan Lucas</x:v>
      </x:c>
      <x:c r="B1671" t="n">
        <x:v>2028</x:v>
      </x:c>
      <x:c r="C1671" t="str">
        <x:v>T2</x:v>
      </x:c>
      <x:c r="D1671" t="n">
        <x:v>46934</x:v>
      </x:c>
      <x:c r="E1671" t="str">
        <x:v>Volante</x:v>
      </x:c>
      <x:c r="F1671" t="str">
        <x:v>CR Flamengo Sub-20</x:v>
      </x:c>
      <x:c r="G1671"/>
      <x:c r="H1671"/>
      <x:c r="I1671"/>
      <x:c r="J1671"/>
      <x:c r="K1671" t="str">
        <x:f>IF(COUNT(G1671,I1671)=0,"",AVERAGE(G1671,I1671))</x:f>
      </x:c>
      <x:c r="L1671" t="str">
        <x:f>IF(COUNT(H1671,J1671)=0,"",AVERAGE(H1671,J1671))</x:f>
      </x:c>
      <x:c r="M1671" t="str">
        <x:f>IF(OR(K1671="",L1671=""),"",L1671-K1671)</x:f>
      </x:c>
      <x:c r="N1671" t="str">
        <x:f>IF(OR(K1671="",A1670&lt;&gt;A1671,K1670=""),"",K1671-K1670)</x:f>
      </x:c>
      <x:c r="O1671" t="str">
        <x:v>Sem informação</x:v>
      </x:c>
      <x:c r="P1671"/>
      <x:c r="Q1671"/>
      <x:c r="R1671"/>
      <x:c r="S1671"/>
      <x:c r="T1671"/>
    </x:row>
    <x:row r="1672">
      <x:c r="A1672" t="str">
        <x:v>Rayan Lucas</x:v>
      </x:c>
      <x:c r="B1672" t="n">
        <x:v>2028</x:v>
      </x:c>
      <x:c r="C1672" t="str">
        <x:v>T3</x:v>
      </x:c>
      <x:c r="D1672" t="n">
        <x:v>47026</x:v>
      </x:c>
      <x:c r="E1672" t="str">
        <x:v>Volante</x:v>
      </x:c>
      <x:c r="F1672" t="str">
        <x:v>CR Flamengo Sub-20</x:v>
      </x:c>
      <x:c r="G1672"/>
      <x:c r="H1672"/>
      <x:c r="I1672"/>
      <x:c r="J1672"/>
      <x:c r="K1672" t="str">
        <x:f>IF(COUNT(G1672,I1672)=0,"",AVERAGE(G1672,I1672))</x:f>
      </x:c>
      <x:c r="L1672" t="str">
        <x:f>IF(COUNT(H1672,J1672)=0,"",AVERAGE(H1672,J1672))</x:f>
      </x:c>
      <x:c r="M1672" t="str">
        <x:f>IF(OR(K1672="",L1672=""),"",L1672-K1672)</x:f>
      </x:c>
      <x:c r="N1672" t="str">
        <x:f>IF(OR(K1672="",A1671&lt;&gt;A1672,K1671=""),"",K1672-K1671)</x:f>
      </x:c>
      <x:c r="O1672" t="str">
        <x:v>Sem informação</x:v>
      </x:c>
      <x:c r="P1672"/>
      <x:c r="Q1672"/>
      <x:c r="R1672"/>
      <x:c r="S1672"/>
      <x:c r="T1672"/>
    </x:row>
    <x:row r="1673">
      <x:c r="A1673" t="str">
        <x:v>Rayan Lucas</x:v>
      </x:c>
      <x:c r="B1673" t="n">
        <x:v>2028</x:v>
      </x:c>
      <x:c r="C1673" t="str">
        <x:v>T4</x:v>
      </x:c>
      <x:c r="D1673" t="n">
        <x:v>47118</x:v>
      </x:c>
      <x:c r="E1673" t="str">
        <x:v>Volante</x:v>
      </x:c>
      <x:c r="F1673" t="str">
        <x:v>CR Flamengo Sub-20</x:v>
      </x:c>
      <x:c r="G1673"/>
      <x:c r="H1673"/>
      <x:c r="I1673"/>
      <x:c r="J1673"/>
      <x:c r="K1673" t="str">
        <x:f>IF(COUNT(G1673,I1673)=0,"",AVERAGE(G1673,I1673))</x:f>
      </x:c>
      <x:c r="L1673" t="str">
        <x:f>IF(COUNT(H1673,J1673)=0,"",AVERAGE(H1673,J1673))</x:f>
      </x:c>
      <x:c r="M1673" t="str">
        <x:f>IF(OR(K1673="",L1673=""),"",L1673-K1673)</x:f>
      </x:c>
      <x:c r="N1673" t="str">
        <x:f>IF(OR(K1673="",A1672&lt;&gt;A1673,K1672=""),"",K1673-K1672)</x:f>
      </x:c>
      <x:c r="O1673" t="str">
        <x:v>Sem informação</x:v>
      </x:c>
      <x:c r="P1673"/>
      <x:c r="Q1673"/>
      <x:c r="R1673"/>
      <x:c r="S1673"/>
      <x:c r="T1673"/>
    </x:row>
    <x:row r="1674">
      <x:c r="A1674" t="str">
        <x:v>Rayan Lucas</x:v>
      </x:c>
      <x:c r="B1674" t="n">
        <x:v>2029</x:v>
      </x:c>
      <x:c r="C1674" t="str">
        <x:v>T1</x:v>
      </x:c>
      <x:c r="D1674" t="n">
        <x:v>47208</x:v>
      </x:c>
      <x:c r="E1674" t="str">
        <x:v>Volante</x:v>
      </x:c>
      <x:c r="F1674" t="str">
        <x:v>CR Flamengo Sub-20</x:v>
      </x:c>
      <x:c r="G1674"/>
      <x:c r="H1674"/>
      <x:c r="I1674"/>
      <x:c r="J1674"/>
      <x:c r="K1674" t="str">
        <x:f>IF(COUNT(G1674,I1674)=0,"",AVERAGE(G1674,I1674))</x:f>
      </x:c>
      <x:c r="L1674" t="str">
        <x:f>IF(COUNT(H1674,J1674)=0,"",AVERAGE(H1674,J1674))</x:f>
      </x:c>
      <x:c r="M1674" t="str">
        <x:f>IF(OR(K1674="",L1674=""),"",L1674-K1674)</x:f>
      </x:c>
      <x:c r="N1674" t="str">
        <x:f>IF(OR(K1674="",A1673&lt;&gt;A1674,K1673=""),"",K1674-K1673)</x:f>
      </x:c>
      <x:c r="O1674" t="str">
        <x:v>Sem informação</x:v>
      </x:c>
      <x:c r="P1674"/>
      <x:c r="Q1674"/>
      <x:c r="R1674"/>
      <x:c r="S1674"/>
      <x:c r="T1674"/>
    </x:row>
    <x:row r="1675">
      <x:c r="A1675" t="str">
        <x:v>Rayan Lucas</x:v>
      </x:c>
      <x:c r="B1675" t="n">
        <x:v>2029</x:v>
      </x:c>
      <x:c r="C1675" t="str">
        <x:v>T2</x:v>
      </x:c>
      <x:c r="D1675" t="n">
        <x:v>47299</x:v>
      </x:c>
      <x:c r="E1675" t="str">
        <x:v>Volante</x:v>
      </x:c>
      <x:c r="F1675" t="str">
        <x:v>CR Flamengo Sub-20</x:v>
      </x:c>
      <x:c r="G1675"/>
      <x:c r="H1675"/>
      <x:c r="I1675"/>
      <x:c r="J1675"/>
      <x:c r="K1675" t="str">
        <x:f>IF(COUNT(G1675,I1675)=0,"",AVERAGE(G1675,I1675))</x:f>
      </x:c>
      <x:c r="L1675" t="str">
        <x:f>IF(COUNT(H1675,J1675)=0,"",AVERAGE(H1675,J1675))</x:f>
      </x:c>
      <x:c r="M1675" t="str">
        <x:f>IF(OR(K1675="",L1675=""),"",L1675-K1675)</x:f>
      </x:c>
      <x:c r="N1675" t="str">
        <x:f>IF(OR(K1675="",A1674&lt;&gt;A1675,K1674=""),"",K1675-K1674)</x:f>
      </x:c>
      <x:c r="O1675" t="str">
        <x:v>Sem informação</x:v>
      </x:c>
      <x:c r="P1675"/>
      <x:c r="Q1675"/>
      <x:c r="R1675"/>
      <x:c r="S1675"/>
      <x:c r="T1675"/>
    </x:row>
    <x:row r="1676">
      <x:c r="A1676" t="str">
        <x:v>Rayan Lucas</x:v>
      </x:c>
      <x:c r="B1676" t="n">
        <x:v>2029</x:v>
      </x:c>
      <x:c r="C1676" t="str">
        <x:v>T3</x:v>
      </x:c>
      <x:c r="D1676" t="n">
        <x:v>47391</x:v>
      </x:c>
      <x:c r="E1676" t="str">
        <x:v>Volante</x:v>
      </x:c>
      <x:c r="F1676" t="str">
        <x:v>CR Flamengo Sub-20</x:v>
      </x:c>
      <x:c r="G1676"/>
      <x:c r="H1676"/>
      <x:c r="I1676"/>
      <x:c r="J1676"/>
      <x:c r="K1676" t="str">
        <x:f>IF(COUNT(G1676,I1676)=0,"",AVERAGE(G1676,I1676))</x:f>
      </x:c>
      <x:c r="L1676" t="str">
        <x:f>IF(COUNT(H1676,J1676)=0,"",AVERAGE(H1676,J1676))</x:f>
      </x:c>
      <x:c r="M1676" t="str">
        <x:f>IF(OR(K1676="",L1676=""),"",L1676-K1676)</x:f>
      </x:c>
      <x:c r="N1676" t="str">
        <x:f>IF(OR(K1676="",A1675&lt;&gt;A1676,K1675=""),"",K1676-K1675)</x:f>
      </x:c>
      <x:c r="O1676" t="str">
        <x:v>Sem informação</x:v>
      </x:c>
      <x:c r="P1676"/>
      <x:c r="Q1676"/>
      <x:c r="R1676"/>
      <x:c r="S1676"/>
      <x:c r="T1676"/>
    </x:row>
    <x:row r="1677">
      <x:c r="A1677" t="str">
        <x:v>Rayan Lucas</x:v>
      </x:c>
      <x:c r="B1677" t="n">
        <x:v>2029</x:v>
      </x:c>
      <x:c r="C1677" t="str">
        <x:v>T4</x:v>
      </x:c>
      <x:c r="D1677" t="n">
        <x:v>47483</x:v>
      </x:c>
      <x:c r="E1677" t="str">
        <x:v>Volante</x:v>
      </x:c>
      <x:c r="F1677" t="str">
        <x:v>CR Flamengo Sub-20</x:v>
      </x:c>
      <x:c r="G1677"/>
      <x:c r="H1677"/>
      <x:c r="I1677"/>
      <x:c r="J1677"/>
      <x:c r="K1677" t="str">
        <x:f>IF(COUNT(G1677,I1677)=0,"",AVERAGE(G1677,I1677))</x:f>
      </x:c>
      <x:c r="L1677" t="str">
        <x:f>IF(COUNT(H1677,J1677)=0,"",AVERAGE(H1677,J1677))</x:f>
      </x:c>
      <x:c r="M1677" t="str">
        <x:f>IF(OR(K1677="",L1677=""),"",L1677-K1677)</x:f>
      </x:c>
      <x:c r="N1677" t="str">
        <x:f>IF(OR(K1677="",A1676&lt;&gt;A1677,K1676=""),"",K1677-K1676)</x:f>
      </x:c>
      <x:c r="O1677" t="str">
        <x:v>Sem informação</x:v>
      </x:c>
      <x:c r="P1677"/>
      <x:c r="Q1677"/>
      <x:c r="R1677"/>
      <x:c r="S1677"/>
      <x:c r="T1677"/>
    </x:row>
    <x:row r="1678">
      <x:c r="A1678" t="str">
        <x:v>Rayan Lucas</x:v>
      </x:c>
      <x:c r="B1678" t="n">
        <x:v>2030</x:v>
      </x:c>
      <x:c r="C1678" t="str">
        <x:v>T1</x:v>
      </x:c>
      <x:c r="D1678" t="n">
        <x:v>47573</x:v>
      </x:c>
      <x:c r="E1678" t="str">
        <x:v>Volante</x:v>
      </x:c>
      <x:c r="F1678" t="str">
        <x:v>CR Flamengo Sub-20</x:v>
      </x:c>
      <x:c r="G1678"/>
      <x:c r="H1678"/>
      <x:c r="I1678"/>
      <x:c r="J1678"/>
      <x:c r="K1678" t="str">
        <x:f>IF(COUNT(G1678,I1678)=0,"",AVERAGE(G1678,I1678))</x:f>
      </x:c>
      <x:c r="L1678" t="str">
        <x:f>IF(COUNT(H1678,J1678)=0,"",AVERAGE(H1678,J1678))</x:f>
      </x:c>
      <x:c r="M1678" t="str">
        <x:f>IF(OR(K1678="",L1678=""),"",L1678-K1678)</x:f>
      </x:c>
      <x:c r="N1678" t="str">
        <x:f>IF(OR(K1678="",A1677&lt;&gt;A1678,K1677=""),"",K1678-K1677)</x:f>
      </x:c>
      <x:c r="O1678" t="str">
        <x:v>Sem informação</x:v>
      </x:c>
      <x:c r="P1678"/>
      <x:c r="Q1678"/>
      <x:c r="R1678"/>
      <x:c r="S1678"/>
      <x:c r="T1678"/>
    </x:row>
    <x:row r="1679">
      <x:c r="A1679" t="str">
        <x:v>Rayan Lucas</x:v>
      </x:c>
      <x:c r="B1679" t="n">
        <x:v>2030</x:v>
      </x:c>
      <x:c r="C1679" t="str">
        <x:v>T2</x:v>
      </x:c>
      <x:c r="D1679" t="n">
        <x:v>47664</x:v>
      </x:c>
      <x:c r="E1679" t="str">
        <x:v>Volante</x:v>
      </x:c>
      <x:c r="F1679" t="str">
        <x:v>CR Flamengo Sub-20</x:v>
      </x:c>
      <x:c r="G1679"/>
      <x:c r="H1679"/>
      <x:c r="I1679"/>
      <x:c r="J1679"/>
      <x:c r="K1679" t="str">
        <x:f>IF(COUNT(G1679,I1679)=0,"",AVERAGE(G1679,I1679))</x:f>
      </x:c>
      <x:c r="L1679" t="str">
        <x:f>IF(COUNT(H1679,J1679)=0,"",AVERAGE(H1679,J1679))</x:f>
      </x:c>
      <x:c r="M1679" t="str">
        <x:f>IF(OR(K1679="",L1679=""),"",L1679-K1679)</x:f>
      </x:c>
      <x:c r="N1679" t="str">
        <x:f>IF(OR(K1679="",A1678&lt;&gt;A1679,K1678=""),"",K1679-K1678)</x:f>
      </x:c>
      <x:c r="O1679" t="str">
        <x:v>Sem informação</x:v>
      </x:c>
      <x:c r="P1679"/>
      <x:c r="Q1679"/>
      <x:c r="R1679"/>
      <x:c r="S1679"/>
      <x:c r="T1679"/>
    </x:row>
    <x:row r="1680">
      <x:c r="A1680" t="str">
        <x:v>Rayan Lucas</x:v>
      </x:c>
      <x:c r="B1680" t="n">
        <x:v>2030</x:v>
      </x:c>
      <x:c r="C1680" t="str">
        <x:v>T3</x:v>
      </x:c>
      <x:c r="D1680" t="n">
        <x:v>47756</x:v>
      </x:c>
      <x:c r="E1680" t="str">
        <x:v>Volante</x:v>
      </x:c>
      <x:c r="F1680" t="str">
        <x:v>CR Flamengo Sub-20</x:v>
      </x:c>
      <x:c r="G1680"/>
      <x:c r="H1680"/>
      <x:c r="I1680"/>
      <x:c r="J1680"/>
      <x:c r="K1680" t="str">
        <x:f>IF(COUNT(G1680,I1680)=0,"",AVERAGE(G1680,I1680))</x:f>
      </x:c>
      <x:c r="L1680" t="str">
        <x:f>IF(COUNT(H1680,J1680)=0,"",AVERAGE(H1680,J1680))</x:f>
      </x:c>
      <x:c r="M1680" t="str">
        <x:f>IF(OR(K1680="",L1680=""),"",L1680-K1680)</x:f>
      </x:c>
      <x:c r="N1680" t="str">
        <x:f>IF(OR(K1680="",A1679&lt;&gt;A1680,K1679=""),"",K1680-K1679)</x:f>
      </x:c>
      <x:c r="O1680" t="str">
        <x:v>Sem informação</x:v>
      </x:c>
      <x:c r="P1680"/>
      <x:c r="Q1680"/>
      <x:c r="R1680"/>
      <x:c r="S1680"/>
      <x:c r="T1680"/>
    </x:row>
    <x:row r="1681">
      <x:c r="A1681" t="str">
        <x:v>Rayan Lucas</x:v>
      </x:c>
      <x:c r="B1681" t="n">
        <x:v>2030</x:v>
      </x:c>
      <x:c r="C1681" t="str">
        <x:v>T4</x:v>
      </x:c>
      <x:c r="D1681" t="n">
        <x:v>47848</x:v>
      </x:c>
      <x:c r="E1681" t="str">
        <x:v>Volante</x:v>
      </x:c>
      <x:c r="F1681" t="str">
        <x:v>CR Flamengo Sub-20</x:v>
      </x:c>
      <x:c r="G1681"/>
      <x:c r="H1681"/>
      <x:c r="I1681"/>
      <x:c r="J1681"/>
      <x:c r="K1681" t="str">
        <x:f>IF(COUNT(G1681,I1681)=0,"",AVERAGE(G1681,I1681))</x:f>
      </x:c>
      <x:c r="L1681" t="str">
        <x:f>IF(COUNT(H1681,J1681)=0,"",AVERAGE(H1681,J1681))</x:f>
      </x:c>
      <x:c r="M1681" t="str">
        <x:f>IF(OR(K1681="",L1681=""),"",L1681-K1681)</x:f>
      </x:c>
      <x:c r="N1681" t="str">
        <x:f>IF(OR(K1681="",A1680&lt;&gt;A1681,K1680=""),"",K1681-K1680)</x:f>
      </x:c>
      <x:c r="O1681" t="str">
        <x:v>Sem informação</x:v>
      </x:c>
      <x:c r="P1681"/>
      <x:c r="Q1681"/>
      <x:c r="R1681"/>
      <x:c r="S1681"/>
      <x:c r="T1681"/>
    </x:row>
    <x:row r="1682">
      <x:c r="A1682" t="str">
        <x:v>Riquelme Felipe</x:v>
      </x:c>
      <x:c r="B1682" t="n">
        <x:v>2026</x:v>
      </x:c>
      <x:c r="C1682" t="str">
        <x:v>T1</x:v>
      </x:c>
      <x:c r="D1682" t="n">
        <x:v>46112</x:v>
      </x:c>
      <x:c r="E1682" t="str">
        <x:v>Ponta-direita</x:v>
      </x:c>
      <x:c r="F1682" t="str">
        <x:v>Fluminense FC</x:v>
      </x:c>
      <x:c r="G1682"/>
      <x:c r="H1682"/>
      <x:c r="I1682"/>
      <x:c r="J1682"/>
      <x:c r="K1682" t="str">
        <x:f>IF(COUNT(G1682,I1682)=0,"",AVERAGE(G1682,I1682))</x:f>
      </x:c>
      <x:c r="L1682" t="str">
        <x:f>IF(COUNT(H1682,J1682)=0,"",AVERAGE(H1682,J1682))</x:f>
      </x:c>
      <x:c r="M1682" t="str">
        <x:f>IF(OR(K1682="",L1682=""),"",L1682-K1682)</x:f>
      </x:c>
      <x:c r="N1682" t="str">
        <x:f>IF(OR(K1682="",A1681&lt;&gt;A1682,K1681=""),"",K1682-K1681)</x:f>
      </x:c>
      <x:c r="O1682" t="str">
        <x:v>Sem informação</x:v>
      </x:c>
      <x:c r="P1682"/>
      <x:c r="Q1682"/>
      <x:c r="R1682"/>
      <x:c r="S1682"/>
      <x:c r="T1682"/>
    </x:row>
    <x:row r="1683">
      <x:c r="A1683" t="str">
        <x:v>Riquelme Felipe</x:v>
      </x:c>
      <x:c r="B1683" t="n">
        <x:v>2026</x:v>
      </x:c>
      <x:c r="C1683" t="str">
        <x:v>T2</x:v>
      </x:c>
      <x:c r="D1683" t="n">
        <x:v>46203</x:v>
      </x:c>
      <x:c r="E1683" t="str">
        <x:v>Ponta-direita</x:v>
      </x:c>
      <x:c r="F1683" t="str">
        <x:v>Fluminense FC</x:v>
      </x:c>
      <x:c r="G1683"/>
      <x:c r="H1683"/>
      <x:c r="I1683"/>
      <x:c r="J1683"/>
      <x:c r="K1683" t="str">
        <x:f>IF(COUNT(G1683,I1683)=0,"",AVERAGE(G1683,I1683))</x:f>
      </x:c>
      <x:c r="L1683" t="str">
        <x:f>IF(COUNT(H1683,J1683)=0,"",AVERAGE(H1683,J1683))</x:f>
      </x:c>
      <x:c r="M1683" t="str">
        <x:f>IF(OR(K1683="",L1683=""),"",L1683-K1683)</x:f>
      </x:c>
      <x:c r="N1683" t="str">
        <x:f>IF(OR(K1683="",A1682&lt;&gt;A1683,K1682=""),"",K1683-K1682)</x:f>
      </x:c>
      <x:c r="O1683" t="str">
        <x:v>Sem informação</x:v>
      </x:c>
      <x:c r="P1683"/>
      <x:c r="Q1683"/>
      <x:c r="R1683"/>
      <x:c r="S1683"/>
      <x:c r="T1683"/>
    </x:row>
    <x:row r="1684">
      <x:c r="A1684" t="str">
        <x:v>Riquelme Felipe</x:v>
      </x:c>
      <x:c r="B1684" t="n">
        <x:v>2026</x:v>
      </x:c>
      <x:c r="C1684" t="str">
        <x:v>T3</x:v>
      </x:c>
      <x:c r="D1684" t="n">
        <x:v>46295</x:v>
      </x:c>
      <x:c r="E1684" t="str">
        <x:v>Ponta-direita</x:v>
      </x:c>
      <x:c r="F1684" t="str">
        <x:v>Fluminense FC</x:v>
      </x:c>
      <x:c r="G1684"/>
      <x:c r="H1684"/>
      <x:c r="I1684"/>
      <x:c r="J1684"/>
      <x:c r="K1684" t="str">
        <x:f>IF(COUNT(G1684,I1684)=0,"",AVERAGE(G1684,I1684))</x:f>
      </x:c>
      <x:c r="L1684" t="str">
        <x:f>IF(COUNT(H1684,J1684)=0,"",AVERAGE(H1684,J1684))</x:f>
      </x:c>
      <x:c r="M1684" t="str">
        <x:f>IF(OR(K1684="",L1684=""),"",L1684-K1684)</x:f>
      </x:c>
      <x:c r="N1684" t="str">
        <x:f>IF(OR(K1684="",A1683&lt;&gt;A1684,K1683=""),"",K1684-K1683)</x:f>
      </x:c>
      <x:c r="O1684" t="str">
        <x:v>Sem informação</x:v>
      </x:c>
      <x:c r="P1684"/>
      <x:c r="Q1684"/>
      <x:c r="R1684"/>
      <x:c r="S1684"/>
      <x:c r="T1684"/>
    </x:row>
    <x:row r="1685">
      <x:c r="A1685" t="str">
        <x:v>Riquelme Felipe</x:v>
      </x:c>
      <x:c r="B1685" t="n">
        <x:v>2026</x:v>
      </x:c>
      <x:c r="C1685" t="str">
        <x:v>T4</x:v>
      </x:c>
      <x:c r="D1685" t="n">
        <x:v>46387</x:v>
      </x:c>
      <x:c r="E1685" t="str">
        <x:v>Ponta-direita</x:v>
      </x:c>
      <x:c r="F1685" t="str">
        <x:v>Fluminense FC</x:v>
      </x:c>
      <x:c r="G1685"/>
      <x:c r="H1685"/>
      <x:c r="I1685"/>
      <x:c r="J1685"/>
      <x:c r="K1685" t="str">
        <x:f>IF(COUNT(G1685,I1685)=0,"",AVERAGE(G1685,I1685))</x:f>
      </x:c>
      <x:c r="L1685" t="str">
        <x:f>IF(COUNT(H1685,J1685)=0,"",AVERAGE(H1685,J1685))</x:f>
      </x:c>
      <x:c r="M1685" t="str">
        <x:f>IF(OR(K1685="",L1685=""),"",L1685-K1685)</x:f>
      </x:c>
      <x:c r="N1685" t="str">
        <x:f>IF(OR(K1685="",A1684&lt;&gt;A1685,K1684=""),"",K1685-K1684)</x:f>
      </x:c>
      <x:c r="O1685" t="str">
        <x:v>Sem informação</x:v>
      </x:c>
      <x:c r="P1685"/>
      <x:c r="Q1685"/>
      <x:c r="R1685"/>
      <x:c r="S1685"/>
      <x:c r="T1685"/>
    </x:row>
    <x:row r="1686">
      <x:c r="A1686" t="str">
        <x:v>Riquelme Felipe</x:v>
      </x:c>
      <x:c r="B1686" t="n">
        <x:v>2027</x:v>
      </x:c>
      <x:c r="C1686" t="str">
        <x:v>T1</x:v>
      </x:c>
      <x:c r="D1686" t="n">
        <x:v>46477</x:v>
      </x:c>
      <x:c r="E1686" t="str">
        <x:v>Ponta-direita</x:v>
      </x:c>
      <x:c r="F1686" t="str">
        <x:v>Fluminense FC</x:v>
      </x:c>
      <x:c r="G1686"/>
      <x:c r="H1686"/>
      <x:c r="I1686"/>
      <x:c r="J1686"/>
      <x:c r="K1686" t="str">
        <x:f>IF(COUNT(G1686,I1686)=0,"",AVERAGE(G1686,I1686))</x:f>
      </x:c>
      <x:c r="L1686" t="str">
        <x:f>IF(COUNT(H1686,J1686)=0,"",AVERAGE(H1686,J1686))</x:f>
      </x:c>
      <x:c r="M1686" t="str">
        <x:f>IF(OR(K1686="",L1686=""),"",L1686-K1686)</x:f>
      </x:c>
      <x:c r="N1686" t="str">
        <x:f>IF(OR(K1686="",A1685&lt;&gt;A1686,K1685=""),"",K1686-K1685)</x:f>
      </x:c>
      <x:c r="O1686" t="str">
        <x:v>Sem informação</x:v>
      </x:c>
      <x:c r="P1686"/>
      <x:c r="Q1686"/>
      <x:c r="R1686"/>
      <x:c r="S1686"/>
      <x:c r="T1686"/>
    </x:row>
    <x:row r="1687">
      <x:c r="A1687" t="str">
        <x:v>Riquelme Felipe</x:v>
      </x:c>
      <x:c r="B1687" t="n">
        <x:v>2027</x:v>
      </x:c>
      <x:c r="C1687" t="str">
        <x:v>T2</x:v>
      </x:c>
      <x:c r="D1687" t="n">
        <x:v>46568</x:v>
      </x:c>
      <x:c r="E1687" t="str">
        <x:v>Ponta-direita</x:v>
      </x:c>
      <x:c r="F1687" t="str">
        <x:v>Fluminense FC</x:v>
      </x:c>
      <x:c r="G1687"/>
      <x:c r="H1687"/>
      <x:c r="I1687"/>
      <x:c r="J1687"/>
      <x:c r="K1687" t="str">
        <x:f>IF(COUNT(G1687,I1687)=0,"",AVERAGE(G1687,I1687))</x:f>
      </x:c>
      <x:c r="L1687" t="str">
        <x:f>IF(COUNT(H1687,J1687)=0,"",AVERAGE(H1687,J1687))</x:f>
      </x:c>
      <x:c r="M1687" t="str">
        <x:f>IF(OR(K1687="",L1687=""),"",L1687-K1687)</x:f>
      </x:c>
      <x:c r="N1687" t="str">
        <x:f>IF(OR(K1687="",A1686&lt;&gt;A1687,K1686=""),"",K1687-K1686)</x:f>
      </x:c>
      <x:c r="O1687" t="str">
        <x:v>Sem informação</x:v>
      </x:c>
      <x:c r="P1687"/>
      <x:c r="Q1687"/>
      <x:c r="R1687"/>
      <x:c r="S1687"/>
      <x:c r="T1687"/>
    </x:row>
    <x:row r="1688">
      <x:c r="A1688" t="str">
        <x:v>Riquelme Felipe</x:v>
      </x:c>
      <x:c r="B1688" t="n">
        <x:v>2027</x:v>
      </x:c>
      <x:c r="C1688" t="str">
        <x:v>T3</x:v>
      </x:c>
      <x:c r="D1688" t="n">
        <x:v>46660</x:v>
      </x:c>
      <x:c r="E1688" t="str">
        <x:v>Ponta-direita</x:v>
      </x:c>
      <x:c r="F1688" t="str">
        <x:v>Fluminense FC</x:v>
      </x:c>
      <x:c r="G1688"/>
      <x:c r="H1688"/>
      <x:c r="I1688"/>
      <x:c r="J1688"/>
      <x:c r="K1688" t="str">
        <x:f>IF(COUNT(G1688,I1688)=0,"",AVERAGE(G1688,I1688))</x:f>
      </x:c>
      <x:c r="L1688" t="str">
        <x:f>IF(COUNT(H1688,J1688)=0,"",AVERAGE(H1688,J1688))</x:f>
      </x:c>
      <x:c r="M1688" t="str">
        <x:f>IF(OR(K1688="",L1688=""),"",L1688-K1688)</x:f>
      </x:c>
      <x:c r="N1688" t="str">
        <x:f>IF(OR(K1688="",A1687&lt;&gt;A1688,K1687=""),"",K1688-K1687)</x:f>
      </x:c>
      <x:c r="O1688" t="str">
        <x:v>Sem informação</x:v>
      </x:c>
      <x:c r="P1688"/>
      <x:c r="Q1688"/>
      <x:c r="R1688"/>
      <x:c r="S1688"/>
      <x:c r="T1688"/>
    </x:row>
    <x:row r="1689">
      <x:c r="A1689" t="str">
        <x:v>Riquelme Felipe</x:v>
      </x:c>
      <x:c r="B1689" t="n">
        <x:v>2027</x:v>
      </x:c>
      <x:c r="C1689" t="str">
        <x:v>T4</x:v>
      </x:c>
      <x:c r="D1689" t="n">
        <x:v>46752</x:v>
      </x:c>
      <x:c r="E1689" t="str">
        <x:v>Ponta-direita</x:v>
      </x:c>
      <x:c r="F1689" t="str">
        <x:v>Fluminense FC</x:v>
      </x:c>
      <x:c r="G1689"/>
      <x:c r="H1689"/>
      <x:c r="I1689"/>
      <x:c r="J1689"/>
      <x:c r="K1689" t="str">
        <x:f>IF(COUNT(G1689,I1689)=0,"",AVERAGE(G1689,I1689))</x:f>
      </x:c>
      <x:c r="L1689" t="str">
        <x:f>IF(COUNT(H1689,J1689)=0,"",AVERAGE(H1689,J1689))</x:f>
      </x:c>
      <x:c r="M1689" t="str">
        <x:f>IF(OR(K1689="",L1689=""),"",L1689-K1689)</x:f>
      </x:c>
      <x:c r="N1689" t="str">
        <x:f>IF(OR(K1689="",A1688&lt;&gt;A1689,K1688=""),"",K1689-K1688)</x:f>
      </x:c>
      <x:c r="O1689" t="str">
        <x:v>Sem informação</x:v>
      </x:c>
      <x:c r="P1689"/>
      <x:c r="Q1689"/>
      <x:c r="R1689"/>
      <x:c r="S1689"/>
      <x:c r="T1689"/>
    </x:row>
    <x:row r="1690">
      <x:c r="A1690" t="str">
        <x:v>Riquelme Felipe</x:v>
      </x:c>
      <x:c r="B1690" t="n">
        <x:v>2028</x:v>
      </x:c>
      <x:c r="C1690" t="str">
        <x:v>T1</x:v>
      </x:c>
      <x:c r="D1690" t="n">
        <x:v>46843</x:v>
      </x:c>
      <x:c r="E1690" t="str">
        <x:v>Ponta-direita</x:v>
      </x:c>
      <x:c r="F1690" t="str">
        <x:v>Fluminense FC</x:v>
      </x:c>
      <x:c r="G1690"/>
      <x:c r="H1690"/>
      <x:c r="I1690"/>
      <x:c r="J1690"/>
      <x:c r="K1690" t="str">
        <x:f>IF(COUNT(G1690,I1690)=0,"",AVERAGE(G1690,I1690))</x:f>
      </x:c>
      <x:c r="L1690" t="str">
        <x:f>IF(COUNT(H1690,J1690)=0,"",AVERAGE(H1690,J1690))</x:f>
      </x:c>
      <x:c r="M1690" t="str">
        <x:f>IF(OR(K1690="",L1690=""),"",L1690-K1690)</x:f>
      </x:c>
      <x:c r="N1690" t="str">
        <x:f>IF(OR(K1690="",A1689&lt;&gt;A1690,K1689=""),"",K1690-K1689)</x:f>
      </x:c>
      <x:c r="O1690" t="str">
        <x:v>Sem informação</x:v>
      </x:c>
      <x:c r="P1690"/>
      <x:c r="Q1690"/>
      <x:c r="R1690"/>
      <x:c r="S1690"/>
      <x:c r="T1690"/>
    </x:row>
    <x:row r="1691">
      <x:c r="A1691" t="str">
        <x:v>Riquelme Felipe</x:v>
      </x:c>
      <x:c r="B1691" t="n">
        <x:v>2028</x:v>
      </x:c>
      <x:c r="C1691" t="str">
        <x:v>T2</x:v>
      </x:c>
      <x:c r="D1691" t="n">
        <x:v>46934</x:v>
      </x:c>
      <x:c r="E1691" t="str">
        <x:v>Ponta-direita</x:v>
      </x:c>
      <x:c r="F1691" t="str">
        <x:v>Fluminense FC</x:v>
      </x:c>
      <x:c r="G1691"/>
      <x:c r="H1691"/>
      <x:c r="I1691"/>
      <x:c r="J1691"/>
      <x:c r="K1691" t="str">
        <x:f>IF(COUNT(G1691,I1691)=0,"",AVERAGE(G1691,I1691))</x:f>
      </x:c>
      <x:c r="L1691" t="str">
        <x:f>IF(COUNT(H1691,J1691)=0,"",AVERAGE(H1691,J1691))</x:f>
      </x:c>
      <x:c r="M1691" t="str">
        <x:f>IF(OR(K1691="",L1691=""),"",L1691-K1691)</x:f>
      </x:c>
      <x:c r="N1691" t="str">
        <x:f>IF(OR(K1691="",A1690&lt;&gt;A1691,K1690=""),"",K1691-K1690)</x:f>
      </x:c>
      <x:c r="O1691" t="str">
        <x:v>Sem informação</x:v>
      </x:c>
      <x:c r="P1691"/>
      <x:c r="Q1691"/>
      <x:c r="R1691"/>
      <x:c r="S1691"/>
      <x:c r="T1691"/>
    </x:row>
    <x:row r="1692">
      <x:c r="A1692" t="str">
        <x:v>Riquelme Felipe</x:v>
      </x:c>
      <x:c r="B1692" t="n">
        <x:v>2028</x:v>
      </x:c>
      <x:c r="C1692" t="str">
        <x:v>T3</x:v>
      </x:c>
      <x:c r="D1692" t="n">
        <x:v>47026</x:v>
      </x:c>
      <x:c r="E1692" t="str">
        <x:v>Ponta-direita</x:v>
      </x:c>
      <x:c r="F1692" t="str">
        <x:v>Fluminense FC</x:v>
      </x:c>
      <x:c r="G1692"/>
      <x:c r="H1692"/>
      <x:c r="I1692"/>
      <x:c r="J1692"/>
      <x:c r="K1692" t="str">
        <x:f>IF(COUNT(G1692,I1692)=0,"",AVERAGE(G1692,I1692))</x:f>
      </x:c>
      <x:c r="L1692" t="str">
        <x:f>IF(COUNT(H1692,J1692)=0,"",AVERAGE(H1692,J1692))</x:f>
      </x:c>
      <x:c r="M1692" t="str">
        <x:f>IF(OR(K1692="",L1692=""),"",L1692-K1692)</x:f>
      </x:c>
      <x:c r="N1692" t="str">
        <x:f>IF(OR(K1692="",A1691&lt;&gt;A1692,K1691=""),"",K1692-K1691)</x:f>
      </x:c>
      <x:c r="O1692" t="str">
        <x:v>Sem informação</x:v>
      </x:c>
      <x:c r="P1692"/>
      <x:c r="Q1692"/>
      <x:c r="R1692"/>
      <x:c r="S1692"/>
      <x:c r="T1692"/>
    </x:row>
    <x:row r="1693">
      <x:c r="A1693" t="str">
        <x:v>Riquelme Felipe</x:v>
      </x:c>
      <x:c r="B1693" t="n">
        <x:v>2028</x:v>
      </x:c>
      <x:c r="C1693" t="str">
        <x:v>T4</x:v>
      </x:c>
      <x:c r="D1693" t="n">
        <x:v>47118</x:v>
      </x:c>
      <x:c r="E1693" t="str">
        <x:v>Ponta-direita</x:v>
      </x:c>
      <x:c r="F1693" t="str">
        <x:v>Fluminense FC</x:v>
      </x:c>
      <x:c r="G1693"/>
      <x:c r="H1693"/>
      <x:c r="I1693"/>
      <x:c r="J1693"/>
      <x:c r="K1693" t="str">
        <x:f>IF(COUNT(G1693,I1693)=0,"",AVERAGE(G1693,I1693))</x:f>
      </x:c>
      <x:c r="L1693" t="str">
        <x:f>IF(COUNT(H1693,J1693)=0,"",AVERAGE(H1693,J1693))</x:f>
      </x:c>
      <x:c r="M1693" t="str">
        <x:f>IF(OR(K1693="",L1693=""),"",L1693-K1693)</x:f>
      </x:c>
      <x:c r="N1693" t="str">
        <x:f>IF(OR(K1693="",A1692&lt;&gt;A1693,K1692=""),"",K1693-K1692)</x:f>
      </x:c>
      <x:c r="O1693" t="str">
        <x:v>Sem informação</x:v>
      </x:c>
      <x:c r="P1693"/>
      <x:c r="Q1693"/>
      <x:c r="R1693"/>
      <x:c r="S1693"/>
      <x:c r="T1693"/>
    </x:row>
    <x:row r="1694">
      <x:c r="A1694" t="str">
        <x:v>Riquelme Felipe</x:v>
      </x:c>
      <x:c r="B1694" t="n">
        <x:v>2029</x:v>
      </x:c>
      <x:c r="C1694" t="str">
        <x:v>T1</x:v>
      </x:c>
      <x:c r="D1694" t="n">
        <x:v>47208</x:v>
      </x:c>
      <x:c r="E1694" t="str">
        <x:v>Ponta-direita</x:v>
      </x:c>
      <x:c r="F1694" t="str">
        <x:v>Fluminense FC</x:v>
      </x:c>
      <x:c r="G1694"/>
      <x:c r="H1694"/>
      <x:c r="I1694"/>
      <x:c r="J1694"/>
      <x:c r="K1694" t="str">
        <x:f>IF(COUNT(G1694,I1694)=0,"",AVERAGE(G1694,I1694))</x:f>
      </x:c>
      <x:c r="L1694" t="str">
        <x:f>IF(COUNT(H1694,J1694)=0,"",AVERAGE(H1694,J1694))</x:f>
      </x:c>
      <x:c r="M1694" t="str">
        <x:f>IF(OR(K1694="",L1694=""),"",L1694-K1694)</x:f>
      </x:c>
      <x:c r="N1694" t="str">
        <x:f>IF(OR(K1694="",A1693&lt;&gt;A1694,K1693=""),"",K1694-K1693)</x:f>
      </x:c>
      <x:c r="O1694" t="str">
        <x:v>Sem informação</x:v>
      </x:c>
      <x:c r="P1694"/>
      <x:c r="Q1694"/>
      <x:c r="R1694"/>
      <x:c r="S1694"/>
      <x:c r="T1694"/>
    </x:row>
    <x:row r="1695">
      <x:c r="A1695" t="str">
        <x:v>Riquelme Felipe</x:v>
      </x:c>
      <x:c r="B1695" t="n">
        <x:v>2029</x:v>
      </x:c>
      <x:c r="C1695" t="str">
        <x:v>T2</x:v>
      </x:c>
      <x:c r="D1695" t="n">
        <x:v>47299</x:v>
      </x:c>
      <x:c r="E1695" t="str">
        <x:v>Ponta-direita</x:v>
      </x:c>
      <x:c r="F1695" t="str">
        <x:v>Fluminense FC</x:v>
      </x:c>
      <x:c r="G1695"/>
      <x:c r="H1695"/>
      <x:c r="I1695"/>
      <x:c r="J1695"/>
      <x:c r="K1695" t="str">
        <x:f>IF(COUNT(G1695,I1695)=0,"",AVERAGE(G1695,I1695))</x:f>
      </x:c>
      <x:c r="L1695" t="str">
        <x:f>IF(COUNT(H1695,J1695)=0,"",AVERAGE(H1695,J1695))</x:f>
      </x:c>
      <x:c r="M1695" t="str">
        <x:f>IF(OR(K1695="",L1695=""),"",L1695-K1695)</x:f>
      </x:c>
      <x:c r="N1695" t="str">
        <x:f>IF(OR(K1695="",A1694&lt;&gt;A1695,K1694=""),"",K1695-K1694)</x:f>
      </x:c>
      <x:c r="O1695" t="str">
        <x:v>Sem informação</x:v>
      </x:c>
      <x:c r="P1695"/>
      <x:c r="Q1695"/>
      <x:c r="R1695"/>
      <x:c r="S1695"/>
      <x:c r="T1695"/>
    </x:row>
    <x:row r="1696">
      <x:c r="A1696" t="str">
        <x:v>Riquelme Felipe</x:v>
      </x:c>
      <x:c r="B1696" t="n">
        <x:v>2029</x:v>
      </x:c>
      <x:c r="C1696" t="str">
        <x:v>T3</x:v>
      </x:c>
      <x:c r="D1696" t="n">
        <x:v>47391</x:v>
      </x:c>
      <x:c r="E1696" t="str">
        <x:v>Ponta-direita</x:v>
      </x:c>
      <x:c r="F1696" t="str">
        <x:v>Fluminense FC</x:v>
      </x:c>
      <x:c r="G1696"/>
      <x:c r="H1696"/>
      <x:c r="I1696"/>
      <x:c r="J1696"/>
      <x:c r="K1696" t="str">
        <x:f>IF(COUNT(G1696,I1696)=0,"",AVERAGE(G1696,I1696))</x:f>
      </x:c>
      <x:c r="L1696" t="str">
        <x:f>IF(COUNT(H1696,J1696)=0,"",AVERAGE(H1696,J1696))</x:f>
      </x:c>
      <x:c r="M1696" t="str">
        <x:f>IF(OR(K1696="",L1696=""),"",L1696-K1696)</x:f>
      </x:c>
      <x:c r="N1696" t="str">
        <x:f>IF(OR(K1696="",A1695&lt;&gt;A1696,K1695=""),"",K1696-K1695)</x:f>
      </x:c>
      <x:c r="O1696" t="str">
        <x:v>Sem informação</x:v>
      </x:c>
      <x:c r="P1696"/>
      <x:c r="Q1696"/>
      <x:c r="R1696"/>
      <x:c r="S1696"/>
      <x:c r="T1696"/>
    </x:row>
    <x:row r="1697">
      <x:c r="A1697" t="str">
        <x:v>Riquelme Felipe</x:v>
      </x:c>
      <x:c r="B1697" t="n">
        <x:v>2029</x:v>
      </x:c>
      <x:c r="C1697" t="str">
        <x:v>T4</x:v>
      </x:c>
      <x:c r="D1697" t="n">
        <x:v>47483</x:v>
      </x:c>
      <x:c r="E1697" t="str">
        <x:v>Ponta-direita</x:v>
      </x:c>
      <x:c r="F1697" t="str">
        <x:v>Fluminense FC</x:v>
      </x:c>
      <x:c r="G1697"/>
      <x:c r="H1697"/>
      <x:c r="I1697"/>
      <x:c r="J1697"/>
      <x:c r="K1697" t="str">
        <x:f>IF(COUNT(G1697,I1697)=0,"",AVERAGE(G1697,I1697))</x:f>
      </x:c>
      <x:c r="L1697" t="str">
        <x:f>IF(COUNT(H1697,J1697)=0,"",AVERAGE(H1697,J1697))</x:f>
      </x:c>
      <x:c r="M1697" t="str">
        <x:f>IF(OR(K1697="",L1697=""),"",L1697-K1697)</x:f>
      </x:c>
      <x:c r="N1697" t="str">
        <x:f>IF(OR(K1697="",A1696&lt;&gt;A1697,K1696=""),"",K1697-K1696)</x:f>
      </x:c>
      <x:c r="O1697" t="str">
        <x:v>Sem informação</x:v>
      </x:c>
      <x:c r="P1697"/>
      <x:c r="Q1697"/>
      <x:c r="R1697"/>
      <x:c r="S1697"/>
      <x:c r="T1697"/>
    </x:row>
    <x:row r="1698">
      <x:c r="A1698" t="str">
        <x:v>Riquelme Felipe</x:v>
      </x:c>
      <x:c r="B1698" t="n">
        <x:v>2030</x:v>
      </x:c>
      <x:c r="C1698" t="str">
        <x:v>T1</x:v>
      </x:c>
      <x:c r="D1698" t="n">
        <x:v>47573</x:v>
      </x:c>
      <x:c r="E1698" t="str">
        <x:v>Ponta-direita</x:v>
      </x:c>
      <x:c r="F1698" t="str">
        <x:v>Fluminense FC</x:v>
      </x:c>
      <x:c r="G1698"/>
      <x:c r="H1698"/>
      <x:c r="I1698"/>
      <x:c r="J1698"/>
      <x:c r="K1698" t="str">
        <x:f>IF(COUNT(G1698,I1698)=0,"",AVERAGE(G1698,I1698))</x:f>
      </x:c>
      <x:c r="L1698" t="str">
        <x:f>IF(COUNT(H1698,J1698)=0,"",AVERAGE(H1698,J1698))</x:f>
      </x:c>
      <x:c r="M1698" t="str">
        <x:f>IF(OR(K1698="",L1698=""),"",L1698-K1698)</x:f>
      </x:c>
      <x:c r="N1698" t="str">
        <x:f>IF(OR(K1698="",A1697&lt;&gt;A1698,K1697=""),"",K1698-K1697)</x:f>
      </x:c>
      <x:c r="O1698" t="str">
        <x:v>Sem informação</x:v>
      </x:c>
      <x:c r="P1698"/>
      <x:c r="Q1698"/>
      <x:c r="R1698"/>
      <x:c r="S1698"/>
      <x:c r="T1698"/>
    </x:row>
    <x:row r="1699">
      <x:c r="A1699" t="str">
        <x:v>Riquelme Felipe</x:v>
      </x:c>
      <x:c r="B1699" t="n">
        <x:v>2030</x:v>
      </x:c>
      <x:c r="C1699" t="str">
        <x:v>T2</x:v>
      </x:c>
      <x:c r="D1699" t="n">
        <x:v>47664</x:v>
      </x:c>
      <x:c r="E1699" t="str">
        <x:v>Ponta-direita</x:v>
      </x:c>
      <x:c r="F1699" t="str">
        <x:v>Fluminense FC</x:v>
      </x:c>
      <x:c r="G1699"/>
      <x:c r="H1699"/>
      <x:c r="I1699"/>
      <x:c r="J1699"/>
      <x:c r="K1699" t="str">
        <x:f>IF(COUNT(G1699,I1699)=0,"",AVERAGE(G1699,I1699))</x:f>
      </x:c>
      <x:c r="L1699" t="str">
        <x:f>IF(COUNT(H1699,J1699)=0,"",AVERAGE(H1699,J1699))</x:f>
      </x:c>
      <x:c r="M1699" t="str">
        <x:f>IF(OR(K1699="",L1699=""),"",L1699-K1699)</x:f>
      </x:c>
      <x:c r="N1699" t="str">
        <x:f>IF(OR(K1699="",A1698&lt;&gt;A1699,K1698=""),"",K1699-K1698)</x:f>
      </x:c>
      <x:c r="O1699" t="str">
        <x:v>Sem informação</x:v>
      </x:c>
      <x:c r="P1699"/>
      <x:c r="Q1699"/>
      <x:c r="R1699"/>
      <x:c r="S1699"/>
      <x:c r="T1699"/>
    </x:row>
    <x:row r="1700">
      <x:c r="A1700" t="str">
        <x:v>Riquelme Felipe</x:v>
      </x:c>
      <x:c r="B1700" t="n">
        <x:v>2030</x:v>
      </x:c>
      <x:c r="C1700" t="str">
        <x:v>T3</x:v>
      </x:c>
      <x:c r="D1700" t="n">
        <x:v>47756</x:v>
      </x:c>
      <x:c r="E1700" t="str">
        <x:v>Ponta-direita</x:v>
      </x:c>
      <x:c r="F1700" t="str">
        <x:v>Fluminense FC</x:v>
      </x:c>
      <x:c r="G1700"/>
      <x:c r="H1700"/>
      <x:c r="I1700"/>
      <x:c r="J1700"/>
      <x:c r="K1700" t="str">
        <x:f>IF(COUNT(G1700,I1700)=0,"",AVERAGE(G1700,I1700))</x:f>
      </x:c>
      <x:c r="L1700" t="str">
        <x:f>IF(COUNT(H1700,J1700)=0,"",AVERAGE(H1700,J1700))</x:f>
      </x:c>
      <x:c r="M1700" t="str">
        <x:f>IF(OR(K1700="",L1700=""),"",L1700-K1700)</x:f>
      </x:c>
      <x:c r="N1700" t="str">
        <x:f>IF(OR(K1700="",A1699&lt;&gt;A1700,K1699=""),"",K1700-K1699)</x:f>
      </x:c>
      <x:c r="O1700" t="str">
        <x:v>Sem informação</x:v>
      </x:c>
      <x:c r="P1700"/>
      <x:c r="Q1700"/>
      <x:c r="R1700"/>
      <x:c r="S1700"/>
      <x:c r="T1700"/>
    </x:row>
    <x:row r="1701">
      <x:c r="A1701" t="str">
        <x:v>Riquelme Felipe</x:v>
      </x:c>
      <x:c r="B1701" t="n">
        <x:v>2030</x:v>
      </x:c>
      <x:c r="C1701" t="str">
        <x:v>T4</x:v>
      </x:c>
      <x:c r="D1701" t="n">
        <x:v>47848</x:v>
      </x:c>
      <x:c r="E1701" t="str">
        <x:v>Ponta-direita</x:v>
      </x:c>
      <x:c r="F1701" t="str">
        <x:v>Fluminense FC</x:v>
      </x:c>
      <x:c r="G1701"/>
      <x:c r="H1701"/>
      <x:c r="I1701"/>
      <x:c r="J1701"/>
      <x:c r="K1701" t="str">
        <x:f>IF(COUNT(G1701,I1701)=0,"",AVERAGE(G1701,I1701))</x:f>
      </x:c>
      <x:c r="L1701" t="str">
        <x:f>IF(COUNT(H1701,J1701)=0,"",AVERAGE(H1701,J1701))</x:f>
      </x:c>
      <x:c r="M1701" t="str">
        <x:f>IF(OR(K1701="",L1701=""),"",L1701-K1701)</x:f>
      </x:c>
      <x:c r="N1701" t="str">
        <x:f>IF(OR(K1701="",A1700&lt;&gt;A1701,K1700=""),"",K1701-K1700)</x:f>
      </x:c>
      <x:c r="O1701" t="str">
        <x:v>Sem informação</x:v>
      </x:c>
      <x:c r="P1701"/>
      <x:c r="Q1701"/>
      <x:c r="R1701"/>
      <x:c r="S1701"/>
      <x:c r="T1701"/>
    </x:row>
    <x:row r="1702">
      <x:c r="A1702" t="str">
        <x:v>Abner Vinícius</x:v>
      </x:c>
      <x:c r="B1702" t="n">
        <x:v>2026</x:v>
      </x:c>
      <x:c r="C1702" t="str">
        <x:v>T1</x:v>
      </x:c>
      <x:c r="D1702" t="n">
        <x:v>46112</x:v>
      </x:c>
      <x:c r="E1702" t="str">
        <x:v>Lateral-esquerdo</x:v>
      </x:c>
      <x:c r="F1702" t="str">
        <x:v>Olympique Lyon</x:v>
      </x:c>
      <x:c r="G1702"/>
      <x:c r="H1702"/>
      <x:c r="I1702"/>
      <x:c r="J1702"/>
      <x:c r="K1702" t="str">
        <x:f>IF(COUNT(G1702,I1702)=0,"",AVERAGE(G1702,I1702))</x:f>
      </x:c>
      <x:c r="L1702" t="str">
        <x:f>IF(COUNT(H1702,J1702)=0,"",AVERAGE(H1702,J1702))</x:f>
      </x:c>
      <x:c r="M1702" t="str">
        <x:f>IF(OR(K1702="",L1702=""),"",L1702-K1702)</x:f>
      </x:c>
      <x:c r="N1702" t="str">
        <x:f>IF(OR(K1702="",A1701&lt;&gt;A1702,K1701=""),"",K1702-K1701)</x:f>
      </x:c>
      <x:c r="O1702" t="str">
        <x:v>Sem informação</x:v>
      </x:c>
      <x:c r="P1702"/>
      <x:c r="Q1702"/>
      <x:c r="R1702"/>
      <x:c r="S1702"/>
      <x:c r="T1702"/>
    </x:row>
    <x:row r="1703">
      <x:c r="A1703" t="str">
        <x:v>Abner Vinícius</x:v>
      </x:c>
      <x:c r="B1703" t="n">
        <x:v>2026</x:v>
      </x:c>
      <x:c r="C1703" t="str">
        <x:v>T2</x:v>
      </x:c>
      <x:c r="D1703" t="n">
        <x:v>46203</x:v>
      </x:c>
      <x:c r="E1703" t="str">
        <x:v>Lateral-esquerdo</x:v>
      </x:c>
      <x:c r="F1703" t="str">
        <x:v>Olympique Lyon</x:v>
      </x:c>
      <x:c r="G1703"/>
      <x:c r="H1703"/>
      <x:c r="I1703"/>
      <x:c r="J1703"/>
      <x:c r="K1703" t="str">
        <x:f>IF(COUNT(G1703,I1703)=0,"",AVERAGE(G1703,I1703))</x:f>
      </x:c>
      <x:c r="L1703" t="str">
        <x:f>IF(COUNT(H1703,J1703)=0,"",AVERAGE(H1703,J1703))</x:f>
      </x:c>
      <x:c r="M1703" t="str">
        <x:f>IF(OR(K1703="",L1703=""),"",L1703-K1703)</x:f>
      </x:c>
      <x:c r="N1703" t="str">
        <x:f>IF(OR(K1703="",A1702&lt;&gt;A1703,K1702=""),"",K1703-K1702)</x:f>
      </x:c>
      <x:c r="O1703" t="str">
        <x:v>Sem informação</x:v>
      </x:c>
      <x:c r="P1703"/>
      <x:c r="Q1703"/>
      <x:c r="R1703"/>
      <x:c r="S1703"/>
      <x:c r="T1703"/>
    </x:row>
    <x:row r="1704">
      <x:c r="A1704" t="str">
        <x:v>Abner Vinícius</x:v>
      </x:c>
      <x:c r="B1704" t="n">
        <x:v>2026</x:v>
      </x:c>
      <x:c r="C1704" t="str">
        <x:v>T3</x:v>
      </x:c>
      <x:c r="D1704" t="n">
        <x:v>46295</x:v>
      </x:c>
      <x:c r="E1704" t="str">
        <x:v>Lateral-esquerdo</x:v>
      </x:c>
      <x:c r="F1704" t="str">
        <x:v>Olympique Lyon</x:v>
      </x:c>
      <x:c r="G1704"/>
      <x:c r="H1704"/>
      <x:c r="I1704"/>
      <x:c r="J1704"/>
      <x:c r="K1704" t="str">
        <x:f>IF(COUNT(G1704,I1704)=0,"",AVERAGE(G1704,I1704))</x:f>
      </x:c>
      <x:c r="L1704" t="str">
        <x:f>IF(COUNT(H1704,J1704)=0,"",AVERAGE(H1704,J1704))</x:f>
      </x:c>
      <x:c r="M1704" t="str">
        <x:f>IF(OR(K1704="",L1704=""),"",L1704-K1704)</x:f>
      </x:c>
      <x:c r="N1704" t="str">
        <x:f>IF(OR(K1704="",A1703&lt;&gt;A1704,K1703=""),"",K1704-K1703)</x:f>
      </x:c>
      <x:c r="O1704" t="str">
        <x:v>Sem informação</x:v>
      </x:c>
      <x:c r="P1704"/>
      <x:c r="Q1704"/>
      <x:c r="R1704"/>
      <x:c r="S1704"/>
      <x:c r="T1704"/>
    </x:row>
    <x:row r="1705">
      <x:c r="A1705" t="str">
        <x:v>Abner Vinícius</x:v>
      </x:c>
      <x:c r="B1705" t="n">
        <x:v>2026</x:v>
      </x:c>
      <x:c r="C1705" t="str">
        <x:v>T4</x:v>
      </x:c>
      <x:c r="D1705" t="n">
        <x:v>46387</x:v>
      </x:c>
      <x:c r="E1705" t="str">
        <x:v>Lateral-esquerdo</x:v>
      </x:c>
      <x:c r="F1705" t="str">
        <x:v>Olympique Lyon</x:v>
      </x:c>
      <x:c r="G1705"/>
      <x:c r="H1705"/>
      <x:c r="I1705"/>
      <x:c r="J1705"/>
      <x:c r="K1705" t="str">
        <x:f>IF(COUNT(G1705,I1705)=0,"",AVERAGE(G1705,I1705))</x:f>
      </x:c>
      <x:c r="L1705" t="str">
        <x:f>IF(COUNT(H1705,J1705)=0,"",AVERAGE(H1705,J1705))</x:f>
      </x:c>
      <x:c r="M1705" t="str">
        <x:f>IF(OR(K1705="",L1705=""),"",L1705-K1705)</x:f>
      </x:c>
      <x:c r="N1705" t="str">
        <x:f>IF(OR(K1705="",A1704&lt;&gt;A1705,K1704=""),"",K1705-K1704)</x:f>
      </x:c>
      <x:c r="O1705" t="str">
        <x:v>Sem informação</x:v>
      </x:c>
      <x:c r="P1705"/>
      <x:c r="Q1705"/>
      <x:c r="R1705"/>
      <x:c r="S1705"/>
      <x:c r="T1705"/>
    </x:row>
    <x:row r="1706">
      <x:c r="A1706" t="str">
        <x:v>Abner Vinícius</x:v>
      </x:c>
      <x:c r="B1706" t="n">
        <x:v>2027</x:v>
      </x:c>
      <x:c r="C1706" t="str">
        <x:v>T1</x:v>
      </x:c>
      <x:c r="D1706" t="n">
        <x:v>46477</x:v>
      </x:c>
      <x:c r="E1706" t="str">
        <x:v>Lateral-esquerdo</x:v>
      </x:c>
      <x:c r="F1706" t="str">
        <x:v>Olympique Lyon</x:v>
      </x:c>
      <x:c r="G1706"/>
      <x:c r="H1706"/>
      <x:c r="I1706"/>
      <x:c r="J1706"/>
      <x:c r="K1706" t="str">
        <x:f>IF(COUNT(G1706,I1706)=0,"",AVERAGE(G1706,I1706))</x:f>
      </x:c>
      <x:c r="L1706" t="str">
        <x:f>IF(COUNT(H1706,J1706)=0,"",AVERAGE(H1706,J1706))</x:f>
      </x:c>
      <x:c r="M1706" t="str">
        <x:f>IF(OR(K1706="",L1706=""),"",L1706-K1706)</x:f>
      </x:c>
      <x:c r="N1706" t="str">
        <x:f>IF(OR(K1706="",A1705&lt;&gt;A1706,K1705=""),"",K1706-K1705)</x:f>
      </x:c>
      <x:c r="O1706" t="str">
        <x:v>Sem informação</x:v>
      </x:c>
      <x:c r="P1706"/>
      <x:c r="Q1706"/>
      <x:c r="R1706"/>
      <x:c r="S1706"/>
      <x:c r="T1706"/>
    </x:row>
    <x:row r="1707">
      <x:c r="A1707" t="str">
        <x:v>Abner Vinícius</x:v>
      </x:c>
      <x:c r="B1707" t="n">
        <x:v>2027</x:v>
      </x:c>
      <x:c r="C1707" t="str">
        <x:v>T2</x:v>
      </x:c>
      <x:c r="D1707" t="n">
        <x:v>46568</x:v>
      </x:c>
      <x:c r="E1707" t="str">
        <x:v>Lateral-esquerdo</x:v>
      </x:c>
      <x:c r="F1707" t="str">
        <x:v>Olympique Lyon</x:v>
      </x:c>
      <x:c r="G1707"/>
      <x:c r="H1707"/>
      <x:c r="I1707"/>
      <x:c r="J1707"/>
      <x:c r="K1707" t="str">
        <x:f>IF(COUNT(G1707,I1707)=0,"",AVERAGE(G1707,I1707))</x:f>
      </x:c>
      <x:c r="L1707" t="str">
        <x:f>IF(COUNT(H1707,J1707)=0,"",AVERAGE(H1707,J1707))</x:f>
      </x:c>
      <x:c r="M1707" t="str">
        <x:f>IF(OR(K1707="",L1707=""),"",L1707-K1707)</x:f>
      </x:c>
      <x:c r="N1707" t="str">
        <x:f>IF(OR(K1707="",A1706&lt;&gt;A1707,K1706=""),"",K1707-K1706)</x:f>
      </x:c>
      <x:c r="O1707" t="str">
        <x:v>Sem informação</x:v>
      </x:c>
      <x:c r="P1707"/>
      <x:c r="Q1707"/>
      <x:c r="R1707"/>
      <x:c r="S1707"/>
      <x:c r="T1707"/>
    </x:row>
    <x:row r="1708">
      <x:c r="A1708" t="str">
        <x:v>Abner Vinícius</x:v>
      </x:c>
      <x:c r="B1708" t="n">
        <x:v>2027</x:v>
      </x:c>
      <x:c r="C1708" t="str">
        <x:v>T3</x:v>
      </x:c>
      <x:c r="D1708" t="n">
        <x:v>46660</x:v>
      </x:c>
      <x:c r="E1708" t="str">
        <x:v>Lateral-esquerdo</x:v>
      </x:c>
      <x:c r="F1708" t="str">
        <x:v>Olympique Lyon</x:v>
      </x:c>
      <x:c r="G1708"/>
      <x:c r="H1708"/>
      <x:c r="I1708"/>
      <x:c r="J1708"/>
      <x:c r="K1708" t="str">
        <x:f>IF(COUNT(G1708,I1708)=0,"",AVERAGE(G1708,I1708))</x:f>
      </x:c>
      <x:c r="L1708" t="str">
        <x:f>IF(COUNT(H1708,J1708)=0,"",AVERAGE(H1708,J1708))</x:f>
      </x:c>
      <x:c r="M1708" t="str">
        <x:f>IF(OR(K1708="",L1708=""),"",L1708-K1708)</x:f>
      </x:c>
      <x:c r="N1708" t="str">
        <x:f>IF(OR(K1708="",A1707&lt;&gt;A1708,K1707=""),"",K1708-K1707)</x:f>
      </x:c>
      <x:c r="O1708" t="str">
        <x:v>Sem informação</x:v>
      </x:c>
      <x:c r="P1708"/>
      <x:c r="Q1708"/>
      <x:c r="R1708"/>
      <x:c r="S1708"/>
      <x:c r="T1708"/>
    </x:row>
    <x:row r="1709">
      <x:c r="A1709" t="str">
        <x:v>Abner Vinícius</x:v>
      </x:c>
      <x:c r="B1709" t="n">
        <x:v>2027</x:v>
      </x:c>
      <x:c r="C1709" t="str">
        <x:v>T4</x:v>
      </x:c>
      <x:c r="D1709" t="n">
        <x:v>46752</x:v>
      </x:c>
      <x:c r="E1709" t="str">
        <x:v>Lateral-esquerdo</x:v>
      </x:c>
      <x:c r="F1709" t="str">
        <x:v>Olympique Lyon</x:v>
      </x:c>
      <x:c r="G1709"/>
      <x:c r="H1709"/>
      <x:c r="I1709"/>
      <x:c r="J1709"/>
      <x:c r="K1709" t="str">
        <x:f>IF(COUNT(G1709,I1709)=0,"",AVERAGE(G1709,I1709))</x:f>
      </x:c>
      <x:c r="L1709" t="str">
        <x:f>IF(COUNT(H1709,J1709)=0,"",AVERAGE(H1709,J1709))</x:f>
      </x:c>
      <x:c r="M1709" t="str">
        <x:f>IF(OR(K1709="",L1709=""),"",L1709-K1709)</x:f>
      </x:c>
      <x:c r="N1709" t="str">
        <x:f>IF(OR(K1709="",A1708&lt;&gt;A1709,K1708=""),"",K1709-K1708)</x:f>
      </x:c>
      <x:c r="O1709" t="str">
        <x:v>Sem informação</x:v>
      </x:c>
      <x:c r="P1709"/>
      <x:c r="Q1709"/>
      <x:c r="R1709"/>
      <x:c r="S1709"/>
      <x:c r="T1709"/>
    </x:row>
    <x:row r="1710">
      <x:c r="A1710" t="str">
        <x:v>Abner Vinícius</x:v>
      </x:c>
      <x:c r="B1710" t="n">
        <x:v>2028</x:v>
      </x:c>
      <x:c r="C1710" t="str">
        <x:v>T1</x:v>
      </x:c>
      <x:c r="D1710" t="n">
        <x:v>46843</x:v>
      </x:c>
      <x:c r="E1710" t="str">
        <x:v>Lateral-esquerdo</x:v>
      </x:c>
      <x:c r="F1710" t="str">
        <x:v>Olympique Lyon</x:v>
      </x:c>
      <x:c r="G1710"/>
      <x:c r="H1710"/>
      <x:c r="I1710"/>
      <x:c r="J1710"/>
      <x:c r="K1710" t="str">
        <x:f>IF(COUNT(G1710,I1710)=0,"",AVERAGE(G1710,I1710))</x:f>
      </x:c>
      <x:c r="L1710" t="str">
        <x:f>IF(COUNT(H1710,J1710)=0,"",AVERAGE(H1710,J1710))</x:f>
      </x:c>
      <x:c r="M1710" t="str">
        <x:f>IF(OR(K1710="",L1710=""),"",L1710-K1710)</x:f>
      </x:c>
      <x:c r="N1710" t="str">
        <x:f>IF(OR(K1710="",A1709&lt;&gt;A1710,K1709=""),"",K1710-K1709)</x:f>
      </x:c>
      <x:c r="O1710" t="str">
        <x:v>Sem informação</x:v>
      </x:c>
      <x:c r="P1710"/>
      <x:c r="Q1710"/>
      <x:c r="R1710"/>
      <x:c r="S1710"/>
      <x:c r="T1710"/>
    </x:row>
    <x:row r="1711">
      <x:c r="A1711" t="str">
        <x:v>Abner Vinícius</x:v>
      </x:c>
      <x:c r="B1711" t="n">
        <x:v>2028</x:v>
      </x:c>
      <x:c r="C1711" t="str">
        <x:v>T2</x:v>
      </x:c>
      <x:c r="D1711" t="n">
        <x:v>46934</x:v>
      </x:c>
      <x:c r="E1711" t="str">
        <x:v>Lateral-esquerdo</x:v>
      </x:c>
      <x:c r="F1711" t="str">
        <x:v>Olympique Lyon</x:v>
      </x:c>
      <x:c r="G1711"/>
      <x:c r="H1711"/>
      <x:c r="I1711"/>
      <x:c r="J1711"/>
      <x:c r="K1711" t="str">
        <x:f>IF(COUNT(G1711,I1711)=0,"",AVERAGE(G1711,I1711))</x:f>
      </x:c>
      <x:c r="L1711" t="str">
        <x:f>IF(COUNT(H1711,J1711)=0,"",AVERAGE(H1711,J1711))</x:f>
      </x:c>
      <x:c r="M1711" t="str">
        <x:f>IF(OR(K1711="",L1711=""),"",L1711-K1711)</x:f>
      </x:c>
      <x:c r="N1711" t="str">
        <x:f>IF(OR(K1711="",A1710&lt;&gt;A1711,K1710=""),"",K1711-K1710)</x:f>
      </x:c>
      <x:c r="O1711" t="str">
        <x:v>Sem informação</x:v>
      </x:c>
      <x:c r="P1711"/>
      <x:c r="Q1711"/>
      <x:c r="R1711"/>
      <x:c r="S1711"/>
      <x:c r="T1711"/>
    </x:row>
    <x:row r="1712">
      <x:c r="A1712" t="str">
        <x:v>Abner Vinícius</x:v>
      </x:c>
      <x:c r="B1712" t="n">
        <x:v>2028</x:v>
      </x:c>
      <x:c r="C1712" t="str">
        <x:v>T3</x:v>
      </x:c>
      <x:c r="D1712" t="n">
        <x:v>47026</x:v>
      </x:c>
      <x:c r="E1712" t="str">
        <x:v>Lateral-esquerdo</x:v>
      </x:c>
      <x:c r="F1712" t="str">
        <x:v>Olympique Lyon</x:v>
      </x:c>
      <x:c r="G1712"/>
      <x:c r="H1712"/>
      <x:c r="I1712"/>
      <x:c r="J1712"/>
      <x:c r="K1712" t="str">
        <x:f>IF(COUNT(G1712,I1712)=0,"",AVERAGE(G1712,I1712))</x:f>
      </x:c>
      <x:c r="L1712" t="str">
        <x:f>IF(COUNT(H1712,J1712)=0,"",AVERAGE(H1712,J1712))</x:f>
      </x:c>
      <x:c r="M1712" t="str">
        <x:f>IF(OR(K1712="",L1712=""),"",L1712-K1712)</x:f>
      </x:c>
      <x:c r="N1712" t="str">
        <x:f>IF(OR(K1712="",A1711&lt;&gt;A1712,K1711=""),"",K1712-K1711)</x:f>
      </x:c>
      <x:c r="O1712" t="str">
        <x:v>Sem informação</x:v>
      </x:c>
      <x:c r="P1712"/>
      <x:c r="Q1712"/>
      <x:c r="R1712"/>
      <x:c r="S1712"/>
      <x:c r="T1712"/>
    </x:row>
    <x:row r="1713">
      <x:c r="A1713" t="str">
        <x:v>Abner Vinícius</x:v>
      </x:c>
      <x:c r="B1713" t="n">
        <x:v>2028</x:v>
      </x:c>
      <x:c r="C1713" t="str">
        <x:v>T4</x:v>
      </x:c>
      <x:c r="D1713" t="n">
        <x:v>47118</x:v>
      </x:c>
      <x:c r="E1713" t="str">
        <x:v>Lateral-esquerdo</x:v>
      </x:c>
      <x:c r="F1713" t="str">
        <x:v>Olympique Lyon</x:v>
      </x:c>
      <x:c r="G1713"/>
      <x:c r="H1713"/>
      <x:c r="I1713"/>
      <x:c r="J1713"/>
      <x:c r="K1713" t="str">
        <x:f>IF(COUNT(G1713,I1713)=0,"",AVERAGE(G1713,I1713))</x:f>
      </x:c>
      <x:c r="L1713" t="str">
        <x:f>IF(COUNT(H1713,J1713)=0,"",AVERAGE(H1713,J1713))</x:f>
      </x:c>
      <x:c r="M1713" t="str">
        <x:f>IF(OR(K1713="",L1713=""),"",L1713-K1713)</x:f>
      </x:c>
      <x:c r="N1713" t="str">
        <x:f>IF(OR(K1713="",A1712&lt;&gt;A1713,K1712=""),"",K1713-K1712)</x:f>
      </x:c>
      <x:c r="O1713" t="str">
        <x:v>Sem informação</x:v>
      </x:c>
      <x:c r="P1713"/>
      <x:c r="Q1713"/>
      <x:c r="R1713"/>
      <x:c r="S1713"/>
      <x:c r="T1713"/>
    </x:row>
    <x:row r="1714">
      <x:c r="A1714" t="str">
        <x:v>Abner Vinícius</x:v>
      </x:c>
      <x:c r="B1714" t="n">
        <x:v>2029</x:v>
      </x:c>
      <x:c r="C1714" t="str">
        <x:v>T1</x:v>
      </x:c>
      <x:c r="D1714" t="n">
        <x:v>47208</x:v>
      </x:c>
      <x:c r="E1714" t="str">
        <x:v>Lateral-esquerdo</x:v>
      </x:c>
      <x:c r="F1714" t="str">
        <x:v>Olympique Lyon</x:v>
      </x:c>
      <x:c r="G1714"/>
      <x:c r="H1714"/>
      <x:c r="I1714"/>
      <x:c r="J1714"/>
      <x:c r="K1714" t="str">
        <x:f>IF(COUNT(G1714,I1714)=0,"",AVERAGE(G1714,I1714))</x:f>
      </x:c>
      <x:c r="L1714" t="str">
        <x:f>IF(COUNT(H1714,J1714)=0,"",AVERAGE(H1714,J1714))</x:f>
      </x:c>
      <x:c r="M1714" t="str">
        <x:f>IF(OR(K1714="",L1714=""),"",L1714-K1714)</x:f>
      </x:c>
      <x:c r="N1714" t="str">
        <x:f>IF(OR(K1714="",A1713&lt;&gt;A1714,K1713=""),"",K1714-K1713)</x:f>
      </x:c>
      <x:c r="O1714" t="str">
        <x:v>Sem informação</x:v>
      </x:c>
      <x:c r="P1714"/>
      <x:c r="Q1714"/>
      <x:c r="R1714"/>
      <x:c r="S1714"/>
      <x:c r="T1714"/>
    </x:row>
    <x:row r="1715">
      <x:c r="A1715" t="str">
        <x:v>Abner Vinícius</x:v>
      </x:c>
      <x:c r="B1715" t="n">
        <x:v>2029</x:v>
      </x:c>
      <x:c r="C1715" t="str">
        <x:v>T2</x:v>
      </x:c>
      <x:c r="D1715" t="n">
        <x:v>47299</x:v>
      </x:c>
      <x:c r="E1715" t="str">
        <x:v>Lateral-esquerdo</x:v>
      </x:c>
      <x:c r="F1715" t="str">
        <x:v>Olympique Lyon</x:v>
      </x:c>
      <x:c r="G1715"/>
      <x:c r="H1715"/>
      <x:c r="I1715"/>
      <x:c r="J1715"/>
      <x:c r="K1715" t="str">
        <x:f>IF(COUNT(G1715,I1715)=0,"",AVERAGE(G1715,I1715))</x:f>
      </x:c>
      <x:c r="L1715" t="str">
        <x:f>IF(COUNT(H1715,J1715)=0,"",AVERAGE(H1715,J1715))</x:f>
      </x:c>
      <x:c r="M1715" t="str">
        <x:f>IF(OR(K1715="",L1715=""),"",L1715-K1715)</x:f>
      </x:c>
      <x:c r="N1715" t="str">
        <x:f>IF(OR(K1715="",A1714&lt;&gt;A1715,K1714=""),"",K1715-K1714)</x:f>
      </x:c>
      <x:c r="O1715" t="str">
        <x:v>Sem informação</x:v>
      </x:c>
      <x:c r="P1715"/>
      <x:c r="Q1715"/>
      <x:c r="R1715"/>
      <x:c r="S1715"/>
      <x:c r="T1715"/>
    </x:row>
    <x:row r="1716">
      <x:c r="A1716" t="str">
        <x:v>Abner Vinícius</x:v>
      </x:c>
      <x:c r="B1716" t="n">
        <x:v>2029</x:v>
      </x:c>
      <x:c r="C1716" t="str">
        <x:v>T3</x:v>
      </x:c>
      <x:c r="D1716" t="n">
        <x:v>47391</x:v>
      </x:c>
      <x:c r="E1716" t="str">
        <x:v>Lateral-esquerdo</x:v>
      </x:c>
      <x:c r="F1716" t="str">
        <x:v>Olympique Lyon</x:v>
      </x:c>
      <x:c r="G1716"/>
      <x:c r="H1716"/>
      <x:c r="I1716"/>
      <x:c r="J1716"/>
      <x:c r="K1716" t="str">
        <x:f>IF(COUNT(G1716,I1716)=0,"",AVERAGE(G1716,I1716))</x:f>
      </x:c>
      <x:c r="L1716" t="str">
        <x:f>IF(COUNT(H1716,J1716)=0,"",AVERAGE(H1716,J1716))</x:f>
      </x:c>
      <x:c r="M1716" t="str">
        <x:f>IF(OR(K1716="",L1716=""),"",L1716-K1716)</x:f>
      </x:c>
      <x:c r="N1716" t="str">
        <x:f>IF(OR(K1716="",A1715&lt;&gt;A1716,K1715=""),"",K1716-K1715)</x:f>
      </x:c>
      <x:c r="O1716" t="str">
        <x:v>Sem informação</x:v>
      </x:c>
      <x:c r="P1716"/>
      <x:c r="Q1716"/>
      <x:c r="R1716"/>
      <x:c r="S1716"/>
      <x:c r="T1716"/>
    </x:row>
    <x:row r="1717">
      <x:c r="A1717" t="str">
        <x:v>Abner Vinícius</x:v>
      </x:c>
      <x:c r="B1717" t="n">
        <x:v>2029</x:v>
      </x:c>
      <x:c r="C1717" t="str">
        <x:v>T4</x:v>
      </x:c>
      <x:c r="D1717" t="n">
        <x:v>47483</x:v>
      </x:c>
      <x:c r="E1717" t="str">
        <x:v>Lateral-esquerdo</x:v>
      </x:c>
      <x:c r="F1717" t="str">
        <x:v>Olympique Lyon</x:v>
      </x:c>
      <x:c r="G1717"/>
      <x:c r="H1717"/>
      <x:c r="I1717"/>
      <x:c r="J1717"/>
      <x:c r="K1717" t="str">
        <x:f>IF(COUNT(G1717,I1717)=0,"",AVERAGE(G1717,I1717))</x:f>
      </x:c>
      <x:c r="L1717" t="str">
        <x:f>IF(COUNT(H1717,J1717)=0,"",AVERAGE(H1717,J1717))</x:f>
      </x:c>
      <x:c r="M1717" t="str">
        <x:f>IF(OR(K1717="",L1717=""),"",L1717-K1717)</x:f>
      </x:c>
      <x:c r="N1717" t="str">
        <x:f>IF(OR(K1717="",A1716&lt;&gt;A1717,K1716=""),"",K1717-K1716)</x:f>
      </x:c>
      <x:c r="O1717" t="str">
        <x:v>Sem informação</x:v>
      </x:c>
      <x:c r="P1717"/>
      <x:c r="Q1717"/>
      <x:c r="R1717"/>
      <x:c r="S1717"/>
      <x:c r="T1717"/>
    </x:row>
    <x:row r="1718">
      <x:c r="A1718" t="str">
        <x:v>Abner Vinícius</x:v>
      </x:c>
      <x:c r="B1718" t="n">
        <x:v>2030</x:v>
      </x:c>
      <x:c r="C1718" t="str">
        <x:v>T1</x:v>
      </x:c>
      <x:c r="D1718" t="n">
        <x:v>47573</x:v>
      </x:c>
      <x:c r="E1718" t="str">
        <x:v>Lateral-esquerdo</x:v>
      </x:c>
      <x:c r="F1718" t="str">
        <x:v>Olympique Lyon</x:v>
      </x:c>
      <x:c r="G1718"/>
      <x:c r="H1718"/>
      <x:c r="I1718"/>
      <x:c r="J1718"/>
      <x:c r="K1718" t="str">
        <x:f>IF(COUNT(G1718,I1718)=0,"",AVERAGE(G1718,I1718))</x:f>
      </x:c>
      <x:c r="L1718" t="str">
        <x:f>IF(COUNT(H1718,J1718)=0,"",AVERAGE(H1718,J1718))</x:f>
      </x:c>
      <x:c r="M1718" t="str">
        <x:f>IF(OR(K1718="",L1718=""),"",L1718-K1718)</x:f>
      </x:c>
      <x:c r="N1718" t="str">
        <x:f>IF(OR(K1718="",A1717&lt;&gt;A1718,K1717=""),"",K1718-K1717)</x:f>
      </x:c>
      <x:c r="O1718" t="str">
        <x:v>Sem informação</x:v>
      </x:c>
      <x:c r="P1718"/>
      <x:c r="Q1718"/>
      <x:c r="R1718"/>
      <x:c r="S1718"/>
      <x:c r="T1718"/>
    </x:row>
    <x:row r="1719">
      <x:c r="A1719" t="str">
        <x:v>Abner Vinícius</x:v>
      </x:c>
      <x:c r="B1719" t="n">
        <x:v>2030</x:v>
      </x:c>
      <x:c r="C1719" t="str">
        <x:v>T2</x:v>
      </x:c>
      <x:c r="D1719" t="n">
        <x:v>47664</x:v>
      </x:c>
      <x:c r="E1719" t="str">
        <x:v>Lateral-esquerdo</x:v>
      </x:c>
      <x:c r="F1719" t="str">
        <x:v>Olympique Lyon</x:v>
      </x:c>
      <x:c r="G1719"/>
      <x:c r="H1719"/>
      <x:c r="I1719"/>
      <x:c r="J1719"/>
      <x:c r="K1719" t="str">
        <x:f>IF(COUNT(G1719,I1719)=0,"",AVERAGE(G1719,I1719))</x:f>
      </x:c>
      <x:c r="L1719" t="str">
        <x:f>IF(COUNT(H1719,J1719)=0,"",AVERAGE(H1719,J1719))</x:f>
      </x:c>
      <x:c r="M1719" t="str">
        <x:f>IF(OR(K1719="",L1719=""),"",L1719-K1719)</x:f>
      </x:c>
      <x:c r="N1719" t="str">
        <x:f>IF(OR(K1719="",A1718&lt;&gt;A1719,K1718=""),"",K1719-K1718)</x:f>
      </x:c>
      <x:c r="O1719" t="str">
        <x:v>Sem informação</x:v>
      </x:c>
      <x:c r="P1719"/>
      <x:c r="Q1719"/>
      <x:c r="R1719"/>
      <x:c r="S1719"/>
      <x:c r="T1719"/>
    </x:row>
    <x:row r="1720">
      <x:c r="A1720" t="str">
        <x:v>Abner Vinícius</x:v>
      </x:c>
      <x:c r="B1720" t="n">
        <x:v>2030</x:v>
      </x:c>
      <x:c r="C1720" t="str">
        <x:v>T3</x:v>
      </x:c>
      <x:c r="D1720" t="n">
        <x:v>47756</x:v>
      </x:c>
      <x:c r="E1720" t="str">
        <x:v>Lateral-esquerdo</x:v>
      </x:c>
      <x:c r="F1720" t="str">
        <x:v>Olympique Lyon</x:v>
      </x:c>
      <x:c r="G1720"/>
      <x:c r="H1720"/>
      <x:c r="I1720"/>
      <x:c r="J1720"/>
      <x:c r="K1720" t="str">
        <x:f>IF(COUNT(G1720,I1720)=0,"",AVERAGE(G1720,I1720))</x:f>
      </x:c>
      <x:c r="L1720" t="str">
        <x:f>IF(COUNT(H1720,J1720)=0,"",AVERAGE(H1720,J1720))</x:f>
      </x:c>
      <x:c r="M1720" t="str">
        <x:f>IF(OR(K1720="",L1720=""),"",L1720-K1720)</x:f>
      </x:c>
      <x:c r="N1720" t="str">
        <x:f>IF(OR(K1720="",A1719&lt;&gt;A1720,K1719=""),"",K1720-K1719)</x:f>
      </x:c>
      <x:c r="O1720" t="str">
        <x:v>Sem informação</x:v>
      </x:c>
      <x:c r="P1720"/>
      <x:c r="Q1720"/>
      <x:c r="R1720"/>
      <x:c r="S1720"/>
      <x:c r="T1720"/>
    </x:row>
    <x:row r="1721">
      <x:c r="A1721" t="str">
        <x:v>Abner Vinícius</x:v>
      </x:c>
      <x:c r="B1721" t="n">
        <x:v>2030</x:v>
      </x:c>
      <x:c r="C1721" t="str">
        <x:v>T4</x:v>
      </x:c>
      <x:c r="D1721" t="n">
        <x:v>47848</x:v>
      </x:c>
      <x:c r="E1721" t="str">
        <x:v>Lateral-esquerdo</x:v>
      </x:c>
      <x:c r="F1721" t="str">
        <x:v>Olympique Lyon</x:v>
      </x:c>
      <x:c r="G1721"/>
      <x:c r="H1721"/>
      <x:c r="I1721"/>
      <x:c r="J1721"/>
      <x:c r="K1721" t="str">
        <x:f>IF(COUNT(G1721,I1721)=0,"",AVERAGE(G1721,I1721))</x:f>
      </x:c>
      <x:c r="L1721" t="str">
        <x:f>IF(COUNT(H1721,J1721)=0,"",AVERAGE(H1721,J1721))</x:f>
      </x:c>
      <x:c r="M1721" t="str">
        <x:f>IF(OR(K1721="",L1721=""),"",L1721-K1721)</x:f>
      </x:c>
      <x:c r="N1721" t="str">
        <x:f>IF(OR(K1721="",A1720&lt;&gt;A1721,K1720=""),"",K1721-K1720)</x:f>
      </x:c>
      <x:c r="O1721" t="str">
        <x:v>Sem informação</x:v>
      </x:c>
      <x:c r="P1721"/>
      <x:c r="Q1721"/>
      <x:c r="R1721"/>
      <x:c r="S1721"/>
      <x:c r="T1721"/>
    </x:row>
    <x:row r="1722">
      <x:c r="A1722" t="str">
        <x:v>Lucas Piton</x:v>
      </x:c>
      <x:c r="B1722" t="n">
        <x:v>2026</x:v>
      </x:c>
      <x:c r="C1722" t="str">
        <x:v>T1</x:v>
      </x:c>
      <x:c r="D1722" t="n">
        <x:v>46112</x:v>
      </x:c>
      <x:c r="E1722" t="str">
        <x:v>Lateral-esquerdo</x:v>
      </x:c>
      <x:c r="F1722" t="str">
        <x:v>CR Vasco da Gama</x:v>
      </x:c>
      <x:c r="G1722"/>
      <x:c r="H1722"/>
      <x:c r="I1722"/>
      <x:c r="J1722"/>
      <x:c r="K1722" t="str">
        <x:f>IF(COUNT(G1722,I1722)=0,"",AVERAGE(G1722,I1722))</x:f>
      </x:c>
      <x:c r="L1722" t="str">
        <x:f>IF(COUNT(H1722,J1722)=0,"",AVERAGE(H1722,J1722))</x:f>
      </x:c>
      <x:c r="M1722" t="str">
        <x:f>IF(OR(K1722="",L1722=""),"",L1722-K1722)</x:f>
      </x:c>
      <x:c r="N1722" t="str">
        <x:f>IF(OR(K1722="",A1721&lt;&gt;A1722,K1721=""),"",K1722-K1721)</x:f>
      </x:c>
      <x:c r="O1722" t="str">
        <x:v>Sem informação</x:v>
      </x:c>
      <x:c r="P1722"/>
      <x:c r="Q1722"/>
      <x:c r="R1722"/>
      <x:c r="S1722"/>
      <x:c r="T1722"/>
    </x:row>
    <x:row r="1723">
      <x:c r="A1723" t="str">
        <x:v>Lucas Piton</x:v>
      </x:c>
      <x:c r="B1723" t="n">
        <x:v>2026</x:v>
      </x:c>
      <x:c r="C1723" t="str">
        <x:v>T2</x:v>
      </x:c>
      <x:c r="D1723" t="n">
        <x:v>46203</x:v>
      </x:c>
      <x:c r="E1723" t="str">
        <x:v>Lateral-esquerdo</x:v>
      </x:c>
      <x:c r="F1723" t="str">
        <x:v>CR Vasco da Gama</x:v>
      </x:c>
      <x:c r="G1723"/>
      <x:c r="H1723"/>
      <x:c r="I1723"/>
      <x:c r="J1723"/>
      <x:c r="K1723" t="str">
        <x:f>IF(COUNT(G1723,I1723)=0,"",AVERAGE(G1723,I1723))</x:f>
      </x:c>
      <x:c r="L1723" t="str">
        <x:f>IF(COUNT(H1723,J1723)=0,"",AVERAGE(H1723,J1723))</x:f>
      </x:c>
      <x:c r="M1723" t="str">
        <x:f>IF(OR(K1723="",L1723=""),"",L1723-K1723)</x:f>
      </x:c>
      <x:c r="N1723" t="str">
        <x:f>IF(OR(K1723="",A1722&lt;&gt;A1723,K1722=""),"",K1723-K1722)</x:f>
      </x:c>
      <x:c r="O1723" t="str">
        <x:v>Sem informação</x:v>
      </x:c>
      <x:c r="P1723"/>
      <x:c r="Q1723"/>
      <x:c r="R1723"/>
      <x:c r="S1723"/>
      <x:c r="T1723"/>
    </x:row>
    <x:row r="1724">
      <x:c r="A1724" t="str">
        <x:v>Lucas Piton</x:v>
      </x:c>
      <x:c r="B1724" t="n">
        <x:v>2026</x:v>
      </x:c>
      <x:c r="C1724" t="str">
        <x:v>T3</x:v>
      </x:c>
      <x:c r="D1724" t="n">
        <x:v>46295</x:v>
      </x:c>
      <x:c r="E1724" t="str">
        <x:v>Lateral-esquerdo</x:v>
      </x:c>
      <x:c r="F1724" t="str">
        <x:v>CR Vasco da Gama</x:v>
      </x:c>
      <x:c r="G1724"/>
      <x:c r="H1724"/>
      <x:c r="I1724"/>
      <x:c r="J1724"/>
      <x:c r="K1724" t="str">
        <x:f>IF(COUNT(G1724,I1724)=0,"",AVERAGE(G1724,I1724))</x:f>
      </x:c>
      <x:c r="L1724" t="str">
        <x:f>IF(COUNT(H1724,J1724)=0,"",AVERAGE(H1724,J1724))</x:f>
      </x:c>
      <x:c r="M1724" t="str">
        <x:f>IF(OR(K1724="",L1724=""),"",L1724-K1724)</x:f>
      </x:c>
      <x:c r="N1724" t="str">
        <x:f>IF(OR(K1724="",A1723&lt;&gt;A1724,K1723=""),"",K1724-K1723)</x:f>
      </x:c>
      <x:c r="O1724" t="str">
        <x:v>Sem informação</x:v>
      </x:c>
      <x:c r="P1724"/>
      <x:c r="Q1724"/>
      <x:c r="R1724"/>
      <x:c r="S1724"/>
      <x:c r="T1724"/>
    </x:row>
    <x:row r="1725">
      <x:c r="A1725" t="str">
        <x:v>Lucas Piton</x:v>
      </x:c>
      <x:c r="B1725" t="n">
        <x:v>2026</x:v>
      </x:c>
      <x:c r="C1725" t="str">
        <x:v>T4</x:v>
      </x:c>
      <x:c r="D1725" t="n">
        <x:v>46387</x:v>
      </x:c>
      <x:c r="E1725" t="str">
        <x:v>Lateral-esquerdo</x:v>
      </x:c>
      <x:c r="F1725" t="str">
        <x:v>CR Vasco da Gama</x:v>
      </x:c>
      <x:c r="G1725"/>
      <x:c r="H1725"/>
      <x:c r="I1725"/>
      <x:c r="J1725"/>
      <x:c r="K1725" t="str">
        <x:f>IF(COUNT(G1725,I1725)=0,"",AVERAGE(G1725,I1725))</x:f>
      </x:c>
      <x:c r="L1725" t="str">
        <x:f>IF(COUNT(H1725,J1725)=0,"",AVERAGE(H1725,J1725))</x:f>
      </x:c>
      <x:c r="M1725" t="str">
        <x:f>IF(OR(K1725="",L1725=""),"",L1725-K1725)</x:f>
      </x:c>
      <x:c r="N1725" t="str">
        <x:f>IF(OR(K1725="",A1724&lt;&gt;A1725,K1724=""),"",K1725-K1724)</x:f>
      </x:c>
      <x:c r="O1725" t="str">
        <x:v>Sem informação</x:v>
      </x:c>
      <x:c r="P1725"/>
      <x:c r="Q1725"/>
      <x:c r="R1725"/>
      <x:c r="S1725"/>
      <x:c r="T1725"/>
    </x:row>
    <x:row r="1726">
      <x:c r="A1726" t="str">
        <x:v>Lucas Piton</x:v>
      </x:c>
      <x:c r="B1726" t="n">
        <x:v>2027</x:v>
      </x:c>
      <x:c r="C1726" t="str">
        <x:v>T1</x:v>
      </x:c>
      <x:c r="D1726" t="n">
        <x:v>46477</x:v>
      </x:c>
      <x:c r="E1726" t="str">
        <x:v>Lateral-esquerdo</x:v>
      </x:c>
      <x:c r="F1726" t="str">
        <x:v>CR Vasco da Gama</x:v>
      </x:c>
      <x:c r="G1726"/>
      <x:c r="H1726"/>
      <x:c r="I1726"/>
      <x:c r="J1726"/>
      <x:c r="K1726" t="str">
        <x:f>IF(COUNT(G1726,I1726)=0,"",AVERAGE(G1726,I1726))</x:f>
      </x:c>
      <x:c r="L1726" t="str">
        <x:f>IF(COUNT(H1726,J1726)=0,"",AVERAGE(H1726,J1726))</x:f>
      </x:c>
      <x:c r="M1726" t="str">
        <x:f>IF(OR(K1726="",L1726=""),"",L1726-K1726)</x:f>
      </x:c>
      <x:c r="N1726" t="str">
        <x:f>IF(OR(K1726="",A1725&lt;&gt;A1726,K1725=""),"",K1726-K1725)</x:f>
      </x:c>
      <x:c r="O1726" t="str">
        <x:v>Sem informação</x:v>
      </x:c>
      <x:c r="P1726"/>
      <x:c r="Q1726"/>
      <x:c r="R1726"/>
      <x:c r="S1726"/>
      <x:c r="T1726"/>
    </x:row>
    <x:row r="1727">
      <x:c r="A1727" t="str">
        <x:v>Lucas Piton</x:v>
      </x:c>
      <x:c r="B1727" t="n">
        <x:v>2027</x:v>
      </x:c>
      <x:c r="C1727" t="str">
        <x:v>T2</x:v>
      </x:c>
      <x:c r="D1727" t="n">
        <x:v>46568</x:v>
      </x:c>
      <x:c r="E1727" t="str">
        <x:v>Lateral-esquerdo</x:v>
      </x:c>
      <x:c r="F1727" t="str">
        <x:v>CR Vasco da Gama</x:v>
      </x:c>
      <x:c r="G1727"/>
      <x:c r="H1727"/>
      <x:c r="I1727"/>
      <x:c r="J1727"/>
      <x:c r="K1727" t="str">
        <x:f>IF(COUNT(G1727,I1727)=0,"",AVERAGE(G1727,I1727))</x:f>
      </x:c>
      <x:c r="L1727" t="str">
        <x:f>IF(COUNT(H1727,J1727)=0,"",AVERAGE(H1727,J1727))</x:f>
      </x:c>
      <x:c r="M1727" t="str">
        <x:f>IF(OR(K1727="",L1727=""),"",L1727-K1727)</x:f>
      </x:c>
      <x:c r="N1727" t="str">
        <x:f>IF(OR(K1727="",A1726&lt;&gt;A1727,K1726=""),"",K1727-K1726)</x:f>
      </x:c>
      <x:c r="O1727" t="str">
        <x:v>Sem informação</x:v>
      </x:c>
      <x:c r="P1727"/>
      <x:c r="Q1727"/>
      <x:c r="R1727"/>
      <x:c r="S1727"/>
      <x:c r="T1727"/>
    </x:row>
    <x:row r="1728">
      <x:c r="A1728" t="str">
        <x:v>Lucas Piton</x:v>
      </x:c>
      <x:c r="B1728" t="n">
        <x:v>2027</x:v>
      </x:c>
      <x:c r="C1728" t="str">
        <x:v>T3</x:v>
      </x:c>
      <x:c r="D1728" t="n">
        <x:v>46660</x:v>
      </x:c>
      <x:c r="E1728" t="str">
        <x:v>Lateral-esquerdo</x:v>
      </x:c>
      <x:c r="F1728" t="str">
        <x:v>CR Vasco da Gama</x:v>
      </x:c>
      <x:c r="G1728"/>
      <x:c r="H1728"/>
      <x:c r="I1728"/>
      <x:c r="J1728"/>
      <x:c r="K1728" t="str">
        <x:f>IF(COUNT(G1728,I1728)=0,"",AVERAGE(G1728,I1728))</x:f>
      </x:c>
      <x:c r="L1728" t="str">
        <x:f>IF(COUNT(H1728,J1728)=0,"",AVERAGE(H1728,J1728))</x:f>
      </x:c>
      <x:c r="M1728" t="str">
        <x:f>IF(OR(K1728="",L1728=""),"",L1728-K1728)</x:f>
      </x:c>
      <x:c r="N1728" t="str">
        <x:f>IF(OR(K1728="",A1727&lt;&gt;A1728,K1727=""),"",K1728-K1727)</x:f>
      </x:c>
      <x:c r="O1728" t="str">
        <x:v>Sem informação</x:v>
      </x:c>
      <x:c r="P1728"/>
      <x:c r="Q1728"/>
      <x:c r="R1728"/>
      <x:c r="S1728"/>
      <x:c r="T1728"/>
    </x:row>
    <x:row r="1729">
      <x:c r="A1729" t="str">
        <x:v>Lucas Piton</x:v>
      </x:c>
      <x:c r="B1729" t="n">
        <x:v>2027</x:v>
      </x:c>
      <x:c r="C1729" t="str">
        <x:v>T4</x:v>
      </x:c>
      <x:c r="D1729" t="n">
        <x:v>46752</x:v>
      </x:c>
      <x:c r="E1729" t="str">
        <x:v>Lateral-esquerdo</x:v>
      </x:c>
      <x:c r="F1729" t="str">
        <x:v>CR Vasco da Gama</x:v>
      </x:c>
      <x:c r="G1729"/>
      <x:c r="H1729"/>
      <x:c r="I1729"/>
      <x:c r="J1729"/>
      <x:c r="K1729" t="str">
        <x:f>IF(COUNT(G1729,I1729)=0,"",AVERAGE(G1729,I1729))</x:f>
      </x:c>
      <x:c r="L1729" t="str">
        <x:f>IF(COUNT(H1729,J1729)=0,"",AVERAGE(H1729,J1729))</x:f>
      </x:c>
      <x:c r="M1729" t="str">
        <x:f>IF(OR(K1729="",L1729=""),"",L1729-K1729)</x:f>
      </x:c>
      <x:c r="N1729" t="str">
        <x:f>IF(OR(K1729="",A1728&lt;&gt;A1729,K1728=""),"",K1729-K1728)</x:f>
      </x:c>
      <x:c r="O1729" t="str">
        <x:v>Sem informação</x:v>
      </x:c>
      <x:c r="P1729"/>
      <x:c r="Q1729"/>
      <x:c r="R1729"/>
      <x:c r="S1729"/>
      <x:c r="T1729"/>
    </x:row>
    <x:row r="1730">
      <x:c r="A1730" t="str">
        <x:v>Lucas Piton</x:v>
      </x:c>
      <x:c r="B1730" t="n">
        <x:v>2028</x:v>
      </x:c>
      <x:c r="C1730" t="str">
        <x:v>T1</x:v>
      </x:c>
      <x:c r="D1730" t="n">
        <x:v>46843</x:v>
      </x:c>
      <x:c r="E1730" t="str">
        <x:v>Lateral-esquerdo</x:v>
      </x:c>
      <x:c r="F1730" t="str">
        <x:v>CR Vasco da Gama</x:v>
      </x:c>
      <x:c r="G1730"/>
      <x:c r="H1730"/>
      <x:c r="I1730"/>
      <x:c r="J1730"/>
      <x:c r="K1730" t="str">
        <x:f>IF(COUNT(G1730,I1730)=0,"",AVERAGE(G1730,I1730))</x:f>
      </x:c>
      <x:c r="L1730" t="str">
        <x:f>IF(COUNT(H1730,J1730)=0,"",AVERAGE(H1730,J1730))</x:f>
      </x:c>
      <x:c r="M1730" t="str">
        <x:f>IF(OR(K1730="",L1730=""),"",L1730-K1730)</x:f>
      </x:c>
      <x:c r="N1730" t="str">
        <x:f>IF(OR(K1730="",A1729&lt;&gt;A1730,K1729=""),"",K1730-K1729)</x:f>
      </x:c>
      <x:c r="O1730" t="str">
        <x:v>Sem informação</x:v>
      </x:c>
      <x:c r="P1730"/>
      <x:c r="Q1730"/>
      <x:c r="R1730"/>
      <x:c r="S1730"/>
      <x:c r="T1730"/>
    </x:row>
    <x:row r="1731">
      <x:c r="A1731" t="str">
        <x:v>Lucas Piton</x:v>
      </x:c>
      <x:c r="B1731" t="n">
        <x:v>2028</x:v>
      </x:c>
      <x:c r="C1731" t="str">
        <x:v>T2</x:v>
      </x:c>
      <x:c r="D1731" t="n">
        <x:v>46934</x:v>
      </x:c>
      <x:c r="E1731" t="str">
        <x:v>Lateral-esquerdo</x:v>
      </x:c>
      <x:c r="F1731" t="str">
        <x:v>CR Vasco da Gama</x:v>
      </x:c>
      <x:c r="G1731"/>
      <x:c r="H1731"/>
      <x:c r="I1731"/>
      <x:c r="J1731"/>
      <x:c r="K1731" t="str">
        <x:f>IF(COUNT(G1731,I1731)=0,"",AVERAGE(G1731,I1731))</x:f>
      </x:c>
      <x:c r="L1731" t="str">
        <x:f>IF(COUNT(H1731,J1731)=0,"",AVERAGE(H1731,J1731))</x:f>
      </x:c>
      <x:c r="M1731" t="str">
        <x:f>IF(OR(K1731="",L1731=""),"",L1731-K1731)</x:f>
      </x:c>
      <x:c r="N1731" t="str">
        <x:f>IF(OR(K1731="",A1730&lt;&gt;A1731,K1730=""),"",K1731-K1730)</x:f>
      </x:c>
      <x:c r="O1731" t="str">
        <x:v>Sem informação</x:v>
      </x:c>
      <x:c r="P1731"/>
      <x:c r="Q1731"/>
      <x:c r="R1731"/>
      <x:c r="S1731"/>
      <x:c r="T1731"/>
    </x:row>
    <x:row r="1732">
      <x:c r="A1732" t="str">
        <x:v>Lucas Piton</x:v>
      </x:c>
      <x:c r="B1732" t="n">
        <x:v>2028</x:v>
      </x:c>
      <x:c r="C1732" t="str">
        <x:v>T3</x:v>
      </x:c>
      <x:c r="D1732" t="n">
        <x:v>47026</x:v>
      </x:c>
      <x:c r="E1732" t="str">
        <x:v>Lateral-esquerdo</x:v>
      </x:c>
      <x:c r="F1732" t="str">
        <x:v>CR Vasco da Gama</x:v>
      </x:c>
      <x:c r="G1732"/>
      <x:c r="H1732"/>
      <x:c r="I1732"/>
      <x:c r="J1732"/>
      <x:c r="K1732" t="str">
        <x:f>IF(COUNT(G1732,I1732)=0,"",AVERAGE(G1732,I1732))</x:f>
      </x:c>
      <x:c r="L1732" t="str">
        <x:f>IF(COUNT(H1732,J1732)=0,"",AVERAGE(H1732,J1732))</x:f>
      </x:c>
      <x:c r="M1732" t="str">
        <x:f>IF(OR(K1732="",L1732=""),"",L1732-K1732)</x:f>
      </x:c>
      <x:c r="N1732" t="str">
        <x:f>IF(OR(K1732="",A1731&lt;&gt;A1732,K1731=""),"",K1732-K1731)</x:f>
      </x:c>
      <x:c r="O1732" t="str">
        <x:v>Sem informação</x:v>
      </x:c>
      <x:c r="P1732"/>
      <x:c r="Q1732"/>
      <x:c r="R1732"/>
      <x:c r="S1732"/>
      <x:c r="T1732"/>
    </x:row>
    <x:row r="1733">
      <x:c r="A1733" t="str">
        <x:v>Lucas Piton</x:v>
      </x:c>
      <x:c r="B1733" t="n">
        <x:v>2028</x:v>
      </x:c>
      <x:c r="C1733" t="str">
        <x:v>T4</x:v>
      </x:c>
      <x:c r="D1733" t="n">
        <x:v>47118</x:v>
      </x:c>
      <x:c r="E1733" t="str">
        <x:v>Lateral-esquerdo</x:v>
      </x:c>
      <x:c r="F1733" t="str">
        <x:v>CR Vasco da Gama</x:v>
      </x:c>
      <x:c r="G1733"/>
      <x:c r="H1733"/>
      <x:c r="I1733"/>
      <x:c r="J1733"/>
      <x:c r="K1733" t="str">
        <x:f>IF(COUNT(G1733,I1733)=0,"",AVERAGE(G1733,I1733))</x:f>
      </x:c>
      <x:c r="L1733" t="str">
        <x:f>IF(COUNT(H1733,J1733)=0,"",AVERAGE(H1733,J1733))</x:f>
      </x:c>
      <x:c r="M1733" t="str">
        <x:f>IF(OR(K1733="",L1733=""),"",L1733-K1733)</x:f>
      </x:c>
      <x:c r="N1733" t="str">
        <x:f>IF(OR(K1733="",A1732&lt;&gt;A1733,K1732=""),"",K1733-K1732)</x:f>
      </x:c>
      <x:c r="O1733" t="str">
        <x:v>Sem informação</x:v>
      </x:c>
      <x:c r="P1733"/>
      <x:c r="Q1733"/>
      <x:c r="R1733"/>
      <x:c r="S1733"/>
      <x:c r="T1733"/>
    </x:row>
    <x:row r="1734">
      <x:c r="A1734" t="str">
        <x:v>Lucas Piton</x:v>
      </x:c>
      <x:c r="B1734" t="n">
        <x:v>2029</x:v>
      </x:c>
      <x:c r="C1734" t="str">
        <x:v>T1</x:v>
      </x:c>
      <x:c r="D1734" t="n">
        <x:v>47208</x:v>
      </x:c>
      <x:c r="E1734" t="str">
        <x:v>Lateral-esquerdo</x:v>
      </x:c>
      <x:c r="F1734" t="str">
        <x:v>CR Vasco da Gama</x:v>
      </x:c>
      <x:c r="G1734"/>
      <x:c r="H1734"/>
      <x:c r="I1734"/>
      <x:c r="J1734"/>
      <x:c r="K1734" t="str">
        <x:f>IF(COUNT(G1734,I1734)=0,"",AVERAGE(G1734,I1734))</x:f>
      </x:c>
      <x:c r="L1734" t="str">
        <x:f>IF(COUNT(H1734,J1734)=0,"",AVERAGE(H1734,J1734))</x:f>
      </x:c>
      <x:c r="M1734" t="str">
        <x:f>IF(OR(K1734="",L1734=""),"",L1734-K1734)</x:f>
      </x:c>
      <x:c r="N1734" t="str">
        <x:f>IF(OR(K1734="",A1733&lt;&gt;A1734,K1733=""),"",K1734-K1733)</x:f>
      </x:c>
      <x:c r="O1734" t="str">
        <x:v>Sem informação</x:v>
      </x:c>
      <x:c r="P1734"/>
      <x:c r="Q1734"/>
      <x:c r="R1734"/>
      <x:c r="S1734"/>
      <x:c r="T1734"/>
    </x:row>
    <x:row r="1735">
      <x:c r="A1735" t="str">
        <x:v>Lucas Piton</x:v>
      </x:c>
      <x:c r="B1735" t="n">
        <x:v>2029</x:v>
      </x:c>
      <x:c r="C1735" t="str">
        <x:v>T2</x:v>
      </x:c>
      <x:c r="D1735" t="n">
        <x:v>47299</x:v>
      </x:c>
      <x:c r="E1735" t="str">
        <x:v>Lateral-esquerdo</x:v>
      </x:c>
      <x:c r="F1735" t="str">
        <x:v>CR Vasco da Gama</x:v>
      </x:c>
      <x:c r="G1735"/>
      <x:c r="H1735"/>
      <x:c r="I1735"/>
      <x:c r="J1735"/>
      <x:c r="K1735" t="str">
        <x:f>IF(COUNT(G1735,I1735)=0,"",AVERAGE(G1735,I1735))</x:f>
      </x:c>
      <x:c r="L1735" t="str">
        <x:f>IF(COUNT(H1735,J1735)=0,"",AVERAGE(H1735,J1735))</x:f>
      </x:c>
      <x:c r="M1735" t="str">
        <x:f>IF(OR(K1735="",L1735=""),"",L1735-K1735)</x:f>
      </x:c>
      <x:c r="N1735" t="str">
        <x:f>IF(OR(K1735="",A1734&lt;&gt;A1735,K1734=""),"",K1735-K1734)</x:f>
      </x:c>
      <x:c r="O1735" t="str">
        <x:v>Sem informação</x:v>
      </x:c>
      <x:c r="P1735"/>
      <x:c r="Q1735"/>
      <x:c r="R1735"/>
      <x:c r="S1735"/>
      <x:c r="T1735"/>
    </x:row>
    <x:row r="1736">
      <x:c r="A1736" t="str">
        <x:v>Lucas Piton</x:v>
      </x:c>
      <x:c r="B1736" t="n">
        <x:v>2029</x:v>
      </x:c>
      <x:c r="C1736" t="str">
        <x:v>T3</x:v>
      </x:c>
      <x:c r="D1736" t="n">
        <x:v>47391</x:v>
      </x:c>
      <x:c r="E1736" t="str">
        <x:v>Lateral-esquerdo</x:v>
      </x:c>
      <x:c r="F1736" t="str">
        <x:v>CR Vasco da Gama</x:v>
      </x:c>
      <x:c r="G1736"/>
      <x:c r="H1736"/>
      <x:c r="I1736"/>
      <x:c r="J1736"/>
      <x:c r="K1736" t="str">
        <x:f>IF(COUNT(G1736,I1736)=0,"",AVERAGE(G1736,I1736))</x:f>
      </x:c>
      <x:c r="L1736" t="str">
        <x:f>IF(COUNT(H1736,J1736)=0,"",AVERAGE(H1736,J1736))</x:f>
      </x:c>
      <x:c r="M1736" t="str">
        <x:f>IF(OR(K1736="",L1736=""),"",L1736-K1736)</x:f>
      </x:c>
      <x:c r="N1736" t="str">
        <x:f>IF(OR(K1736="",A1735&lt;&gt;A1736,K1735=""),"",K1736-K1735)</x:f>
      </x:c>
      <x:c r="O1736" t="str">
        <x:v>Sem informação</x:v>
      </x:c>
      <x:c r="P1736"/>
      <x:c r="Q1736"/>
      <x:c r="R1736"/>
      <x:c r="S1736"/>
      <x:c r="T1736"/>
    </x:row>
    <x:row r="1737">
      <x:c r="A1737" t="str">
        <x:v>Lucas Piton</x:v>
      </x:c>
      <x:c r="B1737" t="n">
        <x:v>2029</x:v>
      </x:c>
      <x:c r="C1737" t="str">
        <x:v>T4</x:v>
      </x:c>
      <x:c r="D1737" t="n">
        <x:v>47483</x:v>
      </x:c>
      <x:c r="E1737" t="str">
        <x:v>Lateral-esquerdo</x:v>
      </x:c>
      <x:c r="F1737" t="str">
        <x:v>CR Vasco da Gama</x:v>
      </x:c>
      <x:c r="G1737"/>
      <x:c r="H1737"/>
      <x:c r="I1737"/>
      <x:c r="J1737"/>
      <x:c r="K1737" t="str">
        <x:f>IF(COUNT(G1737,I1737)=0,"",AVERAGE(G1737,I1737))</x:f>
      </x:c>
      <x:c r="L1737" t="str">
        <x:f>IF(COUNT(H1737,J1737)=0,"",AVERAGE(H1737,J1737))</x:f>
      </x:c>
      <x:c r="M1737" t="str">
        <x:f>IF(OR(K1737="",L1737=""),"",L1737-K1737)</x:f>
      </x:c>
      <x:c r="N1737" t="str">
        <x:f>IF(OR(K1737="",A1736&lt;&gt;A1737,K1736=""),"",K1737-K1736)</x:f>
      </x:c>
      <x:c r="O1737" t="str">
        <x:v>Sem informação</x:v>
      </x:c>
      <x:c r="P1737"/>
      <x:c r="Q1737"/>
      <x:c r="R1737"/>
      <x:c r="S1737"/>
      <x:c r="T1737"/>
    </x:row>
    <x:row r="1738">
      <x:c r="A1738" t="str">
        <x:v>Lucas Piton</x:v>
      </x:c>
      <x:c r="B1738" t="n">
        <x:v>2030</x:v>
      </x:c>
      <x:c r="C1738" t="str">
        <x:v>T1</x:v>
      </x:c>
      <x:c r="D1738" t="n">
        <x:v>47573</x:v>
      </x:c>
      <x:c r="E1738" t="str">
        <x:v>Lateral-esquerdo</x:v>
      </x:c>
      <x:c r="F1738" t="str">
        <x:v>CR Vasco da Gama</x:v>
      </x:c>
      <x:c r="G1738"/>
      <x:c r="H1738"/>
      <x:c r="I1738"/>
      <x:c r="J1738"/>
      <x:c r="K1738" t="str">
        <x:f>IF(COUNT(G1738,I1738)=0,"",AVERAGE(G1738,I1738))</x:f>
      </x:c>
      <x:c r="L1738" t="str">
        <x:f>IF(COUNT(H1738,J1738)=0,"",AVERAGE(H1738,J1738))</x:f>
      </x:c>
      <x:c r="M1738" t="str">
        <x:f>IF(OR(K1738="",L1738=""),"",L1738-K1738)</x:f>
      </x:c>
      <x:c r="N1738" t="str">
        <x:f>IF(OR(K1738="",A1737&lt;&gt;A1738,K1737=""),"",K1738-K1737)</x:f>
      </x:c>
      <x:c r="O1738" t="str">
        <x:v>Sem informação</x:v>
      </x:c>
      <x:c r="P1738"/>
      <x:c r="Q1738"/>
      <x:c r="R1738"/>
      <x:c r="S1738"/>
      <x:c r="T1738"/>
    </x:row>
    <x:row r="1739">
      <x:c r="A1739" t="str">
        <x:v>Lucas Piton</x:v>
      </x:c>
      <x:c r="B1739" t="n">
        <x:v>2030</x:v>
      </x:c>
      <x:c r="C1739" t="str">
        <x:v>T2</x:v>
      </x:c>
      <x:c r="D1739" t="n">
        <x:v>47664</x:v>
      </x:c>
      <x:c r="E1739" t="str">
        <x:v>Lateral-esquerdo</x:v>
      </x:c>
      <x:c r="F1739" t="str">
        <x:v>CR Vasco da Gama</x:v>
      </x:c>
      <x:c r="G1739"/>
      <x:c r="H1739"/>
      <x:c r="I1739"/>
      <x:c r="J1739"/>
      <x:c r="K1739" t="str">
        <x:f>IF(COUNT(G1739,I1739)=0,"",AVERAGE(G1739,I1739))</x:f>
      </x:c>
      <x:c r="L1739" t="str">
        <x:f>IF(COUNT(H1739,J1739)=0,"",AVERAGE(H1739,J1739))</x:f>
      </x:c>
      <x:c r="M1739" t="str">
        <x:f>IF(OR(K1739="",L1739=""),"",L1739-K1739)</x:f>
      </x:c>
      <x:c r="N1739" t="str">
        <x:f>IF(OR(K1739="",A1738&lt;&gt;A1739,K1738=""),"",K1739-K1738)</x:f>
      </x:c>
      <x:c r="O1739" t="str">
        <x:v>Sem informação</x:v>
      </x:c>
      <x:c r="P1739"/>
      <x:c r="Q1739"/>
      <x:c r="R1739"/>
      <x:c r="S1739"/>
      <x:c r="T1739"/>
    </x:row>
    <x:row r="1740">
      <x:c r="A1740" t="str">
        <x:v>Lucas Piton</x:v>
      </x:c>
      <x:c r="B1740" t="n">
        <x:v>2030</x:v>
      </x:c>
      <x:c r="C1740" t="str">
        <x:v>T3</x:v>
      </x:c>
      <x:c r="D1740" t="n">
        <x:v>47756</x:v>
      </x:c>
      <x:c r="E1740" t="str">
        <x:v>Lateral-esquerdo</x:v>
      </x:c>
      <x:c r="F1740" t="str">
        <x:v>CR Vasco da Gama</x:v>
      </x:c>
      <x:c r="G1740"/>
      <x:c r="H1740"/>
      <x:c r="I1740"/>
      <x:c r="J1740"/>
      <x:c r="K1740" t="str">
        <x:f>IF(COUNT(G1740,I1740)=0,"",AVERAGE(G1740,I1740))</x:f>
      </x:c>
      <x:c r="L1740" t="str">
        <x:f>IF(COUNT(H1740,J1740)=0,"",AVERAGE(H1740,J1740))</x:f>
      </x:c>
      <x:c r="M1740" t="str">
        <x:f>IF(OR(K1740="",L1740=""),"",L1740-K1740)</x:f>
      </x:c>
      <x:c r="N1740" t="str">
        <x:f>IF(OR(K1740="",A1739&lt;&gt;A1740,K1739=""),"",K1740-K1739)</x:f>
      </x:c>
      <x:c r="O1740" t="str">
        <x:v>Sem informação</x:v>
      </x:c>
      <x:c r="P1740"/>
      <x:c r="Q1740"/>
      <x:c r="R1740"/>
      <x:c r="S1740"/>
      <x:c r="T1740"/>
    </x:row>
    <x:row r="1741">
      <x:c r="A1741" t="str">
        <x:v>Lucas Piton</x:v>
      </x:c>
      <x:c r="B1741" t="n">
        <x:v>2030</x:v>
      </x:c>
      <x:c r="C1741" t="str">
        <x:v>T4</x:v>
      </x:c>
      <x:c r="D1741" t="n">
        <x:v>47848</x:v>
      </x:c>
      <x:c r="E1741" t="str">
        <x:v>Lateral-esquerdo</x:v>
      </x:c>
      <x:c r="F1741" t="str">
        <x:v>CR Vasco da Gama</x:v>
      </x:c>
      <x:c r="G1741"/>
      <x:c r="H1741"/>
      <x:c r="I1741"/>
      <x:c r="J1741"/>
      <x:c r="K1741" t="str">
        <x:f>IF(COUNT(G1741,I1741)=0,"",AVERAGE(G1741,I1741))</x:f>
      </x:c>
      <x:c r="L1741" t="str">
        <x:f>IF(COUNT(H1741,J1741)=0,"",AVERAGE(H1741,J1741))</x:f>
      </x:c>
      <x:c r="M1741" t="str">
        <x:f>IF(OR(K1741="",L1741=""),"",L1741-K1741)</x:f>
      </x:c>
      <x:c r="N1741" t="str">
        <x:f>IF(OR(K1741="",A1740&lt;&gt;A1741,K1740=""),"",K1741-K1740)</x:f>
      </x:c>
      <x:c r="O1741" t="str">
        <x:v>Sem informação</x:v>
      </x:c>
      <x:c r="P1741"/>
      <x:c r="Q1741"/>
      <x:c r="R1741"/>
      <x:c r="S1741"/>
      <x:c r="T1741"/>
    </x:row>
    <x:row r="1742">
      <x:c r="A1742" t="str">
        <x:v>Ângelo</x:v>
      </x:c>
      <x:c r="B1742" t="n">
        <x:v>2026</x:v>
      </x:c>
      <x:c r="C1742" t="str">
        <x:v>T1</x:v>
      </x:c>
      <x:c r="D1742" t="n">
        <x:v>46112</x:v>
      </x:c>
      <x:c r="E1742" t="str">
        <x:v>Ponta-direita</x:v>
      </x:c>
      <x:c r="F1742" t="str">
        <x:v>Al-Nassr FC</x:v>
      </x:c>
      <x:c r="G1742"/>
      <x:c r="H1742"/>
      <x:c r="I1742"/>
      <x:c r="J1742"/>
      <x:c r="K1742" t="str">
        <x:f>IF(COUNT(G1742,I1742)=0,"",AVERAGE(G1742,I1742))</x:f>
      </x:c>
      <x:c r="L1742" t="str">
        <x:f>IF(COUNT(H1742,J1742)=0,"",AVERAGE(H1742,J1742))</x:f>
      </x:c>
      <x:c r="M1742" t="str">
        <x:f>IF(OR(K1742="",L1742=""),"",L1742-K1742)</x:f>
      </x:c>
      <x:c r="N1742" t="str">
        <x:f>IF(OR(K1742="",A1741&lt;&gt;A1742,K1741=""),"",K1742-K1741)</x:f>
      </x:c>
      <x:c r="O1742" t="str">
        <x:v>Sem informação</x:v>
      </x:c>
      <x:c r="P1742"/>
      <x:c r="Q1742"/>
      <x:c r="R1742"/>
      <x:c r="S1742"/>
      <x:c r="T1742"/>
    </x:row>
    <x:row r="1743">
      <x:c r="A1743" t="str">
        <x:v>Ângelo</x:v>
      </x:c>
      <x:c r="B1743" t="n">
        <x:v>2026</x:v>
      </x:c>
      <x:c r="C1743" t="str">
        <x:v>T2</x:v>
      </x:c>
      <x:c r="D1743" t="n">
        <x:v>46203</x:v>
      </x:c>
      <x:c r="E1743" t="str">
        <x:v>Ponta-direita</x:v>
      </x:c>
      <x:c r="F1743" t="str">
        <x:v>Al-Nassr FC</x:v>
      </x:c>
      <x:c r="G1743"/>
      <x:c r="H1743"/>
      <x:c r="I1743"/>
      <x:c r="J1743"/>
      <x:c r="K1743" t="str">
        <x:f>IF(COUNT(G1743,I1743)=0,"",AVERAGE(G1743,I1743))</x:f>
      </x:c>
      <x:c r="L1743" t="str">
        <x:f>IF(COUNT(H1743,J1743)=0,"",AVERAGE(H1743,J1743))</x:f>
      </x:c>
      <x:c r="M1743" t="str">
        <x:f>IF(OR(K1743="",L1743=""),"",L1743-K1743)</x:f>
      </x:c>
      <x:c r="N1743" t="str">
        <x:f>IF(OR(K1743="",A1742&lt;&gt;A1743,K1742=""),"",K1743-K1742)</x:f>
      </x:c>
      <x:c r="O1743" t="str">
        <x:v>Sem informação</x:v>
      </x:c>
      <x:c r="P1743"/>
      <x:c r="Q1743"/>
      <x:c r="R1743"/>
      <x:c r="S1743"/>
      <x:c r="T1743"/>
    </x:row>
    <x:row r="1744">
      <x:c r="A1744" t="str">
        <x:v>Ângelo</x:v>
      </x:c>
      <x:c r="B1744" t="n">
        <x:v>2026</x:v>
      </x:c>
      <x:c r="C1744" t="str">
        <x:v>T3</x:v>
      </x:c>
      <x:c r="D1744" t="n">
        <x:v>46295</x:v>
      </x:c>
      <x:c r="E1744" t="str">
        <x:v>Ponta-direita</x:v>
      </x:c>
      <x:c r="F1744" t="str">
        <x:v>Al-Nassr FC</x:v>
      </x:c>
      <x:c r="G1744"/>
      <x:c r="H1744"/>
      <x:c r="I1744"/>
      <x:c r="J1744"/>
      <x:c r="K1744" t="str">
        <x:f>IF(COUNT(G1744,I1744)=0,"",AVERAGE(G1744,I1744))</x:f>
      </x:c>
      <x:c r="L1744" t="str">
        <x:f>IF(COUNT(H1744,J1744)=0,"",AVERAGE(H1744,J1744))</x:f>
      </x:c>
      <x:c r="M1744" t="str">
        <x:f>IF(OR(K1744="",L1744=""),"",L1744-K1744)</x:f>
      </x:c>
      <x:c r="N1744" t="str">
        <x:f>IF(OR(K1744="",A1743&lt;&gt;A1744,K1743=""),"",K1744-K1743)</x:f>
      </x:c>
      <x:c r="O1744" t="str">
        <x:v>Sem informação</x:v>
      </x:c>
      <x:c r="P1744"/>
      <x:c r="Q1744"/>
      <x:c r="R1744"/>
      <x:c r="S1744"/>
      <x:c r="T1744"/>
    </x:row>
    <x:row r="1745">
      <x:c r="A1745" t="str">
        <x:v>Ângelo</x:v>
      </x:c>
      <x:c r="B1745" t="n">
        <x:v>2026</x:v>
      </x:c>
      <x:c r="C1745" t="str">
        <x:v>T4</x:v>
      </x:c>
      <x:c r="D1745" t="n">
        <x:v>46387</x:v>
      </x:c>
      <x:c r="E1745" t="str">
        <x:v>Ponta-direita</x:v>
      </x:c>
      <x:c r="F1745" t="str">
        <x:v>Al-Nassr FC</x:v>
      </x:c>
      <x:c r="G1745"/>
      <x:c r="H1745"/>
      <x:c r="I1745"/>
      <x:c r="J1745"/>
      <x:c r="K1745" t="str">
        <x:f>IF(COUNT(G1745,I1745)=0,"",AVERAGE(G1745,I1745))</x:f>
      </x:c>
      <x:c r="L1745" t="str">
        <x:f>IF(COUNT(H1745,J1745)=0,"",AVERAGE(H1745,J1745))</x:f>
      </x:c>
      <x:c r="M1745" t="str">
        <x:f>IF(OR(K1745="",L1745=""),"",L1745-K1745)</x:f>
      </x:c>
      <x:c r="N1745" t="str">
        <x:f>IF(OR(K1745="",A1744&lt;&gt;A1745,K1744=""),"",K1745-K1744)</x:f>
      </x:c>
      <x:c r="O1745" t="str">
        <x:v>Sem informação</x:v>
      </x:c>
      <x:c r="P1745"/>
      <x:c r="Q1745"/>
      <x:c r="R1745"/>
      <x:c r="S1745"/>
      <x:c r="T1745"/>
    </x:row>
    <x:row r="1746">
      <x:c r="A1746" t="str">
        <x:v>Ângelo</x:v>
      </x:c>
      <x:c r="B1746" t="n">
        <x:v>2027</x:v>
      </x:c>
      <x:c r="C1746" t="str">
        <x:v>T1</x:v>
      </x:c>
      <x:c r="D1746" t="n">
        <x:v>46477</x:v>
      </x:c>
      <x:c r="E1746" t="str">
        <x:v>Ponta-direita</x:v>
      </x:c>
      <x:c r="F1746" t="str">
        <x:v>Al-Nassr FC</x:v>
      </x:c>
      <x:c r="G1746"/>
      <x:c r="H1746"/>
      <x:c r="I1746"/>
      <x:c r="J1746"/>
      <x:c r="K1746" t="str">
        <x:f>IF(COUNT(G1746,I1746)=0,"",AVERAGE(G1746,I1746))</x:f>
      </x:c>
      <x:c r="L1746" t="str">
        <x:f>IF(COUNT(H1746,J1746)=0,"",AVERAGE(H1746,J1746))</x:f>
      </x:c>
      <x:c r="M1746" t="str">
        <x:f>IF(OR(K1746="",L1746=""),"",L1746-K1746)</x:f>
      </x:c>
      <x:c r="N1746" t="str">
        <x:f>IF(OR(K1746="",A1745&lt;&gt;A1746,K1745=""),"",K1746-K1745)</x:f>
      </x:c>
      <x:c r="O1746" t="str">
        <x:v>Sem informação</x:v>
      </x:c>
      <x:c r="P1746"/>
      <x:c r="Q1746"/>
      <x:c r="R1746"/>
      <x:c r="S1746"/>
      <x:c r="T1746"/>
    </x:row>
    <x:row r="1747">
      <x:c r="A1747" t="str">
        <x:v>Ângelo</x:v>
      </x:c>
      <x:c r="B1747" t="n">
        <x:v>2027</x:v>
      </x:c>
      <x:c r="C1747" t="str">
        <x:v>T2</x:v>
      </x:c>
      <x:c r="D1747" t="n">
        <x:v>46568</x:v>
      </x:c>
      <x:c r="E1747" t="str">
        <x:v>Ponta-direita</x:v>
      </x:c>
      <x:c r="F1747" t="str">
        <x:v>Al-Nassr FC</x:v>
      </x:c>
      <x:c r="G1747"/>
      <x:c r="H1747"/>
      <x:c r="I1747"/>
      <x:c r="J1747"/>
      <x:c r="K1747" t="str">
        <x:f>IF(COUNT(G1747,I1747)=0,"",AVERAGE(G1747,I1747))</x:f>
      </x:c>
      <x:c r="L1747" t="str">
        <x:f>IF(COUNT(H1747,J1747)=0,"",AVERAGE(H1747,J1747))</x:f>
      </x:c>
      <x:c r="M1747" t="str">
        <x:f>IF(OR(K1747="",L1747=""),"",L1747-K1747)</x:f>
      </x:c>
      <x:c r="N1747" t="str">
        <x:f>IF(OR(K1747="",A1746&lt;&gt;A1747,K1746=""),"",K1747-K1746)</x:f>
      </x:c>
      <x:c r="O1747" t="str">
        <x:v>Sem informação</x:v>
      </x:c>
      <x:c r="P1747"/>
      <x:c r="Q1747"/>
      <x:c r="R1747"/>
      <x:c r="S1747"/>
      <x:c r="T1747"/>
    </x:row>
    <x:row r="1748">
      <x:c r="A1748" t="str">
        <x:v>Ângelo</x:v>
      </x:c>
      <x:c r="B1748" t="n">
        <x:v>2027</x:v>
      </x:c>
      <x:c r="C1748" t="str">
        <x:v>T3</x:v>
      </x:c>
      <x:c r="D1748" t="n">
        <x:v>46660</x:v>
      </x:c>
      <x:c r="E1748" t="str">
        <x:v>Ponta-direita</x:v>
      </x:c>
      <x:c r="F1748" t="str">
        <x:v>Al-Nassr FC</x:v>
      </x:c>
      <x:c r="G1748"/>
      <x:c r="H1748"/>
      <x:c r="I1748"/>
      <x:c r="J1748"/>
      <x:c r="K1748" t="str">
        <x:f>IF(COUNT(G1748,I1748)=0,"",AVERAGE(G1748,I1748))</x:f>
      </x:c>
      <x:c r="L1748" t="str">
        <x:f>IF(COUNT(H1748,J1748)=0,"",AVERAGE(H1748,J1748))</x:f>
      </x:c>
      <x:c r="M1748" t="str">
        <x:f>IF(OR(K1748="",L1748=""),"",L1748-K1748)</x:f>
      </x:c>
      <x:c r="N1748" t="str">
        <x:f>IF(OR(K1748="",A1747&lt;&gt;A1748,K1747=""),"",K1748-K1747)</x:f>
      </x:c>
      <x:c r="O1748" t="str">
        <x:v>Sem informação</x:v>
      </x:c>
      <x:c r="P1748"/>
      <x:c r="Q1748"/>
      <x:c r="R1748"/>
      <x:c r="S1748"/>
      <x:c r="T1748"/>
    </x:row>
    <x:row r="1749">
      <x:c r="A1749" t="str">
        <x:v>Ângelo</x:v>
      </x:c>
      <x:c r="B1749" t="n">
        <x:v>2027</x:v>
      </x:c>
      <x:c r="C1749" t="str">
        <x:v>T4</x:v>
      </x:c>
      <x:c r="D1749" t="n">
        <x:v>46752</x:v>
      </x:c>
      <x:c r="E1749" t="str">
        <x:v>Ponta-direita</x:v>
      </x:c>
      <x:c r="F1749" t="str">
        <x:v>Al-Nassr FC</x:v>
      </x:c>
      <x:c r="G1749"/>
      <x:c r="H1749"/>
      <x:c r="I1749"/>
      <x:c r="J1749"/>
      <x:c r="K1749" t="str">
        <x:f>IF(COUNT(G1749,I1749)=0,"",AVERAGE(G1749,I1749))</x:f>
      </x:c>
      <x:c r="L1749" t="str">
        <x:f>IF(COUNT(H1749,J1749)=0,"",AVERAGE(H1749,J1749))</x:f>
      </x:c>
      <x:c r="M1749" t="str">
        <x:f>IF(OR(K1749="",L1749=""),"",L1749-K1749)</x:f>
      </x:c>
      <x:c r="N1749" t="str">
        <x:f>IF(OR(K1749="",A1748&lt;&gt;A1749,K1748=""),"",K1749-K1748)</x:f>
      </x:c>
      <x:c r="O1749" t="str">
        <x:v>Sem informação</x:v>
      </x:c>
      <x:c r="P1749"/>
      <x:c r="Q1749"/>
      <x:c r="R1749"/>
      <x:c r="S1749"/>
      <x:c r="T1749"/>
    </x:row>
    <x:row r="1750">
      <x:c r="A1750" t="str">
        <x:v>Ângelo</x:v>
      </x:c>
      <x:c r="B1750" t="n">
        <x:v>2028</x:v>
      </x:c>
      <x:c r="C1750" t="str">
        <x:v>T1</x:v>
      </x:c>
      <x:c r="D1750" t="n">
        <x:v>46843</x:v>
      </x:c>
      <x:c r="E1750" t="str">
        <x:v>Ponta-direita</x:v>
      </x:c>
      <x:c r="F1750" t="str">
        <x:v>Al-Nassr FC</x:v>
      </x:c>
      <x:c r="G1750"/>
      <x:c r="H1750"/>
      <x:c r="I1750"/>
      <x:c r="J1750"/>
      <x:c r="K1750" t="str">
        <x:f>IF(COUNT(G1750,I1750)=0,"",AVERAGE(G1750,I1750))</x:f>
      </x:c>
      <x:c r="L1750" t="str">
        <x:f>IF(COUNT(H1750,J1750)=0,"",AVERAGE(H1750,J1750))</x:f>
      </x:c>
      <x:c r="M1750" t="str">
        <x:f>IF(OR(K1750="",L1750=""),"",L1750-K1750)</x:f>
      </x:c>
      <x:c r="N1750" t="str">
        <x:f>IF(OR(K1750="",A1749&lt;&gt;A1750,K1749=""),"",K1750-K1749)</x:f>
      </x:c>
      <x:c r="O1750" t="str">
        <x:v>Sem informação</x:v>
      </x:c>
      <x:c r="P1750"/>
      <x:c r="Q1750"/>
      <x:c r="R1750"/>
      <x:c r="S1750"/>
      <x:c r="T1750"/>
    </x:row>
    <x:row r="1751">
      <x:c r="A1751" t="str">
        <x:v>Ângelo</x:v>
      </x:c>
      <x:c r="B1751" t="n">
        <x:v>2028</x:v>
      </x:c>
      <x:c r="C1751" t="str">
        <x:v>T2</x:v>
      </x:c>
      <x:c r="D1751" t="n">
        <x:v>46934</x:v>
      </x:c>
      <x:c r="E1751" t="str">
        <x:v>Ponta-direita</x:v>
      </x:c>
      <x:c r="F1751" t="str">
        <x:v>Al-Nassr FC</x:v>
      </x:c>
      <x:c r="G1751"/>
      <x:c r="H1751"/>
      <x:c r="I1751"/>
      <x:c r="J1751"/>
      <x:c r="K1751" t="str">
        <x:f>IF(COUNT(G1751,I1751)=0,"",AVERAGE(G1751,I1751))</x:f>
      </x:c>
      <x:c r="L1751" t="str">
        <x:f>IF(COUNT(H1751,J1751)=0,"",AVERAGE(H1751,J1751))</x:f>
      </x:c>
      <x:c r="M1751" t="str">
        <x:f>IF(OR(K1751="",L1751=""),"",L1751-K1751)</x:f>
      </x:c>
      <x:c r="N1751" t="str">
        <x:f>IF(OR(K1751="",A1750&lt;&gt;A1751,K1750=""),"",K1751-K1750)</x:f>
      </x:c>
      <x:c r="O1751" t="str">
        <x:v>Sem informação</x:v>
      </x:c>
      <x:c r="P1751"/>
      <x:c r="Q1751"/>
      <x:c r="R1751"/>
      <x:c r="S1751"/>
      <x:c r="T1751"/>
    </x:row>
    <x:row r="1752">
      <x:c r="A1752" t="str">
        <x:v>Ângelo</x:v>
      </x:c>
      <x:c r="B1752" t="n">
        <x:v>2028</x:v>
      </x:c>
      <x:c r="C1752" t="str">
        <x:v>T3</x:v>
      </x:c>
      <x:c r="D1752" t="n">
        <x:v>47026</x:v>
      </x:c>
      <x:c r="E1752" t="str">
        <x:v>Ponta-direita</x:v>
      </x:c>
      <x:c r="F1752" t="str">
        <x:v>Al-Nassr FC</x:v>
      </x:c>
      <x:c r="G1752"/>
      <x:c r="H1752"/>
      <x:c r="I1752"/>
      <x:c r="J1752"/>
      <x:c r="K1752" t="str">
        <x:f>IF(COUNT(G1752,I1752)=0,"",AVERAGE(G1752,I1752))</x:f>
      </x:c>
      <x:c r="L1752" t="str">
        <x:f>IF(COUNT(H1752,J1752)=0,"",AVERAGE(H1752,J1752))</x:f>
      </x:c>
      <x:c r="M1752" t="str">
        <x:f>IF(OR(K1752="",L1752=""),"",L1752-K1752)</x:f>
      </x:c>
      <x:c r="N1752" t="str">
        <x:f>IF(OR(K1752="",A1751&lt;&gt;A1752,K1751=""),"",K1752-K1751)</x:f>
      </x:c>
      <x:c r="O1752" t="str">
        <x:v>Sem informação</x:v>
      </x:c>
      <x:c r="P1752"/>
      <x:c r="Q1752"/>
      <x:c r="R1752"/>
      <x:c r="S1752"/>
      <x:c r="T1752"/>
    </x:row>
    <x:row r="1753">
      <x:c r="A1753" t="str">
        <x:v>Ângelo</x:v>
      </x:c>
      <x:c r="B1753" t="n">
        <x:v>2028</x:v>
      </x:c>
      <x:c r="C1753" t="str">
        <x:v>T4</x:v>
      </x:c>
      <x:c r="D1753" t="n">
        <x:v>47118</x:v>
      </x:c>
      <x:c r="E1753" t="str">
        <x:v>Ponta-direita</x:v>
      </x:c>
      <x:c r="F1753" t="str">
        <x:v>Al-Nassr FC</x:v>
      </x:c>
      <x:c r="G1753"/>
      <x:c r="H1753"/>
      <x:c r="I1753"/>
      <x:c r="J1753"/>
      <x:c r="K1753" t="str">
        <x:f>IF(COUNT(G1753,I1753)=0,"",AVERAGE(G1753,I1753))</x:f>
      </x:c>
      <x:c r="L1753" t="str">
        <x:f>IF(COUNT(H1753,J1753)=0,"",AVERAGE(H1753,J1753))</x:f>
      </x:c>
      <x:c r="M1753" t="str">
        <x:f>IF(OR(K1753="",L1753=""),"",L1753-K1753)</x:f>
      </x:c>
      <x:c r="N1753" t="str">
        <x:f>IF(OR(K1753="",A1752&lt;&gt;A1753,K1752=""),"",K1753-K1752)</x:f>
      </x:c>
      <x:c r="O1753" t="str">
        <x:v>Sem informação</x:v>
      </x:c>
      <x:c r="P1753"/>
      <x:c r="Q1753"/>
      <x:c r="R1753"/>
      <x:c r="S1753"/>
      <x:c r="T1753"/>
    </x:row>
    <x:row r="1754">
      <x:c r="A1754" t="str">
        <x:v>Ângelo</x:v>
      </x:c>
      <x:c r="B1754" t="n">
        <x:v>2029</x:v>
      </x:c>
      <x:c r="C1754" t="str">
        <x:v>T1</x:v>
      </x:c>
      <x:c r="D1754" t="n">
        <x:v>47208</x:v>
      </x:c>
      <x:c r="E1754" t="str">
        <x:v>Ponta-direita</x:v>
      </x:c>
      <x:c r="F1754" t="str">
        <x:v>Al-Nassr FC</x:v>
      </x:c>
      <x:c r="G1754"/>
      <x:c r="H1754"/>
      <x:c r="I1754"/>
      <x:c r="J1754"/>
      <x:c r="K1754" t="str">
        <x:f>IF(COUNT(G1754,I1754)=0,"",AVERAGE(G1754,I1754))</x:f>
      </x:c>
      <x:c r="L1754" t="str">
        <x:f>IF(COUNT(H1754,J1754)=0,"",AVERAGE(H1754,J1754))</x:f>
      </x:c>
      <x:c r="M1754" t="str">
        <x:f>IF(OR(K1754="",L1754=""),"",L1754-K1754)</x:f>
      </x:c>
      <x:c r="N1754" t="str">
        <x:f>IF(OR(K1754="",A1753&lt;&gt;A1754,K1753=""),"",K1754-K1753)</x:f>
      </x:c>
      <x:c r="O1754" t="str">
        <x:v>Sem informação</x:v>
      </x:c>
      <x:c r="P1754"/>
      <x:c r="Q1754"/>
      <x:c r="R1754"/>
      <x:c r="S1754"/>
      <x:c r="T1754"/>
    </x:row>
    <x:row r="1755">
      <x:c r="A1755" t="str">
        <x:v>Ângelo</x:v>
      </x:c>
      <x:c r="B1755" t="n">
        <x:v>2029</x:v>
      </x:c>
      <x:c r="C1755" t="str">
        <x:v>T2</x:v>
      </x:c>
      <x:c r="D1755" t="n">
        <x:v>47299</x:v>
      </x:c>
      <x:c r="E1755" t="str">
        <x:v>Ponta-direita</x:v>
      </x:c>
      <x:c r="F1755" t="str">
        <x:v>Al-Nassr FC</x:v>
      </x:c>
      <x:c r="G1755"/>
      <x:c r="H1755"/>
      <x:c r="I1755"/>
      <x:c r="J1755"/>
      <x:c r="K1755" t="str">
        <x:f>IF(COUNT(G1755,I1755)=0,"",AVERAGE(G1755,I1755))</x:f>
      </x:c>
      <x:c r="L1755" t="str">
        <x:f>IF(COUNT(H1755,J1755)=0,"",AVERAGE(H1755,J1755))</x:f>
      </x:c>
      <x:c r="M1755" t="str">
        <x:f>IF(OR(K1755="",L1755=""),"",L1755-K1755)</x:f>
      </x:c>
      <x:c r="N1755" t="str">
        <x:f>IF(OR(K1755="",A1754&lt;&gt;A1755,K1754=""),"",K1755-K1754)</x:f>
      </x:c>
      <x:c r="O1755" t="str">
        <x:v>Sem informação</x:v>
      </x:c>
      <x:c r="P1755"/>
      <x:c r="Q1755"/>
      <x:c r="R1755"/>
      <x:c r="S1755"/>
      <x:c r="T1755"/>
    </x:row>
    <x:row r="1756">
      <x:c r="A1756" t="str">
        <x:v>Ângelo</x:v>
      </x:c>
      <x:c r="B1756" t="n">
        <x:v>2029</x:v>
      </x:c>
      <x:c r="C1756" t="str">
        <x:v>T3</x:v>
      </x:c>
      <x:c r="D1756" t="n">
        <x:v>47391</x:v>
      </x:c>
      <x:c r="E1756" t="str">
        <x:v>Ponta-direita</x:v>
      </x:c>
      <x:c r="F1756" t="str">
        <x:v>Al-Nassr FC</x:v>
      </x:c>
      <x:c r="G1756"/>
      <x:c r="H1756"/>
      <x:c r="I1756"/>
      <x:c r="J1756"/>
      <x:c r="K1756" t="str">
        <x:f>IF(COUNT(G1756,I1756)=0,"",AVERAGE(G1756,I1756))</x:f>
      </x:c>
      <x:c r="L1756" t="str">
        <x:f>IF(COUNT(H1756,J1756)=0,"",AVERAGE(H1756,J1756))</x:f>
      </x:c>
      <x:c r="M1756" t="str">
        <x:f>IF(OR(K1756="",L1756=""),"",L1756-K1756)</x:f>
      </x:c>
      <x:c r="N1756" t="str">
        <x:f>IF(OR(K1756="",A1755&lt;&gt;A1756,K1755=""),"",K1756-K1755)</x:f>
      </x:c>
      <x:c r="O1756" t="str">
        <x:v>Sem informação</x:v>
      </x:c>
      <x:c r="P1756"/>
      <x:c r="Q1756"/>
      <x:c r="R1756"/>
      <x:c r="S1756"/>
      <x:c r="T1756"/>
    </x:row>
    <x:row r="1757">
      <x:c r="A1757" t="str">
        <x:v>Ângelo</x:v>
      </x:c>
      <x:c r="B1757" t="n">
        <x:v>2029</x:v>
      </x:c>
      <x:c r="C1757" t="str">
        <x:v>T4</x:v>
      </x:c>
      <x:c r="D1757" t="n">
        <x:v>47483</x:v>
      </x:c>
      <x:c r="E1757" t="str">
        <x:v>Ponta-direita</x:v>
      </x:c>
      <x:c r="F1757" t="str">
        <x:v>Al-Nassr FC</x:v>
      </x:c>
      <x:c r="G1757"/>
      <x:c r="H1757"/>
      <x:c r="I1757"/>
      <x:c r="J1757"/>
      <x:c r="K1757" t="str">
        <x:f>IF(COUNT(G1757,I1757)=0,"",AVERAGE(G1757,I1757))</x:f>
      </x:c>
      <x:c r="L1757" t="str">
        <x:f>IF(COUNT(H1757,J1757)=0,"",AVERAGE(H1757,J1757))</x:f>
      </x:c>
      <x:c r="M1757" t="str">
        <x:f>IF(OR(K1757="",L1757=""),"",L1757-K1757)</x:f>
      </x:c>
      <x:c r="N1757" t="str">
        <x:f>IF(OR(K1757="",A1756&lt;&gt;A1757,K1756=""),"",K1757-K1756)</x:f>
      </x:c>
      <x:c r="O1757" t="str">
        <x:v>Sem informação</x:v>
      </x:c>
      <x:c r="P1757"/>
      <x:c r="Q1757"/>
      <x:c r="R1757"/>
      <x:c r="S1757"/>
      <x:c r="T1757"/>
    </x:row>
    <x:row r="1758">
      <x:c r="A1758" t="str">
        <x:v>Ângelo</x:v>
      </x:c>
      <x:c r="B1758" t="n">
        <x:v>2030</x:v>
      </x:c>
      <x:c r="C1758" t="str">
        <x:v>T1</x:v>
      </x:c>
      <x:c r="D1758" t="n">
        <x:v>47573</x:v>
      </x:c>
      <x:c r="E1758" t="str">
        <x:v>Ponta-direita</x:v>
      </x:c>
      <x:c r="F1758" t="str">
        <x:v>Al-Nassr FC</x:v>
      </x:c>
      <x:c r="G1758"/>
      <x:c r="H1758"/>
      <x:c r="I1758"/>
      <x:c r="J1758"/>
      <x:c r="K1758" t="str">
        <x:f>IF(COUNT(G1758,I1758)=0,"",AVERAGE(G1758,I1758))</x:f>
      </x:c>
      <x:c r="L1758" t="str">
        <x:f>IF(COUNT(H1758,J1758)=0,"",AVERAGE(H1758,J1758))</x:f>
      </x:c>
      <x:c r="M1758" t="str">
        <x:f>IF(OR(K1758="",L1758=""),"",L1758-K1758)</x:f>
      </x:c>
      <x:c r="N1758" t="str">
        <x:f>IF(OR(K1758="",A1757&lt;&gt;A1758,K1757=""),"",K1758-K1757)</x:f>
      </x:c>
      <x:c r="O1758" t="str">
        <x:v>Sem informação</x:v>
      </x:c>
      <x:c r="P1758"/>
      <x:c r="Q1758"/>
      <x:c r="R1758"/>
      <x:c r="S1758"/>
      <x:c r="T1758"/>
    </x:row>
    <x:row r="1759">
      <x:c r="A1759" t="str">
        <x:v>Ângelo</x:v>
      </x:c>
      <x:c r="B1759" t="n">
        <x:v>2030</x:v>
      </x:c>
      <x:c r="C1759" t="str">
        <x:v>T2</x:v>
      </x:c>
      <x:c r="D1759" t="n">
        <x:v>47664</x:v>
      </x:c>
      <x:c r="E1759" t="str">
        <x:v>Ponta-direita</x:v>
      </x:c>
      <x:c r="F1759" t="str">
        <x:v>Al-Nassr FC</x:v>
      </x:c>
      <x:c r="G1759"/>
      <x:c r="H1759"/>
      <x:c r="I1759"/>
      <x:c r="J1759"/>
      <x:c r="K1759" t="str">
        <x:f>IF(COUNT(G1759,I1759)=0,"",AVERAGE(G1759,I1759))</x:f>
      </x:c>
      <x:c r="L1759" t="str">
        <x:f>IF(COUNT(H1759,J1759)=0,"",AVERAGE(H1759,J1759))</x:f>
      </x:c>
      <x:c r="M1759" t="str">
        <x:f>IF(OR(K1759="",L1759=""),"",L1759-K1759)</x:f>
      </x:c>
      <x:c r="N1759" t="str">
        <x:f>IF(OR(K1759="",A1758&lt;&gt;A1759,K1758=""),"",K1759-K1758)</x:f>
      </x:c>
      <x:c r="O1759" t="str">
        <x:v>Sem informação</x:v>
      </x:c>
      <x:c r="P1759"/>
      <x:c r="Q1759"/>
      <x:c r="R1759"/>
      <x:c r="S1759"/>
      <x:c r="T1759"/>
    </x:row>
    <x:row r="1760">
      <x:c r="A1760" t="str">
        <x:v>Ângelo</x:v>
      </x:c>
      <x:c r="B1760" t="n">
        <x:v>2030</x:v>
      </x:c>
      <x:c r="C1760" t="str">
        <x:v>T3</x:v>
      </x:c>
      <x:c r="D1760" t="n">
        <x:v>47756</x:v>
      </x:c>
      <x:c r="E1760" t="str">
        <x:v>Ponta-direita</x:v>
      </x:c>
      <x:c r="F1760" t="str">
        <x:v>Al-Nassr FC</x:v>
      </x:c>
      <x:c r="G1760"/>
      <x:c r="H1760"/>
      <x:c r="I1760"/>
      <x:c r="J1760"/>
      <x:c r="K1760" t="str">
        <x:f>IF(COUNT(G1760,I1760)=0,"",AVERAGE(G1760,I1760))</x:f>
      </x:c>
      <x:c r="L1760" t="str">
        <x:f>IF(COUNT(H1760,J1760)=0,"",AVERAGE(H1760,J1760))</x:f>
      </x:c>
      <x:c r="M1760" t="str">
        <x:f>IF(OR(K1760="",L1760=""),"",L1760-K1760)</x:f>
      </x:c>
      <x:c r="N1760" t="str">
        <x:f>IF(OR(K1760="",A1759&lt;&gt;A1760,K1759=""),"",K1760-K1759)</x:f>
      </x:c>
      <x:c r="O1760" t="str">
        <x:v>Sem informação</x:v>
      </x:c>
      <x:c r="P1760"/>
      <x:c r="Q1760"/>
      <x:c r="R1760"/>
      <x:c r="S1760"/>
      <x:c r="T1760"/>
    </x:row>
    <x:row r="1761">
      <x:c r="A1761" t="str">
        <x:v>Ângelo</x:v>
      </x:c>
      <x:c r="B1761" t="n">
        <x:v>2030</x:v>
      </x:c>
      <x:c r="C1761" t="str">
        <x:v>T4</x:v>
      </x:c>
      <x:c r="D1761" t="n">
        <x:v>47848</x:v>
      </x:c>
      <x:c r="E1761" t="str">
        <x:v>Ponta-direita</x:v>
      </x:c>
      <x:c r="F1761" t="str">
        <x:v>Al-Nassr FC</x:v>
      </x:c>
      <x:c r="G1761"/>
      <x:c r="H1761"/>
      <x:c r="I1761"/>
      <x:c r="J1761"/>
      <x:c r="K1761" t="str">
        <x:f>IF(COUNT(G1761,I1761)=0,"",AVERAGE(G1761,I1761))</x:f>
      </x:c>
      <x:c r="L1761" t="str">
        <x:f>IF(COUNT(H1761,J1761)=0,"",AVERAGE(H1761,J1761))</x:f>
      </x:c>
      <x:c r="M1761" t="str">
        <x:f>IF(OR(K1761="",L1761=""),"",L1761-K1761)</x:f>
      </x:c>
      <x:c r="N1761" t="str">
        <x:f>IF(OR(K1761="",A1760&lt;&gt;A1761,K1760=""),"",K1761-K1760)</x:f>
      </x:c>
      <x:c r="O1761" t="str">
        <x:v>Sem informação</x:v>
      </x:c>
      <x:c r="P1761"/>
      <x:c r="Q1761"/>
      <x:c r="R1761"/>
      <x:c r="S1761"/>
      <x:c r="T1761"/>
    </x:row>
  </x:sheetData>
  <x:conditionalFormatting sqref="K2:M158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2">
    <x:dataValidation type="list" sqref="G2:J1581">
      <x:formula1>"0,0.5,1,1.5,2,2.5,3,3.5,4,4.5,5,5.5,6,6.5,7,7.5,8,8.5,9,9.5,10"</x:formula1>
    </x:dataValidation>
    <x:dataValidation type="list" sqref="O2:O1581">
      <x:formula1>"Sem informação,Disponível,Em recuperação,Lesionado,Carga controlada"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c38d4ea42f48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10" max="10" width="16" hidden="0" customWidth="1"/>
    <x:col min="11" max="11" width="16" hidden="0" customWidth="1"/>
  </x:cols>
  <x:sheetData>
    <x:row r="1" ht="34" customHeight="1">
      <x:c r="A1" s="13" t="str">
        <x:v>Ano</x:v>
      </x:c>
      <x:c r="B1" s="13" t="str">
        <x:v>Trimestre</x:v>
      </x:c>
      <x:c r="C1" s="13" t="str">
        <x:v>Média da capacidade atual</x:v>
      </x:c>
      <x:c r="D1" s="13" t="str">
        <x:v>Média do potencial</x:v>
      </x:c>
      <x:c r="E1" s="13" t="str">
        <x:v>Margem média de evolução</x:v>
      </x:c>
      <x:c r="F1" s="13" t="str">
        <x:v>Atletas com capacidade atual</x:v>
      </x:c>
      <x:c r="G1" s="13" t="str">
        <x:v>Avaliações completas</x:v>
      </x:c>
      <x:c r="H1" s="13" t="str">
        <x:v>% de cobertura completa</x:v>
      </x:c>
      <x:c r="J1" s="13" t="str">
        <x:v>Período</x:v>
      </x:c>
      <x:c r="K1" s="13" t="str">
        <x:v>Cobertura</x:v>
      </x:c>
    </x:row>
    <x:row r="2">
      <x:c r="A2" t="n">
        <x:v>2026</x:v>
      </x:c>
      <x:c r="B2" t="str">
        <x:v>T1</x:v>
      </x:c>
      <x:c r="C2" s="48" t="str">
        <x:f>IFERROR(SUMIFS('Avaliações Trimestrais'!$K$2:$K$1761,'Avaliações Trimestrais'!$B$2:$B$1761,$A2,'Avaliações Trimestrais'!$C$2:$C$1761,$B2)/COUNTIFS('Avaliações Trimestrais'!$B$2:$B$1761,$A2,'Avaliações Trimestrais'!$C$2:$C$1761,$B2,'Avaliações Trimestrais'!$K$2:$K$1761,"&gt;=-1E+307",'Avaliações Trimestrais'!$K$2:$K$1761,"&lt;=1E+307"),"")</x:f>
      </x:c>
      <x:c r="D2" s="48" t="str">
        <x:f>IFERROR(SUMIFS('Avaliações Trimestrais'!$L$2:$L$1761,'Avaliações Trimestrais'!$B$2:$B$1761,$A2,'Avaliações Trimestrais'!$C$2:$C$1761,$B2)/COUNTIFS('Avaliações Trimestrais'!$B$2:$B$1761,$A2,'Avaliações Trimestrais'!$C$2:$C$1761,$B2,'Avaliações Trimestrais'!$L$2:$L$1761,"&gt;=-1E+307",'Avaliações Trimestrais'!$L$2:$L$1761,"&lt;=1E+307"),"")</x:f>
      </x:c>
      <x:c r="E2" s="48" t="str">
        <x:f>IF(OR(C2="",D2=""),"",D2-C2)</x:f>
      </x:c>
      <x:c r="F2" t="n">
        <x:f>COUNTIFS('Avaliações Trimestrais'!$B$2:$B$1761,$A2,'Avaliações Trimestrais'!$C$2:$C$1761,$B2,'Avaliações Trimestrais'!$K$2:$K$1761,"&gt;=-1E+307",'Avaliações Trimestrais'!$K$2:$K$1761,"&lt;=1E+307")</x:f>
        <x:v>0</x:v>
      </x:c>
      <x:c r="G2" t="n">
        <x:f>COUNTIFS('Avaliações Trimestrais'!$B$2:$B$1761,$A2,'Avaliações Trimestrais'!$C$2:$C$1761,$B2,'Avaliações Trimestrais'!$G$2:$G$1761,"&lt;&gt;",'Avaliações Trimestrais'!$H$2:$H$1761,"&lt;&gt;",'Avaliações Trimestrais'!$I$2:$I$1761,"&lt;&gt;",'Avaliações Trimestrais'!$J$2:$J$1761,"&lt;&gt;")</x:f>
        <x:v>0</x:v>
      </x:c>
      <x:c r="H2" s="50" t="n">
        <x:f>G2/88</x:f>
        <x:v>0</x:v>
      </x:c>
      <x:c r="J2" t="str">
        <x:f>A2&amp;"-"&amp;B2</x:f>
        <x:v>2026-T1</x:v>
      </x:c>
      <x:c r="K2" s="50" t="n">
        <x:f>H2</x:f>
        <x:v>0</x:v>
      </x:c>
    </x:row>
    <x:row r="3">
      <x:c r="A3" t="n">
        <x:v>2026</x:v>
      </x:c>
      <x:c r="B3" t="str">
        <x:v>T2</x:v>
      </x:c>
      <x:c r="C3" s="48" t="n">
        <x:f>IFERROR(SUMIFS('Avaliações Trimestrais'!$K$2:$K$1761,'Avaliações Trimestrais'!$B$2:$B$1761,$A3,'Avaliações Trimestrais'!$C$2:$C$1761,$B3)/COUNTIFS('Avaliações Trimestrais'!$B$2:$B$1761,$A3,'Avaliações Trimestrais'!$C$2:$C$1761,$B3,'Avaliações Trimestrais'!$K$2:$K$1761,"&gt;=-1E+307",'Avaliações Trimestrais'!$K$2:$K$1761,"&lt;=1E+307"),"")</x:f>
        <x:v>7.154255319148936</x:v>
      </x:c>
      <x:c r="D3" s="48" t="n">
        <x:f>IFERROR(SUMIFS('Avaliações Trimestrais'!$L$2:$L$1761,'Avaliações Trimestrais'!$B$2:$B$1761,$A3,'Avaliações Trimestrais'!$C$2:$C$1761,$B3)/COUNTIFS('Avaliações Trimestrais'!$B$2:$B$1761,$A3,'Avaliações Trimestrais'!$C$2:$C$1761,$B3,'Avaliações Trimestrais'!$L$2:$L$1761,"&gt;=-1E+307",'Avaliações Trimestrais'!$L$2:$L$1761,"&lt;=1E+307"),"")</x:f>
        <x:v>7.920212765957447</x:v>
      </x:c>
      <x:c r="E3" s="48" t="n">
        <x:f>IF(OR(C3="",D3=""),"",D3-C3)</x:f>
        <x:v>0.7659574468085113</x:v>
      </x:c>
      <x:c r="F3" t="n">
        <x:f>COUNTIFS('Avaliações Trimestrais'!$B$2:$B$1761,$A3,'Avaliações Trimestrais'!$C$2:$C$1761,$B3,'Avaliações Trimestrais'!$K$2:$K$1761,"&gt;=-1E+307",'Avaliações Trimestrais'!$K$2:$K$1761,"&lt;=1E+307")</x:f>
        <x:v>47</x:v>
      </x:c>
      <x:c r="G3" t="n">
        <x:f>COUNTIFS('Avaliações Trimestrais'!$B$2:$B$1761,$A3,'Avaliações Trimestrais'!$C$2:$C$1761,$B3,'Avaliações Trimestrais'!$G$2:$G$1761,"&lt;&gt;",'Avaliações Trimestrais'!$H$2:$H$1761,"&lt;&gt;",'Avaliações Trimestrais'!$I$2:$I$1761,"&lt;&gt;",'Avaliações Trimestrais'!$J$2:$J$1761,"&lt;&gt;")</x:f>
        <x:v>43</x:v>
      </x:c>
      <x:c r="H3" s="50" t="n">
        <x:f>G3/88</x:f>
        <x:v>0.48863636363636365</x:v>
      </x:c>
      <x:c r="J3" t="str">
        <x:f>A3&amp;"-"&amp;B3</x:f>
        <x:v>2026-T2</x:v>
      </x:c>
      <x:c r="K3" s="50" t="n">
        <x:f>H3</x:f>
        <x:v>0.48863636363636365</x:v>
      </x:c>
    </x:row>
    <x:row r="4">
      <x:c r="A4" t="n">
        <x:v>2026</x:v>
      </x:c>
      <x:c r="B4" t="str">
        <x:v>T3</x:v>
      </x:c>
      <x:c r="C4" s="48" t="str">
        <x:f>IFERROR(SUMIFS('Avaliações Trimestrais'!$K$2:$K$1761,'Avaliações Trimestrais'!$B$2:$B$1761,$A4,'Avaliações Trimestrais'!$C$2:$C$1761,$B4)/COUNTIFS('Avaliações Trimestrais'!$B$2:$B$1761,$A4,'Avaliações Trimestrais'!$C$2:$C$1761,$B4,'Avaliações Trimestrais'!$K$2:$K$1761,"&gt;=-1E+307",'Avaliações Trimestrais'!$K$2:$K$1761,"&lt;=1E+307"),"")</x:f>
      </x:c>
      <x:c r="D4" s="48" t="str">
        <x:f>IFERROR(SUMIFS('Avaliações Trimestrais'!$L$2:$L$1761,'Avaliações Trimestrais'!$B$2:$B$1761,$A4,'Avaliações Trimestrais'!$C$2:$C$1761,$B4)/COUNTIFS('Avaliações Trimestrais'!$B$2:$B$1761,$A4,'Avaliações Trimestrais'!$C$2:$C$1761,$B4,'Avaliações Trimestrais'!$L$2:$L$1761,"&gt;=-1E+307",'Avaliações Trimestrais'!$L$2:$L$1761,"&lt;=1E+307"),"")</x:f>
      </x:c>
      <x:c r="E4" s="48" t="str">
        <x:f>IF(OR(C4="",D4=""),"",D4-C4)</x:f>
      </x:c>
      <x:c r="F4" t="n">
        <x:f>COUNTIFS('Avaliações Trimestrais'!$B$2:$B$1761,$A4,'Avaliações Trimestrais'!$C$2:$C$1761,$B4,'Avaliações Trimestrais'!$K$2:$K$1761,"&gt;=-1E+307",'Avaliações Trimestrais'!$K$2:$K$1761,"&lt;=1E+307")</x:f>
        <x:v>0</x:v>
      </x:c>
      <x:c r="G4" t="n">
        <x:f>COUNTIFS('Avaliações Trimestrais'!$B$2:$B$1761,$A4,'Avaliações Trimestrais'!$C$2:$C$1761,$B4,'Avaliações Trimestrais'!$G$2:$G$1761,"&lt;&gt;",'Avaliações Trimestrais'!$H$2:$H$1761,"&lt;&gt;",'Avaliações Trimestrais'!$I$2:$I$1761,"&lt;&gt;",'Avaliações Trimestrais'!$J$2:$J$1761,"&lt;&gt;")</x:f>
        <x:v>0</x:v>
      </x:c>
      <x:c r="H4" s="50" t="n">
        <x:f>G4/88</x:f>
        <x:v>0</x:v>
      </x:c>
      <x:c r="J4" t="str">
        <x:f>A4&amp;"-"&amp;B4</x:f>
        <x:v>2026-T3</x:v>
      </x:c>
      <x:c r="K4" s="50" t="n">
        <x:f>H4</x:f>
        <x:v>0</x:v>
      </x:c>
    </x:row>
    <x:row r="5">
      <x:c r="A5" t="n">
        <x:v>2026</x:v>
      </x:c>
      <x:c r="B5" t="str">
        <x:v>T4</x:v>
      </x:c>
      <x:c r="C5" s="48" t="str">
        <x:f>IFERROR(SUMIFS('Avaliações Trimestrais'!$K$2:$K$1761,'Avaliações Trimestrais'!$B$2:$B$1761,$A5,'Avaliações Trimestrais'!$C$2:$C$1761,$B5)/COUNTIFS('Avaliações Trimestrais'!$B$2:$B$1761,$A5,'Avaliações Trimestrais'!$C$2:$C$1761,$B5,'Avaliações Trimestrais'!$K$2:$K$1761,"&gt;=-1E+307",'Avaliações Trimestrais'!$K$2:$K$1761,"&lt;=1E+307"),"")</x:f>
      </x:c>
      <x:c r="D5" s="48" t="str">
        <x:f>IFERROR(SUMIFS('Avaliações Trimestrais'!$L$2:$L$1761,'Avaliações Trimestrais'!$B$2:$B$1761,$A5,'Avaliações Trimestrais'!$C$2:$C$1761,$B5)/COUNTIFS('Avaliações Trimestrais'!$B$2:$B$1761,$A5,'Avaliações Trimestrais'!$C$2:$C$1761,$B5,'Avaliações Trimestrais'!$L$2:$L$1761,"&gt;=-1E+307",'Avaliações Trimestrais'!$L$2:$L$1761,"&lt;=1E+307"),"")</x:f>
      </x:c>
      <x:c r="E5" s="48" t="str">
        <x:f>IF(OR(C5="",D5=""),"",D5-C5)</x:f>
      </x:c>
      <x:c r="F5" t="n">
        <x:f>COUNTIFS('Avaliações Trimestrais'!$B$2:$B$1761,$A5,'Avaliações Trimestrais'!$C$2:$C$1761,$B5,'Avaliações Trimestrais'!$K$2:$K$1761,"&gt;=-1E+307",'Avaliações Trimestrais'!$K$2:$K$1761,"&lt;=1E+307")</x:f>
        <x:v>0</x:v>
      </x:c>
      <x:c r="G5" t="n">
        <x:f>COUNTIFS('Avaliações Trimestrais'!$B$2:$B$1761,$A5,'Avaliações Trimestrais'!$C$2:$C$1761,$B5,'Avaliações Trimestrais'!$G$2:$G$1761,"&lt;&gt;",'Avaliações Trimestrais'!$H$2:$H$1761,"&lt;&gt;",'Avaliações Trimestrais'!$I$2:$I$1761,"&lt;&gt;",'Avaliações Trimestrais'!$J$2:$J$1761,"&lt;&gt;")</x:f>
        <x:v>0</x:v>
      </x:c>
      <x:c r="H5" s="50" t="n">
        <x:f>G5/88</x:f>
        <x:v>0</x:v>
      </x:c>
      <x:c r="J5" t="str">
        <x:f>A5&amp;"-"&amp;B5</x:f>
        <x:v>2026-T4</x:v>
      </x:c>
      <x:c r="K5" s="50" t="n">
        <x:f>H5</x:f>
        <x:v>0</x:v>
      </x:c>
    </x:row>
    <x:row r="6">
      <x:c r="A6" t="n">
        <x:v>2027</x:v>
      </x:c>
      <x:c r="B6" t="str">
        <x:v>T1</x:v>
      </x:c>
      <x:c r="C6" s="48" t="str">
        <x:f>IFERROR(SUMIFS('Avaliações Trimestrais'!$K$2:$K$1761,'Avaliações Trimestrais'!$B$2:$B$1761,$A6,'Avaliações Trimestrais'!$C$2:$C$1761,$B6)/COUNTIFS('Avaliações Trimestrais'!$B$2:$B$1761,$A6,'Avaliações Trimestrais'!$C$2:$C$1761,$B6,'Avaliações Trimestrais'!$K$2:$K$1761,"&gt;=-1E+307",'Avaliações Trimestrais'!$K$2:$K$1761,"&lt;=1E+307"),"")</x:f>
      </x:c>
      <x:c r="D6" s="48" t="str">
        <x:f>IFERROR(SUMIFS('Avaliações Trimestrais'!$L$2:$L$1761,'Avaliações Trimestrais'!$B$2:$B$1761,$A6,'Avaliações Trimestrais'!$C$2:$C$1761,$B6)/COUNTIFS('Avaliações Trimestrais'!$B$2:$B$1761,$A6,'Avaliações Trimestrais'!$C$2:$C$1761,$B6,'Avaliações Trimestrais'!$L$2:$L$1761,"&gt;=-1E+307",'Avaliações Trimestrais'!$L$2:$L$1761,"&lt;=1E+307"),"")</x:f>
      </x:c>
      <x:c r="E6" s="48" t="str">
        <x:f>IF(OR(C6="",D6=""),"",D6-C6)</x:f>
      </x:c>
      <x:c r="F6" t="n">
        <x:f>COUNTIFS('Avaliações Trimestrais'!$B$2:$B$1761,$A6,'Avaliações Trimestrais'!$C$2:$C$1761,$B6,'Avaliações Trimestrais'!$K$2:$K$1761,"&gt;=-1E+307",'Avaliações Trimestrais'!$K$2:$K$1761,"&lt;=1E+307")</x:f>
        <x:v>0</x:v>
      </x:c>
      <x:c r="G6" t="n">
        <x:f>COUNTIFS('Avaliações Trimestrais'!$B$2:$B$1761,$A6,'Avaliações Trimestrais'!$C$2:$C$1761,$B6,'Avaliações Trimestrais'!$G$2:$G$1761,"&lt;&gt;",'Avaliações Trimestrais'!$H$2:$H$1761,"&lt;&gt;",'Avaliações Trimestrais'!$I$2:$I$1761,"&lt;&gt;",'Avaliações Trimestrais'!$J$2:$J$1761,"&lt;&gt;")</x:f>
        <x:v>0</x:v>
      </x:c>
      <x:c r="H6" s="50" t="n">
        <x:f>G6/88</x:f>
        <x:v>0</x:v>
      </x:c>
      <x:c r="J6" t="str">
        <x:f>A6&amp;"-"&amp;B6</x:f>
        <x:v>2027-T1</x:v>
      </x:c>
      <x:c r="K6" s="50" t="n">
        <x:f>H6</x:f>
        <x:v>0</x:v>
      </x:c>
    </x:row>
    <x:row r="7">
      <x:c r="A7" t="n">
        <x:v>2027</x:v>
      </x:c>
      <x:c r="B7" t="str">
        <x:v>T2</x:v>
      </x:c>
      <x:c r="C7" s="48" t="str">
        <x:f>IFERROR(SUMIFS('Avaliações Trimestrais'!$K$2:$K$1761,'Avaliações Trimestrais'!$B$2:$B$1761,$A7,'Avaliações Trimestrais'!$C$2:$C$1761,$B7)/COUNTIFS('Avaliações Trimestrais'!$B$2:$B$1761,$A7,'Avaliações Trimestrais'!$C$2:$C$1761,$B7,'Avaliações Trimestrais'!$K$2:$K$1761,"&gt;=-1E+307",'Avaliações Trimestrais'!$K$2:$K$1761,"&lt;=1E+307"),"")</x:f>
      </x:c>
      <x:c r="D7" s="48" t="str">
        <x:f>IFERROR(SUMIFS('Avaliações Trimestrais'!$L$2:$L$1761,'Avaliações Trimestrais'!$B$2:$B$1761,$A7,'Avaliações Trimestrais'!$C$2:$C$1761,$B7)/COUNTIFS('Avaliações Trimestrais'!$B$2:$B$1761,$A7,'Avaliações Trimestrais'!$C$2:$C$1761,$B7,'Avaliações Trimestrais'!$L$2:$L$1761,"&gt;=-1E+307",'Avaliações Trimestrais'!$L$2:$L$1761,"&lt;=1E+307"),"")</x:f>
      </x:c>
      <x:c r="E7" s="48" t="str">
        <x:f>IF(OR(C7="",D7=""),"",D7-C7)</x:f>
      </x:c>
      <x:c r="F7" t="n">
        <x:f>COUNTIFS('Avaliações Trimestrais'!$B$2:$B$1761,$A7,'Avaliações Trimestrais'!$C$2:$C$1761,$B7,'Avaliações Trimestrais'!$K$2:$K$1761,"&gt;=-1E+307",'Avaliações Trimestrais'!$K$2:$K$1761,"&lt;=1E+307")</x:f>
        <x:v>0</x:v>
      </x:c>
      <x:c r="G7" t="n">
        <x:f>COUNTIFS('Avaliações Trimestrais'!$B$2:$B$1761,$A7,'Avaliações Trimestrais'!$C$2:$C$1761,$B7,'Avaliações Trimestrais'!$G$2:$G$1761,"&lt;&gt;",'Avaliações Trimestrais'!$H$2:$H$1761,"&lt;&gt;",'Avaliações Trimestrais'!$I$2:$I$1761,"&lt;&gt;",'Avaliações Trimestrais'!$J$2:$J$1761,"&lt;&gt;")</x:f>
        <x:v>0</x:v>
      </x:c>
      <x:c r="H7" s="50" t="n">
        <x:f>G7/88</x:f>
        <x:v>0</x:v>
      </x:c>
      <x:c r="J7" t="str">
        <x:f>A7&amp;"-"&amp;B7</x:f>
        <x:v>2027-T2</x:v>
      </x:c>
      <x:c r="K7" s="50" t="n">
        <x:f>H7</x:f>
        <x:v>0</x:v>
      </x:c>
    </x:row>
    <x:row r="8">
      <x:c r="A8" t="n">
        <x:v>2027</x:v>
      </x:c>
      <x:c r="B8" t="str">
        <x:v>T3</x:v>
      </x:c>
      <x:c r="C8" s="48" t="str">
        <x:f>IFERROR(SUMIFS('Avaliações Trimestrais'!$K$2:$K$1761,'Avaliações Trimestrais'!$B$2:$B$1761,$A8,'Avaliações Trimestrais'!$C$2:$C$1761,$B8)/COUNTIFS('Avaliações Trimestrais'!$B$2:$B$1761,$A8,'Avaliações Trimestrais'!$C$2:$C$1761,$B8,'Avaliações Trimestrais'!$K$2:$K$1761,"&gt;=-1E+307",'Avaliações Trimestrais'!$K$2:$K$1761,"&lt;=1E+307"),"")</x:f>
      </x:c>
      <x:c r="D8" s="48" t="str">
        <x:f>IFERROR(SUMIFS('Avaliações Trimestrais'!$L$2:$L$1761,'Avaliações Trimestrais'!$B$2:$B$1761,$A8,'Avaliações Trimestrais'!$C$2:$C$1761,$B8)/COUNTIFS('Avaliações Trimestrais'!$B$2:$B$1761,$A8,'Avaliações Trimestrais'!$C$2:$C$1761,$B8,'Avaliações Trimestrais'!$L$2:$L$1761,"&gt;=-1E+307",'Avaliações Trimestrais'!$L$2:$L$1761,"&lt;=1E+307"),"")</x:f>
      </x:c>
      <x:c r="E8" s="48" t="str">
        <x:f>IF(OR(C8="",D8=""),"",D8-C8)</x:f>
      </x:c>
      <x:c r="F8" t="n">
        <x:f>COUNTIFS('Avaliações Trimestrais'!$B$2:$B$1761,$A8,'Avaliações Trimestrais'!$C$2:$C$1761,$B8,'Avaliações Trimestrais'!$K$2:$K$1761,"&gt;=-1E+307",'Avaliações Trimestrais'!$K$2:$K$1761,"&lt;=1E+307")</x:f>
        <x:v>0</x:v>
      </x:c>
      <x:c r="G8" t="n">
        <x:f>COUNTIFS('Avaliações Trimestrais'!$B$2:$B$1761,$A8,'Avaliações Trimestrais'!$C$2:$C$1761,$B8,'Avaliações Trimestrais'!$G$2:$G$1761,"&lt;&gt;",'Avaliações Trimestrais'!$H$2:$H$1761,"&lt;&gt;",'Avaliações Trimestrais'!$I$2:$I$1761,"&lt;&gt;",'Avaliações Trimestrais'!$J$2:$J$1761,"&lt;&gt;")</x:f>
        <x:v>0</x:v>
      </x:c>
      <x:c r="H8" s="50" t="n">
        <x:f>G8/88</x:f>
        <x:v>0</x:v>
      </x:c>
      <x:c r="J8" t="str">
        <x:f>A8&amp;"-"&amp;B8</x:f>
        <x:v>2027-T3</x:v>
      </x:c>
      <x:c r="K8" s="50" t="n">
        <x:f>H8</x:f>
        <x:v>0</x:v>
      </x:c>
    </x:row>
    <x:row r="9">
      <x:c r="A9" t="n">
        <x:v>2027</x:v>
      </x:c>
      <x:c r="B9" t="str">
        <x:v>T4</x:v>
      </x:c>
      <x:c r="C9" s="48" t="str">
        <x:f>IFERROR(SUMIFS('Avaliações Trimestrais'!$K$2:$K$1761,'Avaliações Trimestrais'!$B$2:$B$1761,$A9,'Avaliações Trimestrais'!$C$2:$C$1761,$B9)/COUNTIFS('Avaliações Trimestrais'!$B$2:$B$1761,$A9,'Avaliações Trimestrais'!$C$2:$C$1761,$B9,'Avaliações Trimestrais'!$K$2:$K$1761,"&gt;=-1E+307",'Avaliações Trimestrais'!$K$2:$K$1761,"&lt;=1E+307"),"")</x:f>
      </x:c>
      <x:c r="D9" s="48" t="str">
        <x:f>IFERROR(SUMIFS('Avaliações Trimestrais'!$L$2:$L$1761,'Avaliações Trimestrais'!$B$2:$B$1761,$A9,'Avaliações Trimestrais'!$C$2:$C$1761,$B9)/COUNTIFS('Avaliações Trimestrais'!$B$2:$B$1761,$A9,'Avaliações Trimestrais'!$C$2:$C$1761,$B9,'Avaliações Trimestrais'!$L$2:$L$1761,"&gt;=-1E+307",'Avaliações Trimestrais'!$L$2:$L$1761,"&lt;=1E+307"),"")</x:f>
      </x:c>
      <x:c r="E9" s="48" t="str">
        <x:f>IF(OR(C9="",D9=""),"",D9-C9)</x:f>
      </x:c>
      <x:c r="F9" t="n">
        <x:f>COUNTIFS('Avaliações Trimestrais'!$B$2:$B$1761,$A9,'Avaliações Trimestrais'!$C$2:$C$1761,$B9,'Avaliações Trimestrais'!$K$2:$K$1761,"&gt;=-1E+307",'Avaliações Trimestrais'!$K$2:$K$1761,"&lt;=1E+307")</x:f>
        <x:v>0</x:v>
      </x:c>
      <x:c r="G9" t="n">
        <x:f>COUNTIFS('Avaliações Trimestrais'!$B$2:$B$1761,$A9,'Avaliações Trimestrais'!$C$2:$C$1761,$B9,'Avaliações Trimestrais'!$G$2:$G$1761,"&lt;&gt;",'Avaliações Trimestrais'!$H$2:$H$1761,"&lt;&gt;",'Avaliações Trimestrais'!$I$2:$I$1761,"&lt;&gt;",'Avaliações Trimestrais'!$J$2:$J$1761,"&lt;&gt;")</x:f>
        <x:v>0</x:v>
      </x:c>
      <x:c r="H9" s="50" t="n">
        <x:f>G9/88</x:f>
        <x:v>0</x:v>
      </x:c>
      <x:c r="J9" t="str">
        <x:f>A9&amp;"-"&amp;B9</x:f>
        <x:v>2027-T4</x:v>
      </x:c>
      <x:c r="K9" s="50" t="n">
        <x:f>H9</x:f>
        <x:v>0</x:v>
      </x:c>
    </x:row>
    <x:row r="10">
      <x:c r="A10" t="n">
        <x:v>2028</x:v>
      </x:c>
      <x:c r="B10" t="str">
        <x:v>T1</x:v>
      </x:c>
      <x:c r="C10" s="48" t="str">
        <x:f>IFERROR(SUMIFS('Avaliações Trimestrais'!$K$2:$K$1761,'Avaliações Trimestrais'!$B$2:$B$1761,$A10,'Avaliações Trimestrais'!$C$2:$C$1761,$B10)/COUNTIFS('Avaliações Trimestrais'!$B$2:$B$1761,$A10,'Avaliações Trimestrais'!$C$2:$C$1761,$B10,'Avaliações Trimestrais'!$K$2:$K$1761,"&gt;=-1E+307",'Avaliações Trimestrais'!$K$2:$K$1761,"&lt;=1E+307"),"")</x:f>
      </x:c>
      <x:c r="D10" s="48" t="str">
        <x:f>IFERROR(SUMIFS('Avaliações Trimestrais'!$L$2:$L$1761,'Avaliações Trimestrais'!$B$2:$B$1761,$A10,'Avaliações Trimestrais'!$C$2:$C$1761,$B10)/COUNTIFS('Avaliações Trimestrais'!$B$2:$B$1761,$A10,'Avaliações Trimestrais'!$C$2:$C$1761,$B10,'Avaliações Trimestrais'!$L$2:$L$1761,"&gt;=-1E+307",'Avaliações Trimestrais'!$L$2:$L$1761,"&lt;=1E+307"),"")</x:f>
      </x:c>
      <x:c r="E10" s="48" t="str">
        <x:f>IF(OR(C10="",D10=""),"",D10-C10)</x:f>
      </x:c>
      <x:c r="F10" t="n">
        <x:f>COUNTIFS('Avaliações Trimestrais'!$B$2:$B$1761,$A10,'Avaliações Trimestrais'!$C$2:$C$1761,$B10,'Avaliações Trimestrais'!$K$2:$K$1761,"&gt;=-1E+307",'Avaliações Trimestrais'!$K$2:$K$1761,"&lt;=1E+307")</x:f>
        <x:v>0</x:v>
      </x:c>
      <x:c r="G10" t="n">
        <x:f>COUNTIFS('Avaliações Trimestrais'!$B$2:$B$1761,$A10,'Avaliações Trimestrais'!$C$2:$C$1761,$B10,'Avaliações Trimestrais'!$G$2:$G$1761,"&lt;&gt;",'Avaliações Trimestrais'!$H$2:$H$1761,"&lt;&gt;",'Avaliações Trimestrais'!$I$2:$I$1761,"&lt;&gt;",'Avaliações Trimestrais'!$J$2:$J$1761,"&lt;&gt;")</x:f>
        <x:v>0</x:v>
      </x:c>
      <x:c r="H10" s="50" t="n">
        <x:f>G10/88</x:f>
        <x:v>0</x:v>
      </x:c>
      <x:c r="J10" t="str">
        <x:f>A10&amp;"-"&amp;B10</x:f>
        <x:v>2028-T1</x:v>
      </x:c>
      <x:c r="K10" s="50" t="n">
        <x:f>H10</x:f>
        <x:v>0</x:v>
      </x:c>
    </x:row>
    <x:row r="11">
      <x:c r="A11" t="n">
        <x:v>2028</x:v>
      </x:c>
      <x:c r="B11" t="str">
        <x:v>T2</x:v>
      </x:c>
      <x:c r="C11" s="48" t="str">
        <x:f>IFERROR(SUMIFS('Avaliações Trimestrais'!$K$2:$K$1761,'Avaliações Trimestrais'!$B$2:$B$1761,$A11,'Avaliações Trimestrais'!$C$2:$C$1761,$B11)/COUNTIFS('Avaliações Trimestrais'!$B$2:$B$1761,$A11,'Avaliações Trimestrais'!$C$2:$C$1761,$B11,'Avaliações Trimestrais'!$K$2:$K$1761,"&gt;=-1E+307",'Avaliações Trimestrais'!$K$2:$K$1761,"&lt;=1E+307"),"")</x:f>
      </x:c>
      <x:c r="D11" s="48" t="str">
        <x:f>IFERROR(SUMIFS('Avaliações Trimestrais'!$L$2:$L$1761,'Avaliações Trimestrais'!$B$2:$B$1761,$A11,'Avaliações Trimestrais'!$C$2:$C$1761,$B11)/COUNTIFS('Avaliações Trimestrais'!$B$2:$B$1761,$A11,'Avaliações Trimestrais'!$C$2:$C$1761,$B11,'Avaliações Trimestrais'!$L$2:$L$1761,"&gt;=-1E+307",'Avaliações Trimestrais'!$L$2:$L$1761,"&lt;=1E+307"),"")</x:f>
      </x:c>
      <x:c r="E11" s="48" t="str">
        <x:f>IF(OR(C11="",D11=""),"",D11-C11)</x:f>
      </x:c>
      <x:c r="F11" t="n">
        <x:f>COUNTIFS('Avaliações Trimestrais'!$B$2:$B$1761,$A11,'Avaliações Trimestrais'!$C$2:$C$1761,$B11,'Avaliações Trimestrais'!$K$2:$K$1761,"&gt;=-1E+307",'Avaliações Trimestrais'!$K$2:$K$1761,"&lt;=1E+307")</x:f>
        <x:v>0</x:v>
      </x:c>
      <x:c r="G11" t="n">
        <x:f>COUNTIFS('Avaliações Trimestrais'!$B$2:$B$1761,$A11,'Avaliações Trimestrais'!$C$2:$C$1761,$B11,'Avaliações Trimestrais'!$G$2:$G$1761,"&lt;&gt;",'Avaliações Trimestrais'!$H$2:$H$1761,"&lt;&gt;",'Avaliações Trimestrais'!$I$2:$I$1761,"&lt;&gt;",'Avaliações Trimestrais'!$J$2:$J$1761,"&lt;&gt;")</x:f>
        <x:v>0</x:v>
      </x:c>
      <x:c r="H11" s="50" t="n">
        <x:f>G11/88</x:f>
        <x:v>0</x:v>
      </x:c>
      <x:c r="J11" t="str">
        <x:f>A11&amp;"-"&amp;B11</x:f>
        <x:v>2028-T2</x:v>
      </x:c>
      <x:c r="K11" s="50" t="n">
        <x:f>H11</x:f>
        <x:v>0</x:v>
      </x:c>
    </x:row>
    <x:row r="12">
      <x:c r="A12" t="n">
        <x:v>2028</x:v>
      </x:c>
      <x:c r="B12" t="str">
        <x:v>T3</x:v>
      </x:c>
      <x:c r="C12" s="48" t="str">
        <x:f>IFERROR(SUMIFS('Avaliações Trimestrais'!$K$2:$K$1761,'Avaliações Trimestrais'!$B$2:$B$1761,$A12,'Avaliações Trimestrais'!$C$2:$C$1761,$B12)/COUNTIFS('Avaliações Trimestrais'!$B$2:$B$1761,$A12,'Avaliações Trimestrais'!$C$2:$C$1761,$B12,'Avaliações Trimestrais'!$K$2:$K$1761,"&gt;=-1E+307",'Avaliações Trimestrais'!$K$2:$K$1761,"&lt;=1E+307"),"")</x:f>
      </x:c>
      <x:c r="D12" s="48" t="str">
        <x:f>IFERROR(SUMIFS('Avaliações Trimestrais'!$L$2:$L$1761,'Avaliações Trimestrais'!$B$2:$B$1761,$A12,'Avaliações Trimestrais'!$C$2:$C$1761,$B12)/COUNTIFS('Avaliações Trimestrais'!$B$2:$B$1761,$A12,'Avaliações Trimestrais'!$C$2:$C$1761,$B12,'Avaliações Trimestrais'!$L$2:$L$1761,"&gt;=-1E+307",'Avaliações Trimestrais'!$L$2:$L$1761,"&lt;=1E+307"),"")</x:f>
      </x:c>
      <x:c r="E12" s="48" t="str">
        <x:f>IF(OR(C12="",D12=""),"",D12-C12)</x:f>
      </x:c>
      <x:c r="F12" t="n">
        <x:f>COUNTIFS('Avaliações Trimestrais'!$B$2:$B$1761,$A12,'Avaliações Trimestrais'!$C$2:$C$1761,$B12,'Avaliações Trimestrais'!$K$2:$K$1761,"&gt;=-1E+307",'Avaliações Trimestrais'!$K$2:$K$1761,"&lt;=1E+307")</x:f>
        <x:v>0</x:v>
      </x:c>
      <x:c r="G12" t="n">
        <x:f>COUNTIFS('Avaliações Trimestrais'!$B$2:$B$1761,$A12,'Avaliações Trimestrais'!$C$2:$C$1761,$B12,'Avaliações Trimestrais'!$G$2:$G$1761,"&lt;&gt;",'Avaliações Trimestrais'!$H$2:$H$1761,"&lt;&gt;",'Avaliações Trimestrais'!$I$2:$I$1761,"&lt;&gt;",'Avaliações Trimestrais'!$J$2:$J$1761,"&lt;&gt;")</x:f>
        <x:v>0</x:v>
      </x:c>
      <x:c r="H12" s="50" t="n">
        <x:f>G12/88</x:f>
        <x:v>0</x:v>
      </x:c>
      <x:c r="J12" t="str">
        <x:f>A12&amp;"-"&amp;B12</x:f>
        <x:v>2028-T3</x:v>
      </x:c>
      <x:c r="K12" s="50" t="n">
        <x:f>H12</x:f>
        <x:v>0</x:v>
      </x:c>
    </x:row>
    <x:row r="13">
      <x:c r="A13" t="n">
        <x:v>2028</x:v>
      </x:c>
      <x:c r="B13" t="str">
        <x:v>T4</x:v>
      </x:c>
      <x:c r="C13" s="48" t="str">
        <x:f>IFERROR(SUMIFS('Avaliações Trimestrais'!$K$2:$K$1761,'Avaliações Trimestrais'!$B$2:$B$1761,$A13,'Avaliações Trimestrais'!$C$2:$C$1761,$B13)/COUNTIFS('Avaliações Trimestrais'!$B$2:$B$1761,$A13,'Avaliações Trimestrais'!$C$2:$C$1761,$B13,'Avaliações Trimestrais'!$K$2:$K$1761,"&gt;=-1E+307",'Avaliações Trimestrais'!$K$2:$K$1761,"&lt;=1E+307"),"")</x:f>
      </x:c>
      <x:c r="D13" s="48" t="str">
        <x:f>IFERROR(SUMIFS('Avaliações Trimestrais'!$L$2:$L$1761,'Avaliações Trimestrais'!$B$2:$B$1761,$A13,'Avaliações Trimestrais'!$C$2:$C$1761,$B13)/COUNTIFS('Avaliações Trimestrais'!$B$2:$B$1761,$A13,'Avaliações Trimestrais'!$C$2:$C$1761,$B13,'Avaliações Trimestrais'!$L$2:$L$1761,"&gt;=-1E+307",'Avaliações Trimestrais'!$L$2:$L$1761,"&lt;=1E+307"),"")</x:f>
      </x:c>
      <x:c r="E13" s="48" t="str">
        <x:f>IF(OR(C13="",D13=""),"",D13-C13)</x:f>
      </x:c>
      <x:c r="F13" t="n">
        <x:f>COUNTIFS('Avaliações Trimestrais'!$B$2:$B$1761,$A13,'Avaliações Trimestrais'!$C$2:$C$1761,$B13,'Avaliações Trimestrais'!$K$2:$K$1761,"&gt;=-1E+307",'Avaliações Trimestrais'!$K$2:$K$1761,"&lt;=1E+307")</x:f>
        <x:v>0</x:v>
      </x:c>
      <x:c r="G13" t="n">
        <x:f>COUNTIFS('Avaliações Trimestrais'!$B$2:$B$1761,$A13,'Avaliações Trimestrais'!$C$2:$C$1761,$B13,'Avaliações Trimestrais'!$G$2:$G$1761,"&lt;&gt;",'Avaliações Trimestrais'!$H$2:$H$1761,"&lt;&gt;",'Avaliações Trimestrais'!$I$2:$I$1761,"&lt;&gt;",'Avaliações Trimestrais'!$J$2:$J$1761,"&lt;&gt;")</x:f>
        <x:v>0</x:v>
      </x:c>
      <x:c r="H13" s="50" t="n">
        <x:f>G13/88</x:f>
        <x:v>0</x:v>
      </x:c>
      <x:c r="J13" t="str">
        <x:f>A13&amp;"-"&amp;B13</x:f>
        <x:v>2028-T4</x:v>
      </x:c>
      <x:c r="K13" s="50" t="n">
        <x:f>H13</x:f>
        <x:v>0</x:v>
      </x:c>
    </x:row>
    <x:row r="14">
      <x:c r="A14" t="n">
        <x:v>2029</x:v>
      </x:c>
      <x:c r="B14" t="str">
        <x:v>T1</x:v>
      </x:c>
      <x:c r="C14" s="48" t="str">
        <x:f>IFERROR(SUMIFS('Avaliações Trimestrais'!$K$2:$K$1761,'Avaliações Trimestrais'!$B$2:$B$1761,$A14,'Avaliações Trimestrais'!$C$2:$C$1761,$B14)/COUNTIFS('Avaliações Trimestrais'!$B$2:$B$1761,$A14,'Avaliações Trimestrais'!$C$2:$C$1761,$B14,'Avaliações Trimestrais'!$K$2:$K$1761,"&gt;=-1E+307",'Avaliações Trimestrais'!$K$2:$K$1761,"&lt;=1E+307"),"")</x:f>
      </x:c>
      <x:c r="D14" s="48" t="str">
        <x:f>IFERROR(SUMIFS('Avaliações Trimestrais'!$L$2:$L$1761,'Avaliações Trimestrais'!$B$2:$B$1761,$A14,'Avaliações Trimestrais'!$C$2:$C$1761,$B14)/COUNTIFS('Avaliações Trimestrais'!$B$2:$B$1761,$A14,'Avaliações Trimestrais'!$C$2:$C$1761,$B14,'Avaliações Trimestrais'!$L$2:$L$1761,"&gt;=-1E+307",'Avaliações Trimestrais'!$L$2:$L$1761,"&lt;=1E+307"),"")</x:f>
      </x:c>
      <x:c r="E14" s="48" t="str">
        <x:f>IF(OR(C14="",D14=""),"",D14-C14)</x:f>
      </x:c>
      <x:c r="F14" t="n">
        <x:f>COUNTIFS('Avaliações Trimestrais'!$B$2:$B$1761,$A14,'Avaliações Trimestrais'!$C$2:$C$1761,$B14,'Avaliações Trimestrais'!$K$2:$K$1761,"&gt;=-1E+307",'Avaliações Trimestrais'!$K$2:$K$1761,"&lt;=1E+307")</x:f>
        <x:v>0</x:v>
      </x:c>
      <x:c r="G14" t="n">
        <x:f>COUNTIFS('Avaliações Trimestrais'!$B$2:$B$1761,$A14,'Avaliações Trimestrais'!$C$2:$C$1761,$B14,'Avaliações Trimestrais'!$G$2:$G$1761,"&lt;&gt;",'Avaliações Trimestrais'!$H$2:$H$1761,"&lt;&gt;",'Avaliações Trimestrais'!$I$2:$I$1761,"&lt;&gt;",'Avaliações Trimestrais'!$J$2:$J$1761,"&lt;&gt;")</x:f>
        <x:v>0</x:v>
      </x:c>
      <x:c r="H14" s="50" t="n">
        <x:f>G14/88</x:f>
        <x:v>0</x:v>
      </x:c>
      <x:c r="J14" t="str">
        <x:f>A14&amp;"-"&amp;B14</x:f>
        <x:v>2029-T1</x:v>
      </x:c>
      <x:c r="K14" s="50" t="n">
        <x:f>H14</x:f>
        <x:v>0</x:v>
      </x:c>
    </x:row>
    <x:row r="15">
      <x:c r="A15" t="n">
        <x:v>2029</x:v>
      </x:c>
      <x:c r="B15" t="str">
        <x:v>T2</x:v>
      </x:c>
      <x:c r="C15" s="48" t="str">
        <x:f>IFERROR(SUMIFS('Avaliações Trimestrais'!$K$2:$K$1761,'Avaliações Trimestrais'!$B$2:$B$1761,$A15,'Avaliações Trimestrais'!$C$2:$C$1761,$B15)/COUNTIFS('Avaliações Trimestrais'!$B$2:$B$1761,$A15,'Avaliações Trimestrais'!$C$2:$C$1761,$B15,'Avaliações Trimestrais'!$K$2:$K$1761,"&gt;=-1E+307",'Avaliações Trimestrais'!$K$2:$K$1761,"&lt;=1E+307"),"")</x:f>
      </x:c>
      <x:c r="D15" s="48" t="str">
        <x:f>IFERROR(SUMIFS('Avaliações Trimestrais'!$L$2:$L$1761,'Avaliações Trimestrais'!$B$2:$B$1761,$A15,'Avaliações Trimestrais'!$C$2:$C$1761,$B15)/COUNTIFS('Avaliações Trimestrais'!$B$2:$B$1761,$A15,'Avaliações Trimestrais'!$C$2:$C$1761,$B15,'Avaliações Trimestrais'!$L$2:$L$1761,"&gt;=-1E+307",'Avaliações Trimestrais'!$L$2:$L$1761,"&lt;=1E+307"),"")</x:f>
      </x:c>
      <x:c r="E15" s="48" t="str">
        <x:f>IF(OR(C15="",D15=""),"",D15-C15)</x:f>
      </x:c>
      <x:c r="F15" t="n">
        <x:f>COUNTIFS('Avaliações Trimestrais'!$B$2:$B$1761,$A15,'Avaliações Trimestrais'!$C$2:$C$1761,$B15,'Avaliações Trimestrais'!$K$2:$K$1761,"&gt;=-1E+307",'Avaliações Trimestrais'!$K$2:$K$1761,"&lt;=1E+307")</x:f>
        <x:v>0</x:v>
      </x:c>
      <x:c r="G15" t="n">
        <x:f>COUNTIFS('Avaliações Trimestrais'!$B$2:$B$1761,$A15,'Avaliações Trimestrais'!$C$2:$C$1761,$B15,'Avaliações Trimestrais'!$G$2:$G$1761,"&lt;&gt;",'Avaliações Trimestrais'!$H$2:$H$1761,"&lt;&gt;",'Avaliações Trimestrais'!$I$2:$I$1761,"&lt;&gt;",'Avaliações Trimestrais'!$J$2:$J$1761,"&lt;&gt;")</x:f>
        <x:v>0</x:v>
      </x:c>
      <x:c r="H15" s="50" t="n">
        <x:f>G15/88</x:f>
        <x:v>0</x:v>
      </x:c>
      <x:c r="J15" t="str">
        <x:f>A15&amp;"-"&amp;B15</x:f>
        <x:v>2029-T2</x:v>
      </x:c>
      <x:c r="K15" s="50" t="n">
        <x:f>H15</x:f>
        <x:v>0</x:v>
      </x:c>
    </x:row>
    <x:row r="16">
      <x:c r="A16" t="n">
        <x:v>2029</x:v>
      </x:c>
      <x:c r="B16" t="str">
        <x:v>T3</x:v>
      </x:c>
      <x:c r="C16" s="48" t="str">
        <x:f>IFERROR(SUMIFS('Avaliações Trimestrais'!$K$2:$K$1761,'Avaliações Trimestrais'!$B$2:$B$1761,$A16,'Avaliações Trimestrais'!$C$2:$C$1761,$B16)/COUNTIFS('Avaliações Trimestrais'!$B$2:$B$1761,$A16,'Avaliações Trimestrais'!$C$2:$C$1761,$B16,'Avaliações Trimestrais'!$K$2:$K$1761,"&gt;=-1E+307",'Avaliações Trimestrais'!$K$2:$K$1761,"&lt;=1E+307"),"")</x:f>
      </x:c>
      <x:c r="D16" s="48" t="str">
        <x:f>IFERROR(SUMIFS('Avaliações Trimestrais'!$L$2:$L$1761,'Avaliações Trimestrais'!$B$2:$B$1761,$A16,'Avaliações Trimestrais'!$C$2:$C$1761,$B16)/COUNTIFS('Avaliações Trimestrais'!$B$2:$B$1761,$A16,'Avaliações Trimestrais'!$C$2:$C$1761,$B16,'Avaliações Trimestrais'!$L$2:$L$1761,"&gt;=-1E+307",'Avaliações Trimestrais'!$L$2:$L$1761,"&lt;=1E+307"),"")</x:f>
      </x:c>
      <x:c r="E16" s="48" t="str">
        <x:f>IF(OR(C16="",D16=""),"",D16-C16)</x:f>
      </x:c>
      <x:c r="F16" t="n">
        <x:f>COUNTIFS('Avaliações Trimestrais'!$B$2:$B$1761,$A16,'Avaliações Trimestrais'!$C$2:$C$1761,$B16,'Avaliações Trimestrais'!$K$2:$K$1761,"&gt;=-1E+307",'Avaliações Trimestrais'!$K$2:$K$1761,"&lt;=1E+307")</x:f>
        <x:v>0</x:v>
      </x:c>
      <x:c r="G16" t="n">
        <x:f>COUNTIFS('Avaliações Trimestrais'!$B$2:$B$1761,$A16,'Avaliações Trimestrais'!$C$2:$C$1761,$B16,'Avaliações Trimestrais'!$G$2:$G$1761,"&lt;&gt;",'Avaliações Trimestrais'!$H$2:$H$1761,"&lt;&gt;",'Avaliações Trimestrais'!$I$2:$I$1761,"&lt;&gt;",'Avaliações Trimestrais'!$J$2:$J$1761,"&lt;&gt;")</x:f>
        <x:v>0</x:v>
      </x:c>
      <x:c r="H16" s="50" t="n">
        <x:f>G16/88</x:f>
        <x:v>0</x:v>
      </x:c>
      <x:c r="J16" t="str">
        <x:f>A16&amp;"-"&amp;B16</x:f>
        <x:v>2029-T3</x:v>
      </x:c>
      <x:c r="K16" s="50" t="n">
        <x:f>H16</x:f>
        <x:v>0</x:v>
      </x:c>
    </x:row>
    <x:row r="17">
      <x:c r="A17" t="n">
        <x:v>2029</x:v>
      </x:c>
      <x:c r="B17" t="str">
        <x:v>T4</x:v>
      </x:c>
      <x:c r="C17" s="48" t="str">
        <x:f>IFERROR(SUMIFS('Avaliações Trimestrais'!$K$2:$K$1761,'Avaliações Trimestrais'!$B$2:$B$1761,$A17,'Avaliações Trimestrais'!$C$2:$C$1761,$B17)/COUNTIFS('Avaliações Trimestrais'!$B$2:$B$1761,$A17,'Avaliações Trimestrais'!$C$2:$C$1761,$B17,'Avaliações Trimestrais'!$K$2:$K$1761,"&gt;=-1E+307",'Avaliações Trimestrais'!$K$2:$K$1761,"&lt;=1E+307"),"")</x:f>
      </x:c>
      <x:c r="D17" s="48" t="str">
        <x:f>IFERROR(SUMIFS('Avaliações Trimestrais'!$L$2:$L$1761,'Avaliações Trimestrais'!$B$2:$B$1761,$A17,'Avaliações Trimestrais'!$C$2:$C$1761,$B17)/COUNTIFS('Avaliações Trimestrais'!$B$2:$B$1761,$A17,'Avaliações Trimestrais'!$C$2:$C$1761,$B17,'Avaliações Trimestrais'!$L$2:$L$1761,"&gt;=-1E+307",'Avaliações Trimestrais'!$L$2:$L$1761,"&lt;=1E+307"),"")</x:f>
      </x:c>
      <x:c r="E17" s="48" t="str">
        <x:f>IF(OR(C17="",D17=""),"",D17-C17)</x:f>
      </x:c>
      <x:c r="F17" t="n">
        <x:f>COUNTIFS('Avaliações Trimestrais'!$B$2:$B$1761,$A17,'Avaliações Trimestrais'!$C$2:$C$1761,$B17,'Avaliações Trimestrais'!$K$2:$K$1761,"&gt;=-1E+307",'Avaliações Trimestrais'!$K$2:$K$1761,"&lt;=1E+307")</x:f>
        <x:v>0</x:v>
      </x:c>
      <x:c r="G17" t="n">
        <x:f>COUNTIFS('Avaliações Trimestrais'!$B$2:$B$1761,$A17,'Avaliações Trimestrais'!$C$2:$C$1761,$B17,'Avaliações Trimestrais'!$G$2:$G$1761,"&lt;&gt;",'Avaliações Trimestrais'!$H$2:$H$1761,"&lt;&gt;",'Avaliações Trimestrais'!$I$2:$I$1761,"&lt;&gt;",'Avaliações Trimestrais'!$J$2:$J$1761,"&lt;&gt;")</x:f>
        <x:v>0</x:v>
      </x:c>
      <x:c r="H17" s="50" t="n">
        <x:f>G17/88</x:f>
        <x:v>0</x:v>
      </x:c>
      <x:c r="J17" t="str">
        <x:f>A17&amp;"-"&amp;B17</x:f>
        <x:v>2029-T4</x:v>
      </x:c>
      <x:c r="K17" s="50" t="n">
        <x:f>H17</x:f>
        <x:v>0</x:v>
      </x:c>
    </x:row>
    <x:row r="18">
      <x:c r="A18" t="n">
        <x:v>2030</x:v>
      </x:c>
      <x:c r="B18" t="str">
        <x:v>T1</x:v>
      </x:c>
      <x:c r="C18" s="48" t="str">
        <x:f>IFERROR(SUMIFS('Avaliações Trimestrais'!$K$2:$K$1761,'Avaliações Trimestrais'!$B$2:$B$1761,$A18,'Avaliações Trimestrais'!$C$2:$C$1761,$B18)/COUNTIFS('Avaliações Trimestrais'!$B$2:$B$1761,$A18,'Avaliações Trimestrais'!$C$2:$C$1761,$B18,'Avaliações Trimestrais'!$K$2:$K$1761,"&gt;=-1E+307",'Avaliações Trimestrais'!$K$2:$K$1761,"&lt;=1E+307"),"")</x:f>
      </x:c>
      <x:c r="D18" s="48" t="str">
        <x:f>IFERROR(SUMIFS('Avaliações Trimestrais'!$L$2:$L$1761,'Avaliações Trimestrais'!$B$2:$B$1761,$A18,'Avaliações Trimestrais'!$C$2:$C$1761,$B18)/COUNTIFS('Avaliações Trimestrais'!$B$2:$B$1761,$A18,'Avaliações Trimestrais'!$C$2:$C$1761,$B18,'Avaliações Trimestrais'!$L$2:$L$1761,"&gt;=-1E+307",'Avaliações Trimestrais'!$L$2:$L$1761,"&lt;=1E+307"),"")</x:f>
      </x:c>
      <x:c r="E18" s="48" t="str">
        <x:f>IF(OR(C18="",D18=""),"",D18-C18)</x:f>
      </x:c>
      <x:c r="F18" t="n">
        <x:f>COUNTIFS('Avaliações Trimestrais'!$B$2:$B$1761,$A18,'Avaliações Trimestrais'!$C$2:$C$1761,$B18,'Avaliações Trimestrais'!$K$2:$K$1761,"&gt;=-1E+307",'Avaliações Trimestrais'!$K$2:$K$1761,"&lt;=1E+307")</x:f>
        <x:v>0</x:v>
      </x:c>
      <x:c r="G18" t="n">
        <x:f>COUNTIFS('Avaliações Trimestrais'!$B$2:$B$1761,$A18,'Avaliações Trimestrais'!$C$2:$C$1761,$B18,'Avaliações Trimestrais'!$G$2:$G$1761,"&lt;&gt;",'Avaliações Trimestrais'!$H$2:$H$1761,"&lt;&gt;",'Avaliações Trimestrais'!$I$2:$I$1761,"&lt;&gt;",'Avaliações Trimestrais'!$J$2:$J$1761,"&lt;&gt;")</x:f>
        <x:v>0</x:v>
      </x:c>
      <x:c r="H18" s="50" t="n">
        <x:f>G18/88</x:f>
        <x:v>0</x:v>
      </x:c>
      <x:c r="J18" t="str">
        <x:f>A18&amp;"-"&amp;B18</x:f>
        <x:v>2030-T1</x:v>
      </x:c>
      <x:c r="K18" s="50" t="n">
        <x:f>H18</x:f>
        <x:v>0</x:v>
      </x:c>
    </x:row>
    <x:row r="19">
      <x:c r="A19" t="n">
        <x:v>2030</x:v>
      </x:c>
      <x:c r="B19" t="str">
        <x:v>T2</x:v>
      </x:c>
      <x:c r="C19" s="48" t="str">
        <x:f>IFERROR(SUMIFS('Avaliações Trimestrais'!$K$2:$K$1761,'Avaliações Trimestrais'!$B$2:$B$1761,$A19,'Avaliações Trimestrais'!$C$2:$C$1761,$B19)/COUNTIFS('Avaliações Trimestrais'!$B$2:$B$1761,$A19,'Avaliações Trimestrais'!$C$2:$C$1761,$B19,'Avaliações Trimestrais'!$K$2:$K$1761,"&gt;=-1E+307",'Avaliações Trimestrais'!$K$2:$K$1761,"&lt;=1E+307"),"")</x:f>
      </x:c>
      <x:c r="D19" s="48" t="str">
        <x:f>IFERROR(SUMIFS('Avaliações Trimestrais'!$L$2:$L$1761,'Avaliações Trimestrais'!$B$2:$B$1761,$A19,'Avaliações Trimestrais'!$C$2:$C$1761,$B19)/COUNTIFS('Avaliações Trimestrais'!$B$2:$B$1761,$A19,'Avaliações Trimestrais'!$C$2:$C$1761,$B19,'Avaliações Trimestrais'!$L$2:$L$1761,"&gt;=-1E+307",'Avaliações Trimestrais'!$L$2:$L$1761,"&lt;=1E+307"),"")</x:f>
      </x:c>
      <x:c r="E19" s="48" t="str">
        <x:f>IF(OR(C19="",D19=""),"",D19-C19)</x:f>
      </x:c>
      <x:c r="F19" t="n">
        <x:f>COUNTIFS('Avaliações Trimestrais'!$B$2:$B$1761,$A19,'Avaliações Trimestrais'!$C$2:$C$1761,$B19,'Avaliações Trimestrais'!$K$2:$K$1761,"&gt;=-1E+307",'Avaliações Trimestrais'!$K$2:$K$1761,"&lt;=1E+307")</x:f>
        <x:v>0</x:v>
      </x:c>
      <x:c r="G19" t="n">
        <x:f>COUNTIFS('Avaliações Trimestrais'!$B$2:$B$1761,$A19,'Avaliações Trimestrais'!$C$2:$C$1761,$B19,'Avaliações Trimestrais'!$G$2:$G$1761,"&lt;&gt;",'Avaliações Trimestrais'!$H$2:$H$1761,"&lt;&gt;",'Avaliações Trimestrais'!$I$2:$I$1761,"&lt;&gt;",'Avaliações Trimestrais'!$J$2:$J$1761,"&lt;&gt;")</x:f>
        <x:v>0</x:v>
      </x:c>
      <x:c r="H19" s="50" t="n">
        <x:f>G19/88</x:f>
        <x:v>0</x:v>
      </x:c>
      <x:c r="J19" t="str">
        <x:f>A19&amp;"-"&amp;B19</x:f>
        <x:v>2030-T2</x:v>
      </x:c>
      <x:c r="K19" s="50" t="n">
        <x:f>H19</x:f>
        <x:v>0</x:v>
      </x:c>
    </x:row>
    <x:row r="20">
      <x:c r="A20" t="n">
        <x:v>2030</x:v>
      </x:c>
      <x:c r="B20" t="str">
        <x:v>T3</x:v>
      </x:c>
      <x:c r="C20" s="48" t="str">
        <x:f>IFERROR(SUMIFS('Avaliações Trimestrais'!$K$2:$K$1761,'Avaliações Trimestrais'!$B$2:$B$1761,$A20,'Avaliações Trimestrais'!$C$2:$C$1761,$B20)/COUNTIFS('Avaliações Trimestrais'!$B$2:$B$1761,$A20,'Avaliações Trimestrais'!$C$2:$C$1761,$B20,'Avaliações Trimestrais'!$K$2:$K$1761,"&gt;=-1E+307",'Avaliações Trimestrais'!$K$2:$K$1761,"&lt;=1E+307"),"")</x:f>
      </x:c>
      <x:c r="D20" s="48" t="str">
        <x:f>IFERROR(SUMIFS('Avaliações Trimestrais'!$L$2:$L$1761,'Avaliações Trimestrais'!$B$2:$B$1761,$A20,'Avaliações Trimestrais'!$C$2:$C$1761,$B20)/COUNTIFS('Avaliações Trimestrais'!$B$2:$B$1761,$A20,'Avaliações Trimestrais'!$C$2:$C$1761,$B20,'Avaliações Trimestrais'!$L$2:$L$1761,"&gt;=-1E+307",'Avaliações Trimestrais'!$L$2:$L$1761,"&lt;=1E+307"),"")</x:f>
      </x:c>
      <x:c r="E20" s="48" t="str">
        <x:f>IF(OR(C20="",D20=""),"",D20-C20)</x:f>
      </x:c>
      <x:c r="F20" t="n">
        <x:f>COUNTIFS('Avaliações Trimestrais'!$B$2:$B$1761,$A20,'Avaliações Trimestrais'!$C$2:$C$1761,$B20,'Avaliações Trimestrais'!$K$2:$K$1761,"&gt;=-1E+307",'Avaliações Trimestrais'!$K$2:$K$1761,"&lt;=1E+307")</x:f>
        <x:v>0</x:v>
      </x:c>
      <x:c r="G20" t="n">
        <x:f>COUNTIFS('Avaliações Trimestrais'!$B$2:$B$1761,$A20,'Avaliações Trimestrais'!$C$2:$C$1761,$B20,'Avaliações Trimestrais'!$G$2:$G$1761,"&lt;&gt;",'Avaliações Trimestrais'!$H$2:$H$1761,"&lt;&gt;",'Avaliações Trimestrais'!$I$2:$I$1761,"&lt;&gt;",'Avaliações Trimestrais'!$J$2:$J$1761,"&lt;&gt;")</x:f>
        <x:v>0</x:v>
      </x:c>
      <x:c r="H20" s="50" t="n">
        <x:f>G20/88</x:f>
        <x:v>0</x:v>
      </x:c>
      <x:c r="J20" t="str">
        <x:f>A20&amp;"-"&amp;B20</x:f>
        <x:v>2030-T3</x:v>
      </x:c>
      <x:c r="K20" s="50" t="n">
        <x:f>H20</x:f>
        <x:v>0</x:v>
      </x:c>
    </x:row>
    <x:row r="21">
      <x:c r="A21" t="n">
        <x:v>2030</x:v>
      </x:c>
      <x:c r="B21" t="str">
        <x:v>T4</x:v>
      </x:c>
      <x:c r="C21" s="48" t="str">
        <x:f>IFERROR(SUMIFS('Avaliações Trimestrais'!$K$2:$K$1761,'Avaliações Trimestrais'!$B$2:$B$1761,$A21,'Avaliações Trimestrais'!$C$2:$C$1761,$B21)/COUNTIFS('Avaliações Trimestrais'!$B$2:$B$1761,$A21,'Avaliações Trimestrais'!$C$2:$C$1761,$B21,'Avaliações Trimestrais'!$K$2:$K$1761,"&gt;=-1E+307",'Avaliações Trimestrais'!$K$2:$K$1761,"&lt;=1E+307"),"")</x:f>
      </x:c>
      <x:c r="D21" s="48" t="str">
        <x:f>IFERROR(SUMIFS('Avaliações Trimestrais'!$L$2:$L$1761,'Avaliações Trimestrais'!$B$2:$B$1761,$A21,'Avaliações Trimestrais'!$C$2:$C$1761,$B21)/COUNTIFS('Avaliações Trimestrais'!$B$2:$B$1761,$A21,'Avaliações Trimestrais'!$C$2:$C$1761,$B21,'Avaliações Trimestrais'!$L$2:$L$1761,"&gt;=-1E+307",'Avaliações Trimestrais'!$L$2:$L$1761,"&lt;=1E+307"),"")</x:f>
      </x:c>
      <x:c r="E21" s="48" t="str">
        <x:f>IF(OR(C21="",D21=""),"",D21-C21)</x:f>
      </x:c>
      <x:c r="F21" t="n">
        <x:f>COUNTIFS('Avaliações Trimestrais'!$B$2:$B$1761,$A21,'Avaliações Trimestrais'!$C$2:$C$1761,$B21,'Avaliações Trimestrais'!$K$2:$K$1761,"&gt;=-1E+307",'Avaliações Trimestrais'!$K$2:$K$1761,"&lt;=1E+307")</x:f>
        <x:v>0</x:v>
      </x:c>
      <x:c r="G21" t="n">
        <x:f>COUNTIFS('Avaliações Trimestrais'!$B$2:$B$1761,$A21,'Avaliações Trimestrais'!$C$2:$C$1761,$B21,'Avaliações Trimestrais'!$G$2:$G$1761,"&lt;&gt;",'Avaliações Trimestrais'!$H$2:$H$1761,"&lt;&gt;",'Avaliações Trimestrais'!$I$2:$I$1761,"&lt;&gt;",'Avaliações Trimestrais'!$J$2:$J$1761,"&lt;&gt;")</x:f>
        <x:v>0</x:v>
      </x:c>
      <x:c r="H21" s="50" t="n">
        <x:f>G21/88</x:f>
        <x:v>0</x:v>
      </x:c>
      <x:c r="J21" t="str">
        <x:f>A21&amp;"-"&amp;B21</x:f>
        <x:v>2030-T4</x:v>
      </x:c>
      <x:c r="K21" s="50" t="n">
        <x:f>H21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3992ea2fcf43d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34" customHeight="1">
      <x:c r="A1" s="13" t="str">
        <x:v>Anos</x:v>
      </x:c>
      <x:c r="B1" s="13" t="str">
        <x:v>Trimestres</x:v>
      </x:c>
      <x:c r="C1" s="13" t="str">
        <x:v>Notas válidas</x:v>
      </x:c>
      <x:c r="D1" s="13" t="str">
        <x:v>Status de condição</x:v>
      </x:c>
      <x:c r="E1" s="13" t="str">
        <x:v>Posições oficiais</x:v>
      </x:c>
    </x:row>
    <x:row r="2">
      <x:c r="A2" s="42" t="n">
        <x:v>2026</x:v>
      </x:c>
      <x:c r="B2" s="42" t="str">
        <x:v>T1</x:v>
      </x:c>
      <x:c r="C2" s="42" t="n">
        <x:v>0</x:v>
      </x:c>
      <x:c r="D2" s="42" t="str">
        <x:v>Sem informação</x:v>
      </x:c>
      <x:c r="E2" s="42" t="str">
        <x:v>Goleiro</x:v>
      </x:c>
    </x:row>
    <x:row r="3">
      <x:c r="A3" s="42" t="n">
        <x:v>2027</x:v>
      </x:c>
      <x:c r="B3" s="42" t="str">
        <x:v>T2</x:v>
      </x:c>
      <x:c r="C3" s="42" t="n">
        <x:v>0.5</x:v>
      </x:c>
      <x:c r="D3" s="42" t="str">
        <x:v>Disponível</x:v>
      </x:c>
      <x:c r="E3" s="42" t="str">
        <x:v>Lateral-direito</x:v>
      </x:c>
    </x:row>
    <x:row r="4">
      <x:c r="A4" s="42" t="n">
        <x:v>2028</x:v>
      </x:c>
      <x:c r="B4" s="42" t="str">
        <x:v>T3</x:v>
      </x:c>
      <x:c r="C4" s="42" t="n">
        <x:v>1</x:v>
      </x:c>
      <x:c r="D4" s="42" t="str">
        <x:v>Em recuperação</x:v>
      </x:c>
      <x:c r="E4" s="42" t="str">
        <x:v>Lateral-esquerdo</x:v>
      </x:c>
    </x:row>
    <x:row r="5">
      <x:c r="A5" s="42" t="n">
        <x:v>2029</x:v>
      </x:c>
      <x:c r="B5" s="42" t="str">
        <x:v>T4</x:v>
      </x:c>
      <x:c r="C5" s="42" t="n">
        <x:v>1.5</x:v>
      </x:c>
      <x:c r="D5" s="42" t="str">
        <x:v>Lesionado</x:v>
      </x:c>
      <x:c r="E5" s="42" t="str">
        <x:v>Zagueiro</x:v>
      </x:c>
    </x:row>
    <x:row r="6">
      <x:c r="A6" s="42" t="n">
        <x:v>2030</x:v>
      </x:c>
      <x:c r="B6" s="42"/>
      <x:c r="C6" s="42" t="n">
        <x:v>2</x:v>
      </x:c>
      <x:c r="D6" s="42" t="str">
        <x:v>Carga controlada</x:v>
      </x:c>
      <x:c r="E6" s="42" t="str">
        <x:v>Volante</x:v>
      </x:c>
    </x:row>
    <x:row r="7">
      <x:c r="A7" s="42"/>
      <x:c r="B7" s="42"/>
      <x:c r="C7" s="42" t="n">
        <x:v>2.5</x:v>
      </x:c>
      <x:c r="D7" s="42"/>
      <x:c r="E7" s="42" t="str">
        <x:v>Mezzala esquerdo</x:v>
      </x:c>
    </x:row>
    <x:row r="8">
      <x:c r="A8" s="42"/>
      <x:c r="B8" s="42"/>
      <x:c r="C8" s="42" t="n">
        <x:v>3</x:v>
      </x:c>
      <x:c r="D8" s="42"/>
      <x:c r="E8" s="42" t="str">
        <x:v>Mezzala direito</x:v>
      </x:c>
    </x:row>
    <x:row r="9">
      <x:c r="A9" s="42"/>
      <x:c r="B9" s="42"/>
      <x:c r="C9" s="42" t="n">
        <x:v>3.5</x:v>
      </x:c>
      <x:c r="D9" s="42"/>
      <x:c r="E9" s="42" t="str">
        <x:v>Meia-esquerda</x:v>
      </x:c>
    </x:row>
    <x:row r="10">
      <x:c r="A10" s="42"/>
      <x:c r="B10" s="42"/>
      <x:c r="C10" s="42" t="n">
        <x:v>4</x:v>
      </x:c>
      <x:c r="D10" s="42"/>
      <x:c r="E10" s="42" t="str">
        <x:v>Meia-direita</x:v>
      </x:c>
    </x:row>
    <x:row r="11">
      <x:c r="A11" s="42"/>
      <x:c r="B11" s="42"/>
      <x:c r="C11" s="42" t="n">
        <x:v>4.5</x:v>
      </x:c>
      <x:c r="D11" s="42"/>
      <x:c r="E11" s="42" t="str">
        <x:v>Meia-armador</x:v>
      </x:c>
    </x:row>
    <x:row r="12">
      <x:c r="A12" s="42"/>
      <x:c r="B12" s="42"/>
      <x:c r="C12" s="42" t="n">
        <x:v>5</x:v>
      </x:c>
      <x:c r="D12" s="42"/>
      <x:c r="E12" s="42" t="str">
        <x:v>Ponta-esquerda</x:v>
      </x:c>
    </x:row>
    <x:row r="13">
      <x:c r="A13" s="42"/>
      <x:c r="B13" s="42"/>
      <x:c r="C13" s="42" t="n">
        <x:v>5.5</x:v>
      </x:c>
      <x:c r="D13" s="42"/>
      <x:c r="E13" s="42" t="str">
        <x:v>Ponta-direita</x:v>
      </x:c>
    </x:row>
    <x:row r="14">
      <x:c r="A14" s="42"/>
      <x:c r="B14" s="42"/>
      <x:c r="C14" s="42" t="n">
        <x:v>6</x:v>
      </x:c>
      <x:c r="D14" s="42"/>
      <x:c r="E14" s="42" t="str">
        <x:v>Segundo atacante</x:v>
      </x:c>
    </x:row>
    <x:row r="15">
      <x:c r="A15" s="42"/>
      <x:c r="B15" s="42"/>
      <x:c r="C15" s="42" t="n">
        <x:v>6.5</x:v>
      </x:c>
      <x:c r="D15" s="42"/>
      <x:c r="E15" s="42" t="str">
        <x:v>Centroavante</x:v>
      </x:c>
    </x:row>
    <x:row r="16">
      <x:c r="A16" s="42"/>
      <x:c r="B16" s="42"/>
      <x:c r="C16" s="42" t="n">
        <x:v>7</x:v>
      </x:c>
      <x:c r="D16" s="42"/>
      <x:c r="E16" s="42"/>
    </x:row>
    <x:row r="17">
      <x:c r="A17" s="42"/>
      <x:c r="B17" s="42"/>
      <x:c r="C17" s="42" t="n">
        <x:v>7.5</x:v>
      </x:c>
      <x:c r="D17" s="42"/>
      <x:c r="E17" s="42"/>
    </x:row>
    <x:row r="18">
      <x:c r="A18" s="42"/>
      <x:c r="B18" s="42"/>
      <x:c r="C18" s="42" t="n">
        <x:v>8</x:v>
      </x:c>
      <x:c r="D18" s="42"/>
      <x:c r="E18" s="42"/>
    </x:row>
    <x:row r="19">
      <x:c r="A19" s="42"/>
      <x:c r="B19" s="42"/>
      <x:c r="C19" s="42" t="n">
        <x:v>8.5</x:v>
      </x:c>
      <x:c r="D19" s="42"/>
      <x:c r="E19" s="42"/>
    </x:row>
    <x:row r="20">
      <x:c r="A20" s="42"/>
      <x:c r="B20" s="42"/>
      <x:c r="C20" s="42" t="n">
        <x:v>9</x:v>
      </x:c>
      <x:c r="D20" s="42"/>
      <x:c r="E20" s="42"/>
    </x:row>
    <x:row r="21">
      <x:c r="A21" s="42"/>
      <x:c r="B21" s="42"/>
      <x:c r="C21" s="42" t="n">
        <x:v>9.5</x:v>
      </x:c>
      <x:c r="D21" s="42"/>
      <x:c r="E21" s="42"/>
    </x:row>
    <x:row r="22">
      <x:c r="A22" s="42"/>
      <x:c r="B22" s="42"/>
      <x:c r="C22" s="42" t="n">
        <x:v>10</x:v>
      </x:c>
      <x:c r="D22" s="42"/>
      <x:c r="E22" s="42"/>
    </x:row>
  </x:sheetData>
  <x:pageMargins left="0.7" right="0.7" top="0.75" bottom="0.75" header="0.3" footer="0.3"/>
</x:worksheet>
</file>